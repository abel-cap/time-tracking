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9.bin" ContentType="application/vnd.openxmlformats-officedocument.spreadsheetml.customProperty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ustomProperty10.bin" ContentType="application/vnd.openxmlformats-officedocument.spreadsheetml.customProperty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ustomProperty11.bin" ContentType="application/vnd.openxmlformats-officedocument.spreadsheetml.customProperty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ustomProperty12.bin" ContentType="application/vnd.openxmlformats-officedocument.spreadsheetml.customProperty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ustomProperty13.bin" ContentType="application/vnd.openxmlformats-officedocument.spreadsheetml.customProperty"/>
  <Override PartName="/xl/drawings/drawing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ustomProperty14.bin" ContentType="application/vnd.openxmlformats-officedocument.spreadsheetml.customProperty"/>
  <Override PartName="/xl/drawings/drawing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ustomProperty15.bin" ContentType="application/vnd.openxmlformats-officedocument.spreadsheetml.customProperty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ustomProperty16.bin" ContentType="application/vnd.openxmlformats-officedocument.spreadsheetml.customProperty"/>
  <Override PartName="/xl/drawings/drawing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ustomProperty17.bin" ContentType="application/vnd.openxmlformats-officedocument.spreadsheetml.customProperty"/>
  <Override PartName="/xl/drawings/drawing1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ustomProperty18.bin" ContentType="application/vnd.openxmlformats-officedocument.spreadsheetml.customProperty"/>
  <Override PartName="/xl/drawings/drawing11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ustomProperty19.bin" ContentType="application/vnd.openxmlformats-officedocument.spreadsheetml.customProperty"/>
  <Override PartName="/xl/drawings/drawing1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ustomProperty20.bin" ContentType="application/vnd.openxmlformats-officedocument.spreadsheetml.customProperty"/>
  <Override PartName="/xl/drawings/drawing1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date1904="1" codeName="DieseArbeitsmappe"/>
  <mc:AlternateContent xmlns:mc="http://schemas.openxmlformats.org/markup-compatibility/2006">
    <mc:Choice Requires="x15">
      <x15ac:absPath xmlns:x15ac="http://schemas.microsoft.com/office/spreadsheetml/2010/11/ac" url="https://capgemini-my.sharepoint.com/personal/abel_wilhelm_capgemini_com/Documents/Documents/Orga/"/>
    </mc:Choice>
  </mc:AlternateContent>
  <xr:revisionPtr revIDLastSave="2" documentId="8_{59531AB2-C3D3-4BC1-B348-DBCAC7EDA508}" xr6:coauthVersionLast="47" xr6:coauthVersionMax="47" xr10:uidLastSave="{E874F7B0-1FDB-452A-B4BD-B9B7CDD9F3D3}"/>
  <bookViews>
    <workbookView xWindow="-120" yWindow="-120" windowWidth="38640" windowHeight="21240" tabRatio="720" xr2:uid="{00000000-000D-0000-FFFF-FFFF00000000}"/>
  </bookViews>
  <sheets>
    <sheet name="Übersicht" sheetId="13" r:id="rId1"/>
    <sheet name="Verweise" sheetId="14" r:id="rId2"/>
    <sheet name="Januar" sheetId="1" r:id="rId3"/>
    <sheet name="Februar" sheetId="2" r:id="rId4"/>
    <sheet name="März" sheetId="3" r:id="rId5"/>
    <sheet name="April" sheetId="4" r:id="rId6"/>
    <sheet name="Mai" sheetId="5" r:id="rId7"/>
    <sheet name="Juni" sheetId="6" r:id="rId8"/>
    <sheet name="Juli" sheetId="7" r:id="rId9"/>
    <sheet name="August" sheetId="8" r:id="rId10"/>
    <sheet name="September" sheetId="9" r:id="rId11"/>
    <sheet name="Oktober" sheetId="10" r:id="rId12"/>
    <sheet name="November" sheetId="11" r:id="rId13"/>
    <sheet name="Dezember" sheetId="12" r:id="rId14"/>
  </sheets>
  <definedNames>
    <definedName name="_xlnm._FilterDatabase" localSheetId="1" hidden="1">Verweise!$A$1:$C$4542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14" l="1"/>
  <c r="D5" i="14"/>
  <c r="D3" i="14"/>
  <c r="D4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D1259" i="14"/>
  <c r="D1260" i="14"/>
  <c r="D1261" i="14"/>
  <c r="D1262" i="14"/>
  <c r="D1263" i="14"/>
  <c r="D1264" i="14"/>
  <c r="D1265" i="14"/>
  <c r="D1266" i="14"/>
  <c r="D1267" i="14"/>
  <c r="D1268" i="14"/>
  <c r="D1269" i="14"/>
  <c r="D1270" i="14"/>
  <c r="D1271" i="14"/>
  <c r="D1272" i="14"/>
  <c r="D1273" i="14"/>
  <c r="D1274" i="14"/>
  <c r="D1275" i="14"/>
  <c r="D1276" i="14"/>
  <c r="D1277" i="14"/>
  <c r="D1278" i="14"/>
  <c r="D1279" i="14"/>
  <c r="D1280" i="14"/>
  <c r="D1281" i="14"/>
  <c r="D1282" i="14"/>
  <c r="D1283" i="14"/>
  <c r="D1284" i="14"/>
  <c r="D1285" i="14"/>
  <c r="D1286" i="14"/>
  <c r="D1287" i="14"/>
  <c r="D1288" i="14"/>
  <c r="D1289" i="14"/>
  <c r="D1290" i="14"/>
  <c r="D1291" i="14"/>
  <c r="D1292" i="14"/>
  <c r="D1293" i="14"/>
  <c r="D1294" i="14"/>
  <c r="D1295" i="14"/>
  <c r="D1296" i="14"/>
  <c r="D1297" i="14"/>
  <c r="D1298" i="14"/>
  <c r="D1299" i="14"/>
  <c r="D1300" i="14"/>
  <c r="D1301" i="14"/>
  <c r="D1302" i="14"/>
  <c r="D1303" i="14"/>
  <c r="D1304" i="14"/>
  <c r="D1305" i="14"/>
  <c r="D1306" i="14"/>
  <c r="D1307" i="14"/>
  <c r="D1308" i="14"/>
  <c r="D1309" i="14"/>
  <c r="D1310" i="14"/>
  <c r="D1311" i="14"/>
  <c r="D1312" i="14"/>
  <c r="D1313" i="14"/>
  <c r="D1314" i="14"/>
  <c r="D1315" i="14"/>
  <c r="D1316" i="14"/>
  <c r="D1317" i="14"/>
  <c r="D1318" i="14"/>
  <c r="D1319" i="14"/>
  <c r="D1320" i="14"/>
  <c r="D1321" i="14"/>
  <c r="D1322" i="14"/>
  <c r="D1323" i="14"/>
  <c r="D1324" i="14"/>
  <c r="D1325" i="14"/>
  <c r="D1326" i="14"/>
  <c r="D1327" i="14"/>
  <c r="D1328" i="14"/>
  <c r="D1329" i="14"/>
  <c r="D1330" i="14"/>
  <c r="D1331" i="14"/>
  <c r="D1332" i="14"/>
  <c r="D1333" i="14"/>
  <c r="D1334" i="14"/>
  <c r="D1335" i="14"/>
  <c r="D1336" i="14"/>
  <c r="D1337" i="14"/>
  <c r="D1338" i="14"/>
  <c r="D1339" i="14"/>
  <c r="D1340" i="14"/>
  <c r="D1341" i="14"/>
  <c r="D1342" i="14"/>
  <c r="D1343" i="14"/>
  <c r="D1344" i="14"/>
  <c r="D1345" i="14"/>
  <c r="D1346" i="14"/>
  <c r="D1347" i="14"/>
  <c r="D1348" i="14"/>
  <c r="D1349" i="14"/>
  <c r="D1350" i="14"/>
  <c r="D1351" i="14"/>
  <c r="D1352" i="14"/>
  <c r="D1353" i="14"/>
  <c r="D1354" i="14"/>
  <c r="D1355" i="14"/>
  <c r="D1356" i="14"/>
  <c r="D1357" i="14"/>
  <c r="D1358" i="14"/>
  <c r="D1359" i="14"/>
  <c r="D1360" i="14"/>
  <c r="D1361" i="14"/>
  <c r="D1362" i="14"/>
  <c r="D1363" i="14"/>
  <c r="D1364" i="14"/>
  <c r="D1365" i="14"/>
  <c r="D1366" i="14"/>
  <c r="D1367" i="14"/>
  <c r="D1368" i="14"/>
  <c r="D1369" i="14"/>
  <c r="D1370" i="14"/>
  <c r="D1371" i="14"/>
  <c r="D1372" i="14"/>
  <c r="D1373" i="14"/>
  <c r="D1374" i="14"/>
  <c r="D1375" i="14"/>
  <c r="D1376" i="14"/>
  <c r="D1377" i="14"/>
  <c r="D1378" i="14"/>
  <c r="D1379" i="14"/>
  <c r="D1380" i="14"/>
  <c r="D1381" i="14"/>
  <c r="D1382" i="14"/>
  <c r="D1383" i="14"/>
  <c r="D1384" i="14"/>
  <c r="D1385" i="14"/>
  <c r="D1386" i="14"/>
  <c r="D1387" i="14"/>
  <c r="D1388" i="14"/>
  <c r="D1389" i="14"/>
  <c r="D1390" i="14"/>
  <c r="D1391" i="14"/>
  <c r="D1392" i="14"/>
  <c r="D1393" i="14"/>
  <c r="D1394" i="14"/>
  <c r="D1395" i="14"/>
  <c r="D1396" i="14"/>
  <c r="D1397" i="14"/>
  <c r="D1398" i="14"/>
  <c r="D1399" i="14"/>
  <c r="D1400" i="14"/>
  <c r="D1401" i="14"/>
  <c r="D1402" i="14"/>
  <c r="D1403" i="14"/>
  <c r="D1404" i="14"/>
  <c r="D1405" i="14"/>
  <c r="D1406" i="14"/>
  <c r="D1407" i="14"/>
  <c r="D1408" i="14"/>
  <c r="D1409" i="14"/>
  <c r="D1410" i="14"/>
  <c r="D1411" i="14"/>
  <c r="D1412" i="14"/>
  <c r="D1413" i="14"/>
  <c r="D1414" i="14"/>
  <c r="D1415" i="14"/>
  <c r="D1416" i="14"/>
  <c r="D1417" i="14"/>
  <c r="D1418" i="14"/>
  <c r="D1419" i="14"/>
  <c r="D1420" i="14"/>
  <c r="D1421" i="14"/>
  <c r="D1422" i="14"/>
  <c r="D1423" i="14"/>
  <c r="D1424" i="14"/>
  <c r="D1425" i="14"/>
  <c r="D1426" i="14"/>
  <c r="D1427" i="14"/>
  <c r="D1428" i="14"/>
  <c r="D1429" i="14"/>
  <c r="D1430" i="14"/>
  <c r="D1431" i="14"/>
  <c r="D1432" i="14"/>
  <c r="D1433" i="14"/>
  <c r="D1434" i="14"/>
  <c r="D1435" i="14"/>
  <c r="D1436" i="14"/>
  <c r="D1437" i="14"/>
  <c r="D1438" i="14"/>
  <c r="D1439" i="14"/>
  <c r="D1440" i="14"/>
  <c r="D1441" i="14"/>
  <c r="D1442" i="14"/>
  <c r="D1443" i="14"/>
  <c r="D1444" i="14"/>
  <c r="D1445" i="14"/>
  <c r="D1446" i="14"/>
  <c r="D1447" i="14"/>
  <c r="D1448" i="14"/>
  <c r="D1449" i="14"/>
  <c r="D1450" i="14"/>
  <c r="D1451" i="14"/>
  <c r="D1452" i="14"/>
  <c r="D1453" i="14"/>
  <c r="D1454" i="14"/>
  <c r="D1455" i="14"/>
  <c r="D1456" i="14"/>
  <c r="D1457" i="14"/>
  <c r="D1458" i="14"/>
  <c r="D1459" i="14"/>
  <c r="D1460" i="14"/>
  <c r="D1461" i="14"/>
  <c r="D1462" i="14"/>
  <c r="D1463" i="14"/>
  <c r="D1464" i="14"/>
  <c r="D1465" i="14"/>
  <c r="D1466" i="14"/>
  <c r="D1467" i="14"/>
  <c r="D1468" i="14"/>
  <c r="D1469" i="14"/>
  <c r="D1470" i="14"/>
  <c r="D1471" i="14"/>
  <c r="D1472" i="14"/>
  <c r="D1473" i="14"/>
  <c r="D1474" i="14"/>
  <c r="D1475" i="14"/>
  <c r="D1476" i="14"/>
  <c r="D1477" i="14"/>
  <c r="D1478" i="14"/>
  <c r="D1479" i="14"/>
  <c r="D1480" i="14"/>
  <c r="D1481" i="14"/>
  <c r="D1482" i="14"/>
  <c r="D1483" i="14"/>
  <c r="D1484" i="14"/>
  <c r="D1485" i="14"/>
  <c r="D1486" i="14"/>
  <c r="D1487" i="14"/>
  <c r="D1488" i="14"/>
  <c r="D1489" i="14"/>
  <c r="D1490" i="14"/>
  <c r="D1491" i="14"/>
  <c r="D1492" i="14"/>
  <c r="D1493" i="14"/>
  <c r="D1494" i="14"/>
  <c r="D1495" i="14"/>
  <c r="D1496" i="14"/>
  <c r="D1497" i="14"/>
  <c r="D1498" i="14"/>
  <c r="D1499" i="14"/>
  <c r="D1500" i="14"/>
  <c r="D1501" i="14"/>
  <c r="D1502" i="14"/>
  <c r="D1503" i="14"/>
  <c r="D1504" i="14"/>
  <c r="D1505" i="14"/>
  <c r="D1506" i="14"/>
  <c r="D1507" i="14"/>
  <c r="D1508" i="14"/>
  <c r="D1509" i="14"/>
  <c r="D1510" i="14"/>
  <c r="D1511" i="14"/>
  <c r="D1512" i="14"/>
  <c r="D1513" i="14"/>
  <c r="D1514" i="14"/>
  <c r="D1515" i="14"/>
  <c r="D1516" i="14"/>
  <c r="D1517" i="14"/>
  <c r="D1518" i="14"/>
  <c r="D1519" i="14"/>
  <c r="D1520" i="14"/>
  <c r="D1521" i="14"/>
  <c r="D1522" i="14"/>
  <c r="D1523" i="14"/>
  <c r="D1524" i="14"/>
  <c r="D1525" i="14"/>
  <c r="D1526" i="14"/>
  <c r="D1527" i="14"/>
  <c r="D1528" i="14"/>
  <c r="D1529" i="14"/>
  <c r="D1530" i="14"/>
  <c r="D1531" i="14"/>
  <c r="D1532" i="14"/>
  <c r="D1533" i="14"/>
  <c r="D1534" i="14"/>
  <c r="D1535" i="14"/>
  <c r="D1536" i="14"/>
  <c r="D1537" i="14"/>
  <c r="D1538" i="14"/>
  <c r="D1539" i="14"/>
  <c r="D1540" i="14"/>
  <c r="D1541" i="14"/>
  <c r="D1542" i="14"/>
  <c r="D1543" i="14"/>
  <c r="D1544" i="14"/>
  <c r="D1545" i="14"/>
  <c r="D1546" i="14"/>
  <c r="D1547" i="14"/>
  <c r="D1548" i="14"/>
  <c r="D1549" i="14"/>
  <c r="D1550" i="14"/>
  <c r="D1551" i="14"/>
  <c r="D1552" i="14"/>
  <c r="D1553" i="14"/>
  <c r="D1554" i="14"/>
  <c r="D1555" i="14"/>
  <c r="D1556" i="14"/>
  <c r="D1557" i="14"/>
  <c r="D1558" i="14"/>
  <c r="D1559" i="14"/>
  <c r="D1560" i="14"/>
  <c r="D1561" i="14"/>
  <c r="D1562" i="14"/>
  <c r="D1563" i="14"/>
  <c r="D1564" i="14"/>
  <c r="D1565" i="14"/>
  <c r="D1566" i="14"/>
  <c r="D1567" i="14"/>
  <c r="D1568" i="14"/>
  <c r="D1569" i="14"/>
  <c r="D1570" i="14"/>
  <c r="D1571" i="14"/>
  <c r="D1572" i="14"/>
  <c r="D1573" i="14"/>
  <c r="D1574" i="14"/>
  <c r="D1575" i="14"/>
  <c r="D1576" i="14"/>
  <c r="D1577" i="14"/>
  <c r="D1578" i="14"/>
  <c r="D1579" i="14"/>
  <c r="D1580" i="14"/>
  <c r="D1581" i="14"/>
  <c r="D1582" i="14"/>
  <c r="D1583" i="14"/>
  <c r="D1584" i="14"/>
  <c r="D1585" i="14"/>
  <c r="D1586" i="14"/>
  <c r="D1587" i="14"/>
  <c r="D1588" i="14"/>
  <c r="D1589" i="14"/>
  <c r="D1590" i="14"/>
  <c r="D1591" i="14"/>
  <c r="D1592" i="14"/>
  <c r="D1593" i="14"/>
  <c r="D1594" i="14"/>
  <c r="D1595" i="14"/>
  <c r="D1596" i="14"/>
  <c r="D1597" i="14"/>
  <c r="D1598" i="14"/>
  <c r="D1599" i="14"/>
  <c r="D1600" i="14"/>
  <c r="D1601" i="14"/>
  <c r="D1602" i="14"/>
  <c r="D1603" i="14"/>
  <c r="D1604" i="14"/>
  <c r="D1605" i="14"/>
  <c r="D1606" i="14"/>
  <c r="D1607" i="14"/>
  <c r="D1608" i="14"/>
  <c r="D1609" i="14"/>
  <c r="D1610" i="14"/>
  <c r="D1611" i="14"/>
  <c r="D1612" i="14"/>
  <c r="D1613" i="14"/>
  <c r="D1614" i="14"/>
  <c r="D1615" i="14"/>
  <c r="D1616" i="14"/>
  <c r="D1617" i="14"/>
  <c r="D1618" i="14"/>
  <c r="D1619" i="14"/>
  <c r="D1620" i="14"/>
  <c r="D1621" i="14"/>
  <c r="D1622" i="14"/>
  <c r="D1623" i="14"/>
  <c r="D1624" i="14"/>
  <c r="D1625" i="14"/>
  <c r="D1626" i="14"/>
  <c r="D1627" i="14"/>
  <c r="D1628" i="14"/>
  <c r="D1629" i="14"/>
  <c r="D1630" i="14"/>
  <c r="D1631" i="14"/>
  <c r="D1632" i="14"/>
  <c r="D1633" i="14"/>
  <c r="D1634" i="14"/>
  <c r="D1635" i="14"/>
  <c r="D1636" i="14"/>
  <c r="D1637" i="14"/>
  <c r="D1638" i="14"/>
  <c r="D1639" i="14"/>
  <c r="D1640" i="14"/>
  <c r="D1641" i="14"/>
  <c r="D1642" i="14"/>
  <c r="D1643" i="14"/>
  <c r="D1644" i="14"/>
  <c r="D1645" i="14"/>
  <c r="D1646" i="14"/>
  <c r="D1647" i="14"/>
  <c r="D1648" i="14"/>
  <c r="D1649" i="14"/>
  <c r="D1650" i="14"/>
  <c r="D1651" i="14"/>
  <c r="D1652" i="14"/>
  <c r="D1653" i="14"/>
  <c r="D1654" i="14"/>
  <c r="D1655" i="14"/>
  <c r="D1656" i="14"/>
  <c r="D1657" i="14"/>
  <c r="D1658" i="14"/>
  <c r="D1659" i="14"/>
  <c r="D1660" i="14"/>
  <c r="D1661" i="14"/>
  <c r="D1662" i="14"/>
  <c r="D1663" i="14"/>
  <c r="D1664" i="14"/>
  <c r="D1665" i="14"/>
  <c r="D1666" i="14"/>
  <c r="D1667" i="14"/>
  <c r="D1668" i="14"/>
  <c r="D1669" i="14"/>
  <c r="D1670" i="14"/>
  <c r="D1671" i="14"/>
  <c r="D1672" i="14"/>
  <c r="D1673" i="14"/>
  <c r="D1674" i="14"/>
  <c r="D1675" i="14"/>
  <c r="D1676" i="14"/>
  <c r="D1677" i="14"/>
  <c r="D1678" i="14"/>
  <c r="D1679" i="14"/>
  <c r="D1680" i="14"/>
  <c r="D1681" i="14"/>
  <c r="D1682" i="14"/>
  <c r="D1683" i="14"/>
  <c r="D1684" i="14"/>
  <c r="D1685" i="14"/>
  <c r="D1686" i="14"/>
  <c r="D1687" i="14"/>
  <c r="D1688" i="14"/>
  <c r="D1689" i="14"/>
  <c r="D1690" i="14"/>
  <c r="D1691" i="14"/>
  <c r="D1692" i="14"/>
  <c r="D1693" i="14"/>
  <c r="D1694" i="14"/>
  <c r="D1695" i="14"/>
  <c r="D1696" i="14"/>
  <c r="D1697" i="14"/>
  <c r="D1698" i="14"/>
  <c r="D1699" i="14"/>
  <c r="D1700" i="14"/>
  <c r="D1701" i="14"/>
  <c r="D1702" i="14"/>
  <c r="D1703" i="14"/>
  <c r="D1704" i="14"/>
  <c r="D1705" i="14"/>
  <c r="D1706" i="14"/>
  <c r="D1707" i="14"/>
  <c r="D1708" i="14"/>
  <c r="D1709" i="14"/>
  <c r="D1710" i="14"/>
  <c r="D1711" i="14"/>
  <c r="D1712" i="14"/>
  <c r="D1713" i="14"/>
  <c r="D1714" i="14"/>
  <c r="D1715" i="14"/>
  <c r="D1716" i="14"/>
  <c r="D1717" i="14"/>
  <c r="D1718" i="14"/>
  <c r="D1719" i="14"/>
  <c r="D1720" i="14"/>
  <c r="D1721" i="14"/>
  <c r="D1722" i="14"/>
  <c r="D1723" i="14"/>
  <c r="D1724" i="14"/>
  <c r="D1725" i="14"/>
  <c r="D1726" i="14"/>
  <c r="D1727" i="14"/>
  <c r="D1728" i="14"/>
  <c r="D1729" i="14"/>
  <c r="D1730" i="14"/>
  <c r="D1731" i="14"/>
  <c r="D1732" i="14"/>
  <c r="D1733" i="14"/>
  <c r="D1734" i="14"/>
  <c r="D1735" i="14"/>
  <c r="D1736" i="14"/>
  <c r="D1737" i="14"/>
  <c r="D1738" i="14"/>
  <c r="D1739" i="14"/>
  <c r="D1740" i="14"/>
  <c r="D1741" i="14"/>
  <c r="D1742" i="14"/>
  <c r="D1743" i="14"/>
  <c r="D1744" i="14"/>
  <c r="D1745" i="14"/>
  <c r="D1746" i="14"/>
  <c r="D1747" i="14"/>
  <c r="D1748" i="14"/>
  <c r="D1749" i="14"/>
  <c r="D1750" i="14"/>
  <c r="D1751" i="14"/>
  <c r="D1752" i="14"/>
  <c r="D1753" i="14"/>
  <c r="D1754" i="14"/>
  <c r="D1755" i="14"/>
  <c r="D1756" i="14"/>
  <c r="D1757" i="14"/>
  <c r="D1758" i="14"/>
  <c r="D1759" i="14"/>
  <c r="D1760" i="14"/>
  <c r="D1761" i="14"/>
  <c r="D1762" i="14"/>
  <c r="D1763" i="14"/>
  <c r="D1764" i="14"/>
  <c r="D1765" i="14"/>
  <c r="D1766" i="14"/>
  <c r="D1767" i="14"/>
  <c r="D1768" i="14"/>
  <c r="D1769" i="14"/>
  <c r="D1770" i="14"/>
  <c r="D1771" i="14"/>
  <c r="D1772" i="14"/>
  <c r="D1773" i="14"/>
  <c r="D1774" i="14"/>
  <c r="D1775" i="14"/>
  <c r="D1776" i="14"/>
  <c r="D1777" i="14"/>
  <c r="D1778" i="14"/>
  <c r="D1779" i="14"/>
  <c r="D1780" i="14"/>
  <c r="D1781" i="14"/>
  <c r="D1782" i="14"/>
  <c r="D1783" i="14"/>
  <c r="D1784" i="14"/>
  <c r="D1785" i="14"/>
  <c r="D1786" i="14"/>
  <c r="D1787" i="14"/>
  <c r="D1788" i="14"/>
  <c r="D1789" i="14"/>
  <c r="D1790" i="14"/>
  <c r="D1791" i="14"/>
  <c r="D1792" i="14"/>
  <c r="D1793" i="14"/>
  <c r="D1794" i="14"/>
  <c r="D1795" i="14"/>
  <c r="D1796" i="14"/>
  <c r="D1797" i="14"/>
  <c r="D1798" i="14"/>
  <c r="D1799" i="14"/>
  <c r="D1800" i="14"/>
  <c r="D1801" i="14"/>
  <c r="D1802" i="14"/>
  <c r="D1803" i="14"/>
  <c r="D1804" i="14"/>
  <c r="D1805" i="14"/>
  <c r="D1806" i="14"/>
  <c r="D1807" i="14"/>
  <c r="D1808" i="14"/>
  <c r="D1809" i="14"/>
  <c r="D1810" i="14"/>
  <c r="D1811" i="14"/>
  <c r="D1812" i="14"/>
  <c r="D1813" i="14"/>
  <c r="D1814" i="14"/>
  <c r="D1815" i="14"/>
  <c r="D1816" i="14"/>
  <c r="D1817" i="14"/>
  <c r="D1818" i="14"/>
  <c r="D1819" i="14"/>
  <c r="D1820" i="14"/>
  <c r="D1821" i="14"/>
  <c r="D1822" i="14"/>
  <c r="D1823" i="14"/>
  <c r="D1824" i="14"/>
  <c r="D1825" i="14"/>
  <c r="D1826" i="14"/>
  <c r="D1827" i="14"/>
  <c r="D1828" i="14"/>
  <c r="D1829" i="14"/>
  <c r="D1830" i="14"/>
  <c r="D1831" i="14"/>
  <c r="D1832" i="14"/>
  <c r="D1833" i="14"/>
  <c r="D1834" i="14"/>
  <c r="D1835" i="14"/>
  <c r="D1836" i="14"/>
  <c r="D1837" i="14"/>
  <c r="D1838" i="14"/>
  <c r="D1839" i="14"/>
  <c r="D1840" i="14"/>
  <c r="D1841" i="14"/>
  <c r="D1842" i="14"/>
  <c r="D1843" i="14"/>
  <c r="D1844" i="14"/>
  <c r="D1845" i="14"/>
  <c r="D1846" i="14"/>
  <c r="D1847" i="14"/>
  <c r="D1848" i="14"/>
  <c r="D1849" i="14"/>
  <c r="D1850" i="14"/>
  <c r="D1851" i="14"/>
  <c r="D1852" i="14"/>
  <c r="D1853" i="14"/>
  <c r="D1854" i="14"/>
  <c r="D1855" i="14"/>
  <c r="D1856" i="14"/>
  <c r="D1857" i="14"/>
  <c r="D1858" i="14"/>
  <c r="D1859" i="14"/>
  <c r="D1860" i="14"/>
  <c r="D1861" i="14"/>
  <c r="D1862" i="14"/>
  <c r="D1863" i="14"/>
  <c r="D1864" i="14"/>
  <c r="D1865" i="14"/>
  <c r="D1866" i="14"/>
  <c r="D1867" i="14"/>
  <c r="D1868" i="14"/>
  <c r="D1869" i="14"/>
  <c r="D1870" i="14"/>
  <c r="D1871" i="14"/>
  <c r="D1872" i="14"/>
  <c r="D1873" i="14"/>
  <c r="D1874" i="14"/>
  <c r="D1875" i="14"/>
  <c r="D1876" i="14"/>
  <c r="D1877" i="14"/>
  <c r="D1878" i="14"/>
  <c r="D1879" i="14"/>
  <c r="D1880" i="14"/>
  <c r="D1881" i="14"/>
  <c r="D1882" i="14"/>
  <c r="D1883" i="14"/>
  <c r="D1884" i="14"/>
  <c r="D1885" i="14"/>
  <c r="D1886" i="14"/>
  <c r="D1887" i="14"/>
  <c r="D1888" i="14"/>
  <c r="D1889" i="14"/>
  <c r="D1890" i="14"/>
  <c r="D1891" i="14"/>
  <c r="D1892" i="14"/>
  <c r="D1893" i="14"/>
  <c r="D1894" i="14"/>
  <c r="D1895" i="14"/>
  <c r="D1896" i="14"/>
  <c r="D1897" i="14"/>
  <c r="D1898" i="14"/>
  <c r="D1899" i="14"/>
  <c r="D1900" i="14"/>
  <c r="D1901" i="14"/>
  <c r="D1902" i="14"/>
  <c r="D1903" i="14"/>
  <c r="D1904" i="14"/>
  <c r="D1905" i="14"/>
  <c r="D1906" i="14"/>
  <c r="D1907" i="14"/>
  <c r="D1908" i="14"/>
  <c r="D1909" i="14"/>
  <c r="D1910" i="14"/>
  <c r="D1911" i="14"/>
  <c r="D1912" i="14"/>
  <c r="D1913" i="14"/>
  <c r="D1914" i="14"/>
  <c r="D1915" i="14"/>
  <c r="D1916" i="14"/>
  <c r="D1917" i="14"/>
  <c r="D1918" i="14"/>
  <c r="D1919" i="14"/>
  <c r="D1920" i="14"/>
  <c r="D1921" i="14"/>
  <c r="D1922" i="14"/>
  <c r="D1923" i="14"/>
  <c r="D1924" i="14"/>
  <c r="D1925" i="14"/>
  <c r="D1926" i="14"/>
  <c r="D1927" i="14"/>
  <c r="D1928" i="14"/>
  <c r="D1929" i="14"/>
  <c r="D1930" i="14"/>
  <c r="D1931" i="14"/>
  <c r="D1932" i="14"/>
  <c r="D1933" i="14"/>
  <c r="D1934" i="14"/>
  <c r="D1935" i="14"/>
  <c r="D1936" i="14"/>
  <c r="D1937" i="14"/>
  <c r="D1938" i="14"/>
  <c r="D1939" i="14"/>
  <c r="D1940" i="14"/>
  <c r="D1941" i="14"/>
  <c r="D1942" i="14"/>
  <c r="D1943" i="14"/>
  <c r="D1944" i="14"/>
  <c r="D1945" i="14"/>
  <c r="D1946" i="14"/>
  <c r="D1947" i="14"/>
  <c r="D1948" i="14"/>
  <c r="D1949" i="14"/>
  <c r="D1950" i="14"/>
  <c r="D1951" i="14"/>
  <c r="D1952" i="14"/>
  <c r="D1953" i="14"/>
  <c r="D1954" i="14"/>
  <c r="D1955" i="14"/>
  <c r="D1956" i="14"/>
  <c r="D1957" i="14"/>
  <c r="D1958" i="14"/>
  <c r="D1959" i="14"/>
  <c r="D1960" i="14"/>
  <c r="D1961" i="14"/>
  <c r="D1962" i="14"/>
  <c r="D1963" i="14"/>
  <c r="D1964" i="14"/>
  <c r="D1965" i="14"/>
  <c r="D1966" i="14"/>
  <c r="D1967" i="14"/>
  <c r="D1968" i="14"/>
  <c r="D1969" i="14"/>
  <c r="D1970" i="14"/>
  <c r="D1971" i="14"/>
  <c r="D1972" i="14"/>
  <c r="D1973" i="14"/>
  <c r="D1974" i="14"/>
  <c r="D1975" i="14"/>
  <c r="D1976" i="14"/>
  <c r="D1977" i="14"/>
  <c r="D1978" i="14"/>
  <c r="D1979" i="14"/>
  <c r="D1980" i="14"/>
  <c r="D1981" i="14"/>
  <c r="D1982" i="14"/>
  <c r="D1983" i="14"/>
  <c r="D1984" i="14"/>
  <c r="D1985" i="14"/>
  <c r="D1986" i="14"/>
  <c r="D1987" i="14"/>
  <c r="D1988" i="14"/>
  <c r="D1989" i="14"/>
  <c r="D1990" i="14"/>
  <c r="D1991" i="14"/>
  <c r="D1992" i="14"/>
  <c r="D1993" i="14"/>
  <c r="D1994" i="14"/>
  <c r="D1995" i="14"/>
  <c r="D1996" i="14"/>
  <c r="D1997" i="14"/>
  <c r="D1998" i="14"/>
  <c r="D1999" i="14"/>
  <c r="D2000" i="14"/>
  <c r="D2001" i="14"/>
  <c r="D2002" i="14"/>
  <c r="D2003" i="14"/>
  <c r="D2004" i="14"/>
  <c r="D2005" i="14"/>
  <c r="D2006" i="14"/>
  <c r="D2007" i="14"/>
  <c r="D2008" i="14"/>
  <c r="D2009" i="14"/>
  <c r="D2010" i="14"/>
  <c r="D2011" i="14"/>
  <c r="D2012" i="14"/>
  <c r="D2013" i="14"/>
  <c r="D2014" i="14"/>
  <c r="D2015" i="14"/>
  <c r="D2016" i="14"/>
  <c r="D2017" i="14"/>
  <c r="D2018" i="14"/>
  <c r="D2019" i="14"/>
  <c r="D2020" i="14"/>
  <c r="D2021" i="14"/>
  <c r="D2022" i="14"/>
  <c r="D2023" i="14"/>
  <c r="D2024" i="14"/>
  <c r="D2025" i="14"/>
  <c r="D2026" i="14"/>
  <c r="D2027" i="14"/>
  <c r="D2028" i="14"/>
  <c r="D2029" i="14"/>
  <c r="D2030" i="14"/>
  <c r="D2031" i="14"/>
  <c r="D2032" i="14"/>
  <c r="D2033" i="14"/>
  <c r="D2034" i="14"/>
  <c r="D2035" i="14"/>
  <c r="D2036" i="14"/>
  <c r="D2037" i="14"/>
  <c r="D2038" i="14"/>
  <c r="D2039" i="14"/>
  <c r="D2040" i="14"/>
  <c r="D2041" i="14"/>
  <c r="D2042" i="14"/>
  <c r="D2043" i="14"/>
  <c r="D2044" i="14"/>
  <c r="D2045" i="14"/>
  <c r="D2046" i="14"/>
  <c r="D2047" i="14"/>
  <c r="D2048" i="14"/>
  <c r="D2049" i="14"/>
  <c r="D2050" i="14"/>
  <c r="D2051" i="14"/>
  <c r="D2052" i="14"/>
  <c r="D2053" i="14"/>
  <c r="D2054" i="14"/>
  <c r="D2055" i="14"/>
  <c r="D2056" i="14"/>
  <c r="D2057" i="14"/>
  <c r="D2058" i="14"/>
  <c r="D2059" i="14"/>
  <c r="D2060" i="14"/>
  <c r="D2061" i="14"/>
  <c r="D2062" i="14"/>
  <c r="D2063" i="14"/>
  <c r="D2064" i="14"/>
  <c r="D2065" i="14"/>
  <c r="D2066" i="14"/>
  <c r="D2067" i="14"/>
  <c r="D2068" i="14"/>
  <c r="D2069" i="14"/>
  <c r="D2070" i="14"/>
  <c r="D2071" i="14"/>
  <c r="D2072" i="14"/>
  <c r="D2073" i="14"/>
  <c r="D2074" i="14"/>
  <c r="D2075" i="14"/>
  <c r="D2076" i="14"/>
  <c r="D2077" i="14"/>
  <c r="D2078" i="14"/>
  <c r="D2079" i="14"/>
  <c r="D2080" i="14"/>
  <c r="D2081" i="14"/>
  <c r="D2082" i="14"/>
  <c r="D2083" i="14"/>
  <c r="D2084" i="14"/>
  <c r="D2085" i="14"/>
  <c r="D2086" i="14"/>
  <c r="D2087" i="14"/>
  <c r="D2088" i="14"/>
  <c r="D2089" i="14"/>
  <c r="D2090" i="14"/>
  <c r="D2091" i="14"/>
  <c r="D2092" i="14"/>
  <c r="D2093" i="14"/>
  <c r="D2094" i="14"/>
  <c r="D2095" i="14"/>
  <c r="D2096" i="14"/>
  <c r="D2097" i="14"/>
  <c r="D2098" i="14"/>
  <c r="D2099" i="14"/>
  <c r="D2100" i="14"/>
  <c r="D2101" i="14"/>
  <c r="D2102" i="14"/>
  <c r="D2103" i="14"/>
  <c r="D2104" i="14"/>
  <c r="D2105" i="14"/>
  <c r="D2106" i="14"/>
  <c r="D2107" i="14"/>
  <c r="D2108" i="14"/>
  <c r="D2109" i="14"/>
  <c r="D2110" i="14"/>
  <c r="D2111" i="14"/>
  <c r="D2112" i="14"/>
  <c r="D2113" i="14"/>
  <c r="D2114" i="14"/>
  <c r="D2115" i="14"/>
  <c r="D2116" i="14"/>
  <c r="D2117" i="14"/>
  <c r="D2118" i="14"/>
  <c r="D2119" i="14"/>
  <c r="D2120" i="14"/>
  <c r="D2121" i="14"/>
  <c r="D2122" i="14"/>
  <c r="D2123" i="14"/>
  <c r="D2124" i="14"/>
  <c r="D2125" i="14"/>
  <c r="D2126" i="14"/>
  <c r="D2127" i="14"/>
  <c r="D2128" i="14"/>
  <c r="D2129" i="14"/>
  <c r="D2130" i="14"/>
  <c r="D2131" i="14"/>
  <c r="D2132" i="14"/>
  <c r="D2133" i="14"/>
  <c r="D2134" i="14"/>
  <c r="D2135" i="14"/>
  <c r="D2136" i="14"/>
  <c r="D2137" i="14"/>
  <c r="D2138" i="14"/>
  <c r="D2139" i="14"/>
  <c r="D2140" i="14"/>
  <c r="D2141" i="14"/>
  <c r="D2142" i="14"/>
  <c r="D2143" i="14"/>
  <c r="D2144" i="14"/>
  <c r="D2145" i="14"/>
  <c r="D2146" i="14"/>
  <c r="D2147" i="14"/>
  <c r="D2148" i="14"/>
  <c r="D2149" i="14"/>
  <c r="D2150" i="14"/>
  <c r="D2151" i="14"/>
  <c r="D2152" i="14"/>
  <c r="D2153" i="14"/>
  <c r="D2154" i="14"/>
  <c r="D2155" i="14"/>
  <c r="D2156" i="14"/>
  <c r="D2157" i="14"/>
  <c r="D2158" i="14"/>
  <c r="D2159" i="14"/>
  <c r="D2160" i="14"/>
  <c r="D2161" i="14"/>
  <c r="D2162" i="14"/>
  <c r="D2163" i="14"/>
  <c r="D2164" i="14"/>
  <c r="D2165" i="14"/>
  <c r="D2166" i="14"/>
  <c r="D2167" i="14"/>
  <c r="D2168" i="14"/>
  <c r="D2169" i="14"/>
  <c r="D2170" i="14"/>
  <c r="D2171" i="14"/>
  <c r="D2172" i="14"/>
  <c r="D2173" i="14"/>
  <c r="D2174" i="14"/>
  <c r="D2175" i="14"/>
  <c r="D2176" i="14"/>
  <c r="D2177" i="14"/>
  <c r="D2178" i="14"/>
  <c r="D2179" i="14"/>
  <c r="D2180" i="14"/>
  <c r="D2181" i="14"/>
  <c r="D2182" i="14"/>
  <c r="D2183" i="14"/>
  <c r="D2184" i="14"/>
  <c r="D2185" i="14"/>
  <c r="D2186" i="14"/>
  <c r="D2187" i="14"/>
  <c r="D2188" i="14"/>
  <c r="D2189" i="14"/>
  <c r="D2190" i="14"/>
  <c r="D2191" i="14"/>
  <c r="D2192" i="14"/>
  <c r="D2193" i="14"/>
  <c r="D2194" i="14"/>
  <c r="D2195" i="14"/>
  <c r="D2196" i="14"/>
  <c r="D2197" i="14"/>
  <c r="D2198" i="14"/>
  <c r="D2199" i="14"/>
  <c r="D2200" i="14"/>
  <c r="D2201" i="14"/>
  <c r="D2202" i="14"/>
  <c r="D2203" i="14"/>
  <c r="D2204" i="14"/>
  <c r="D2205" i="14"/>
  <c r="D2206" i="14"/>
  <c r="D2207" i="14"/>
  <c r="D2208" i="14"/>
  <c r="D2209" i="14"/>
  <c r="D2210" i="14"/>
  <c r="D2211" i="14"/>
  <c r="D2212" i="14"/>
  <c r="D2213" i="14"/>
  <c r="D2214" i="14"/>
  <c r="D2215" i="14"/>
  <c r="D2216" i="14"/>
  <c r="D2217" i="14"/>
  <c r="D2218" i="14"/>
  <c r="D2219" i="14"/>
  <c r="D2220" i="14"/>
  <c r="D2221" i="14"/>
  <c r="D2222" i="14"/>
  <c r="D2223" i="14"/>
  <c r="D2224" i="14"/>
  <c r="D2225" i="14"/>
  <c r="D2226" i="14"/>
  <c r="D2227" i="14"/>
  <c r="D2228" i="14"/>
  <c r="D2229" i="14"/>
  <c r="D2230" i="14"/>
  <c r="D2231" i="14"/>
  <c r="D2232" i="14"/>
  <c r="D2233" i="14"/>
  <c r="D2234" i="14"/>
  <c r="D2235" i="14"/>
  <c r="D2236" i="14"/>
  <c r="D2237" i="14"/>
  <c r="D2238" i="14"/>
  <c r="D2239" i="14"/>
  <c r="D2240" i="14"/>
  <c r="D2241" i="14"/>
  <c r="D2242" i="14"/>
  <c r="D2243" i="14"/>
  <c r="D2244" i="14"/>
  <c r="D2245" i="14"/>
  <c r="D2246" i="14"/>
  <c r="D2247" i="14"/>
  <c r="D2248" i="14"/>
  <c r="D2249" i="14"/>
  <c r="D2250" i="14"/>
  <c r="D2251" i="14"/>
  <c r="D2252" i="14"/>
  <c r="D2253" i="14"/>
  <c r="D2254" i="14"/>
  <c r="D2255" i="14"/>
  <c r="D2256" i="14"/>
  <c r="D2257" i="14"/>
  <c r="D2258" i="14"/>
  <c r="D2259" i="14"/>
  <c r="D2260" i="14"/>
  <c r="D2261" i="14"/>
  <c r="D2262" i="14"/>
  <c r="D2263" i="14"/>
  <c r="D2264" i="14"/>
  <c r="D2265" i="14"/>
  <c r="D2266" i="14"/>
  <c r="D2267" i="14"/>
  <c r="D2268" i="14"/>
  <c r="D2269" i="14"/>
  <c r="D2270" i="14"/>
  <c r="D2271" i="14"/>
  <c r="D2272" i="14"/>
  <c r="D2273" i="14"/>
  <c r="D2274" i="14"/>
  <c r="D2275" i="14"/>
  <c r="D2276" i="14"/>
  <c r="D2277" i="14"/>
  <c r="D2278" i="14"/>
  <c r="D2279" i="14"/>
  <c r="D2280" i="14"/>
  <c r="D2281" i="14"/>
  <c r="D2282" i="14"/>
  <c r="D2283" i="14"/>
  <c r="D2284" i="14"/>
  <c r="D2285" i="14"/>
  <c r="D2286" i="14"/>
  <c r="D2287" i="14"/>
  <c r="D2288" i="14"/>
  <c r="D2289" i="14"/>
  <c r="D2290" i="14"/>
  <c r="D2291" i="14"/>
  <c r="D2292" i="14"/>
  <c r="D2293" i="14"/>
  <c r="D2294" i="14"/>
  <c r="D2295" i="14"/>
  <c r="D2296" i="14"/>
  <c r="D2297" i="14"/>
  <c r="D2298" i="14"/>
  <c r="D2299" i="14"/>
  <c r="D2300" i="14"/>
  <c r="D2301" i="14"/>
  <c r="D2302" i="14"/>
  <c r="D2303" i="14"/>
  <c r="D2304" i="14"/>
  <c r="D2305" i="14"/>
  <c r="D2306" i="14"/>
  <c r="D2307" i="14"/>
  <c r="D2308" i="14"/>
  <c r="D2309" i="14"/>
  <c r="D2310" i="14"/>
  <c r="D2311" i="14"/>
  <c r="D2312" i="14"/>
  <c r="D2313" i="14"/>
  <c r="D2314" i="14"/>
  <c r="D2315" i="14"/>
  <c r="D2316" i="14"/>
  <c r="D2317" i="14"/>
  <c r="D2318" i="14"/>
  <c r="D2319" i="14"/>
  <c r="D2320" i="14"/>
  <c r="D2321" i="14"/>
  <c r="D2322" i="14"/>
  <c r="D2323" i="14"/>
  <c r="D2324" i="14"/>
  <c r="D2325" i="14"/>
  <c r="D2326" i="14"/>
  <c r="D2327" i="14"/>
  <c r="D2328" i="14"/>
  <c r="D2329" i="14"/>
  <c r="D2330" i="14"/>
  <c r="D2331" i="14"/>
  <c r="D2332" i="14"/>
  <c r="D2333" i="14"/>
  <c r="D2334" i="14"/>
  <c r="D2335" i="14"/>
  <c r="D2336" i="14"/>
  <c r="D2337" i="14"/>
  <c r="D2338" i="14"/>
  <c r="D2339" i="14"/>
  <c r="D2340" i="14"/>
  <c r="D2341" i="14"/>
  <c r="D2342" i="14"/>
  <c r="D2343" i="14"/>
  <c r="D2344" i="14"/>
  <c r="D2345" i="14"/>
  <c r="D2346" i="14"/>
  <c r="D2347" i="14"/>
  <c r="D2348" i="14"/>
  <c r="D2349" i="14"/>
  <c r="D2350" i="14"/>
  <c r="D2351" i="14"/>
  <c r="D2352" i="14"/>
  <c r="D2353" i="14"/>
  <c r="D2354" i="14"/>
  <c r="D2355" i="14"/>
  <c r="D2356" i="14"/>
  <c r="D2357" i="14"/>
  <c r="D2358" i="14"/>
  <c r="D2359" i="14"/>
  <c r="D2360" i="14"/>
  <c r="D2361" i="14"/>
  <c r="D2362" i="14"/>
  <c r="D2363" i="14"/>
  <c r="D2364" i="14"/>
  <c r="D2365" i="14"/>
  <c r="D2366" i="14"/>
  <c r="D2367" i="14"/>
  <c r="D2368" i="14"/>
  <c r="D2369" i="14"/>
  <c r="D2370" i="14"/>
  <c r="D2371" i="14"/>
  <c r="D2372" i="14"/>
  <c r="D2373" i="14"/>
  <c r="D2374" i="14"/>
  <c r="D2375" i="14"/>
  <c r="D2376" i="14"/>
  <c r="D2377" i="14"/>
  <c r="D2378" i="14"/>
  <c r="D2379" i="14"/>
  <c r="D2380" i="14"/>
  <c r="D2381" i="14"/>
  <c r="D2382" i="14"/>
  <c r="D2383" i="14"/>
  <c r="D2384" i="14"/>
  <c r="D2385" i="14"/>
  <c r="D2386" i="14"/>
  <c r="D2387" i="14"/>
  <c r="D2388" i="14"/>
  <c r="D2389" i="14"/>
  <c r="D2390" i="14"/>
  <c r="D2391" i="14"/>
  <c r="D2392" i="14"/>
  <c r="D2393" i="14"/>
  <c r="D2394" i="14"/>
  <c r="D2395" i="14"/>
  <c r="D2396" i="14"/>
  <c r="D2397" i="14"/>
  <c r="D2398" i="14"/>
  <c r="D2399" i="14"/>
  <c r="D2400" i="14"/>
  <c r="D2401" i="14"/>
  <c r="D2402" i="14"/>
  <c r="D2403" i="14"/>
  <c r="D2404" i="14"/>
  <c r="D2405" i="14"/>
  <c r="D2406" i="14"/>
  <c r="D2407" i="14"/>
  <c r="D2408" i="14"/>
  <c r="D2409" i="14"/>
  <c r="D2410" i="14"/>
  <c r="D2411" i="14"/>
  <c r="D2412" i="14"/>
  <c r="D2413" i="14"/>
  <c r="D2414" i="14"/>
  <c r="D2415" i="14"/>
  <c r="D2416" i="14"/>
  <c r="D2417" i="14"/>
  <c r="D2418" i="14"/>
  <c r="D2419" i="14"/>
  <c r="D2420" i="14"/>
  <c r="D2421" i="14"/>
  <c r="D2422" i="14"/>
  <c r="D2423" i="14"/>
  <c r="D2424" i="14"/>
  <c r="D2425" i="14"/>
  <c r="D2426" i="14"/>
  <c r="D2427" i="14"/>
  <c r="D2428" i="14"/>
  <c r="D2429" i="14"/>
  <c r="D2430" i="14"/>
  <c r="D2431" i="14"/>
  <c r="D2432" i="14"/>
  <c r="D2433" i="14"/>
  <c r="D2434" i="14"/>
  <c r="D2435" i="14"/>
  <c r="D2436" i="14"/>
  <c r="D2437" i="14"/>
  <c r="D2438" i="14"/>
  <c r="D2439" i="14"/>
  <c r="D2440" i="14"/>
  <c r="D2441" i="14"/>
  <c r="D2442" i="14"/>
  <c r="D2443" i="14"/>
  <c r="D2444" i="14"/>
  <c r="D2445" i="14"/>
  <c r="D2446" i="14"/>
  <c r="D2447" i="14"/>
  <c r="D2448" i="14"/>
  <c r="D2449" i="14"/>
  <c r="D2450" i="14"/>
  <c r="D2451" i="14"/>
  <c r="D2452" i="14"/>
  <c r="D2453" i="14"/>
  <c r="D2454" i="14"/>
  <c r="D2455" i="14"/>
  <c r="D2456" i="14"/>
  <c r="D2457" i="14"/>
  <c r="D2458" i="14"/>
  <c r="D2459" i="14"/>
  <c r="D2460" i="14"/>
  <c r="D2461" i="14"/>
  <c r="D2462" i="14"/>
  <c r="D2463" i="14"/>
  <c r="D2464" i="14"/>
  <c r="D2465" i="14"/>
  <c r="D2466" i="14"/>
  <c r="D2467" i="14"/>
  <c r="D2468" i="14"/>
  <c r="D2469" i="14"/>
  <c r="D2470" i="14"/>
  <c r="D2471" i="14"/>
  <c r="D2472" i="14"/>
  <c r="D2473" i="14"/>
  <c r="D2474" i="14"/>
  <c r="D2475" i="14"/>
  <c r="D2476" i="14"/>
  <c r="D2477" i="14"/>
  <c r="D2478" i="14"/>
  <c r="D2479" i="14"/>
  <c r="D2480" i="14"/>
  <c r="D2481" i="14"/>
  <c r="D2482" i="14"/>
  <c r="D2483" i="14"/>
  <c r="D2484" i="14"/>
  <c r="D2485" i="14"/>
  <c r="D2486" i="14"/>
  <c r="D2487" i="14"/>
  <c r="D2488" i="14"/>
  <c r="D2489" i="14"/>
  <c r="D2490" i="14"/>
  <c r="D2491" i="14"/>
  <c r="D2492" i="14"/>
  <c r="D2493" i="14"/>
  <c r="D2494" i="14"/>
  <c r="D2495" i="14"/>
  <c r="D2496" i="14"/>
  <c r="D2497" i="14"/>
  <c r="D2498" i="14"/>
  <c r="D2499" i="14"/>
  <c r="D2500" i="14"/>
  <c r="D2501" i="14"/>
  <c r="D2502" i="14"/>
  <c r="D2503" i="14"/>
  <c r="D2504" i="14"/>
  <c r="D2505" i="14"/>
  <c r="D2506" i="14"/>
  <c r="D2507" i="14"/>
  <c r="D2508" i="14"/>
  <c r="D2509" i="14"/>
  <c r="D2510" i="14"/>
  <c r="D2511" i="14"/>
  <c r="D2512" i="14"/>
  <c r="D2513" i="14"/>
  <c r="D2514" i="14"/>
  <c r="D2515" i="14"/>
  <c r="D2516" i="14"/>
  <c r="D2517" i="14"/>
  <c r="D2518" i="14"/>
  <c r="D2519" i="14"/>
  <c r="D2520" i="14"/>
  <c r="D2521" i="14"/>
  <c r="D2522" i="14"/>
  <c r="D2523" i="14"/>
  <c r="D2524" i="14"/>
  <c r="D2525" i="14"/>
  <c r="D2526" i="14"/>
  <c r="D2527" i="14"/>
  <c r="D2528" i="14"/>
  <c r="D2529" i="14"/>
  <c r="D2530" i="14"/>
  <c r="D2531" i="14"/>
  <c r="D2532" i="14"/>
  <c r="D2533" i="14"/>
  <c r="D2534" i="14"/>
  <c r="D2535" i="14"/>
  <c r="D2536" i="14"/>
  <c r="D2537" i="14"/>
  <c r="D2538" i="14"/>
  <c r="D2539" i="14"/>
  <c r="D2540" i="14"/>
  <c r="D2541" i="14"/>
  <c r="D2542" i="14"/>
  <c r="D2543" i="14"/>
  <c r="D2544" i="14"/>
  <c r="D2545" i="14"/>
  <c r="D2546" i="14"/>
  <c r="D2547" i="14"/>
  <c r="D2548" i="14"/>
  <c r="D2549" i="14"/>
  <c r="D2550" i="14"/>
  <c r="D2551" i="14"/>
  <c r="D2552" i="14"/>
  <c r="D2553" i="14"/>
  <c r="D2554" i="14"/>
  <c r="D2555" i="14"/>
  <c r="D2556" i="14"/>
  <c r="D2557" i="14"/>
  <c r="D2558" i="14"/>
  <c r="D2559" i="14"/>
  <c r="D2560" i="14"/>
  <c r="D2561" i="14"/>
  <c r="D2562" i="14"/>
  <c r="D2563" i="14"/>
  <c r="D2564" i="14"/>
  <c r="D2565" i="14"/>
  <c r="D2566" i="14"/>
  <c r="D2567" i="14"/>
  <c r="D2568" i="14"/>
  <c r="D2569" i="14"/>
  <c r="D2570" i="14"/>
  <c r="D2571" i="14"/>
  <c r="D2572" i="14"/>
  <c r="D2573" i="14"/>
  <c r="D2574" i="14"/>
  <c r="D2575" i="14"/>
  <c r="D2576" i="14"/>
  <c r="D2577" i="14"/>
  <c r="D2578" i="14"/>
  <c r="D2579" i="14"/>
  <c r="D2580" i="14"/>
  <c r="D2581" i="14"/>
  <c r="D2582" i="14"/>
  <c r="D2583" i="14"/>
  <c r="D2584" i="14"/>
  <c r="D2585" i="14"/>
  <c r="D2586" i="14"/>
  <c r="D2587" i="14"/>
  <c r="D2588" i="14"/>
  <c r="D2589" i="14"/>
  <c r="D2590" i="14"/>
  <c r="D2591" i="14"/>
  <c r="D2592" i="14"/>
  <c r="D2593" i="14"/>
  <c r="D2594" i="14"/>
  <c r="D2595" i="14"/>
  <c r="D2596" i="14"/>
  <c r="D2597" i="14"/>
  <c r="D2598" i="14"/>
  <c r="D2599" i="14"/>
  <c r="D2600" i="14"/>
  <c r="D2601" i="14"/>
  <c r="D2602" i="14"/>
  <c r="D2603" i="14"/>
  <c r="D2604" i="14"/>
  <c r="D2605" i="14"/>
  <c r="D2606" i="14"/>
  <c r="D2607" i="14"/>
  <c r="D2608" i="14"/>
  <c r="D2609" i="14"/>
  <c r="D2610" i="14"/>
  <c r="D2611" i="14"/>
  <c r="D2612" i="14"/>
  <c r="D2613" i="14"/>
  <c r="D2614" i="14"/>
  <c r="D2615" i="14"/>
  <c r="D2616" i="14"/>
  <c r="D2617" i="14"/>
  <c r="D2618" i="14"/>
  <c r="D2619" i="14"/>
  <c r="D2620" i="14"/>
  <c r="D2621" i="14"/>
  <c r="D2622" i="14"/>
  <c r="D2623" i="14"/>
  <c r="D2624" i="14"/>
  <c r="D2625" i="14"/>
  <c r="D2626" i="14"/>
  <c r="D2627" i="14"/>
  <c r="D2628" i="14"/>
  <c r="D2629" i="14"/>
  <c r="D2630" i="14"/>
  <c r="D2631" i="14"/>
  <c r="D2632" i="14"/>
  <c r="D2633" i="14"/>
  <c r="D2634" i="14"/>
  <c r="D2635" i="14"/>
  <c r="D2636" i="14"/>
  <c r="D2637" i="14"/>
  <c r="D2638" i="14"/>
  <c r="D2639" i="14"/>
  <c r="D2640" i="14"/>
  <c r="D2641" i="14"/>
  <c r="D2642" i="14"/>
  <c r="D2643" i="14"/>
  <c r="D2644" i="14"/>
  <c r="D2645" i="14"/>
  <c r="D2646" i="14"/>
  <c r="D2647" i="14"/>
  <c r="D2648" i="14"/>
  <c r="D2649" i="14"/>
  <c r="D2650" i="14"/>
  <c r="D2651" i="14"/>
  <c r="D2652" i="14"/>
  <c r="D2653" i="14"/>
  <c r="D2654" i="14"/>
  <c r="D2655" i="14"/>
  <c r="D2656" i="14"/>
  <c r="D2657" i="14"/>
  <c r="D2658" i="14"/>
  <c r="D2659" i="14"/>
  <c r="D2660" i="14"/>
  <c r="D2661" i="14"/>
  <c r="D2662" i="14"/>
  <c r="D2663" i="14"/>
  <c r="D2664" i="14"/>
  <c r="D2665" i="14"/>
  <c r="D2666" i="14"/>
  <c r="D2667" i="14"/>
  <c r="D2668" i="14"/>
  <c r="D2669" i="14"/>
  <c r="D2670" i="14"/>
  <c r="D2671" i="14"/>
  <c r="D2672" i="14"/>
  <c r="D2673" i="14"/>
  <c r="D2674" i="14"/>
  <c r="D2675" i="14"/>
  <c r="D2676" i="14"/>
  <c r="D2677" i="14"/>
  <c r="D2678" i="14"/>
  <c r="D2679" i="14"/>
  <c r="D2680" i="14"/>
  <c r="D2681" i="14"/>
  <c r="D2682" i="14"/>
  <c r="D2683" i="14"/>
  <c r="D2684" i="14"/>
  <c r="D2685" i="14"/>
  <c r="D2686" i="14"/>
  <c r="D2687" i="14"/>
  <c r="D2688" i="14"/>
  <c r="D2689" i="14"/>
  <c r="D2690" i="14"/>
  <c r="D2691" i="14"/>
  <c r="D2692" i="14"/>
  <c r="D2693" i="14"/>
  <c r="D2694" i="14"/>
  <c r="D2695" i="14"/>
  <c r="D2696" i="14"/>
  <c r="D2697" i="14"/>
  <c r="D2698" i="14"/>
  <c r="D2699" i="14"/>
  <c r="D2700" i="14"/>
  <c r="D2701" i="14"/>
  <c r="D2702" i="14"/>
  <c r="D2703" i="14"/>
  <c r="D2704" i="14"/>
  <c r="D2705" i="14"/>
  <c r="D2706" i="14"/>
  <c r="D2707" i="14"/>
  <c r="D2708" i="14"/>
  <c r="D2709" i="14"/>
  <c r="D2710" i="14"/>
  <c r="D2711" i="14"/>
  <c r="D2712" i="14"/>
  <c r="D2713" i="14"/>
  <c r="D2714" i="14"/>
  <c r="D2715" i="14"/>
  <c r="D2716" i="14"/>
  <c r="D2717" i="14"/>
  <c r="D2718" i="14"/>
  <c r="D2719" i="14"/>
  <c r="D2720" i="14"/>
  <c r="D2721" i="14"/>
  <c r="D2722" i="14"/>
  <c r="D2723" i="14"/>
  <c r="D2724" i="14"/>
  <c r="D2725" i="14"/>
  <c r="D2726" i="14"/>
  <c r="D2727" i="14"/>
  <c r="D2728" i="14"/>
  <c r="D2729" i="14"/>
  <c r="D2730" i="14"/>
  <c r="D2731" i="14"/>
  <c r="D2732" i="14"/>
  <c r="D2733" i="14"/>
  <c r="D2734" i="14"/>
  <c r="D2735" i="14"/>
  <c r="D2736" i="14"/>
  <c r="D2737" i="14"/>
  <c r="D2738" i="14"/>
  <c r="D2739" i="14"/>
  <c r="D2740" i="14"/>
  <c r="D2741" i="14"/>
  <c r="D2742" i="14"/>
  <c r="D2743" i="14"/>
  <c r="D2744" i="14"/>
  <c r="D2745" i="14"/>
  <c r="D2746" i="14"/>
  <c r="D2747" i="14"/>
  <c r="D2748" i="14"/>
  <c r="D2749" i="14"/>
  <c r="D2750" i="14"/>
  <c r="D2751" i="14"/>
  <c r="D2752" i="14"/>
  <c r="D2753" i="14"/>
  <c r="D2754" i="14"/>
  <c r="D2755" i="14"/>
  <c r="D2756" i="14"/>
  <c r="D2757" i="14"/>
  <c r="D2758" i="14"/>
  <c r="D2759" i="14"/>
  <c r="D2760" i="14"/>
  <c r="D2761" i="14"/>
  <c r="D2762" i="14"/>
  <c r="D2763" i="14"/>
  <c r="D2764" i="14"/>
  <c r="D2765" i="14"/>
  <c r="D2766" i="14"/>
  <c r="D2767" i="14"/>
  <c r="D2768" i="14"/>
  <c r="D2769" i="14"/>
  <c r="D2770" i="14"/>
  <c r="D2771" i="14"/>
  <c r="D2772" i="14"/>
  <c r="D2773" i="14"/>
  <c r="D2774" i="14"/>
  <c r="D2775" i="14"/>
  <c r="D2776" i="14"/>
  <c r="D2777" i="14"/>
  <c r="D2778" i="14"/>
  <c r="D2779" i="14"/>
  <c r="D2780" i="14"/>
  <c r="D2781" i="14"/>
  <c r="D2782" i="14"/>
  <c r="D2783" i="14"/>
  <c r="D2784" i="14"/>
  <c r="D2785" i="14"/>
  <c r="D2786" i="14"/>
  <c r="D2787" i="14"/>
  <c r="D2788" i="14"/>
  <c r="D2789" i="14"/>
  <c r="D2790" i="14"/>
  <c r="D2791" i="14"/>
  <c r="D2792" i="14"/>
  <c r="D2793" i="14"/>
  <c r="D2794" i="14"/>
  <c r="D2795" i="14"/>
  <c r="D2796" i="14"/>
  <c r="D2797" i="14"/>
  <c r="D2798" i="14"/>
  <c r="D2799" i="14"/>
  <c r="D2800" i="14"/>
  <c r="D2801" i="14"/>
  <c r="D2802" i="14"/>
  <c r="D2803" i="14"/>
  <c r="D2804" i="14"/>
  <c r="D2805" i="14"/>
  <c r="D2806" i="14"/>
  <c r="D2807" i="14"/>
  <c r="D2808" i="14"/>
  <c r="D2809" i="14"/>
  <c r="D2810" i="14"/>
  <c r="D2811" i="14"/>
  <c r="D2812" i="14"/>
  <c r="D2813" i="14"/>
  <c r="D2814" i="14"/>
  <c r="D2815" i="14"/>
  <c r="D2816" i="14"/>
  <c r="D2817" i="14"/>
  <c r="D2818" i="14"/>
  <c r="D2819" i="14"/>
  <c r="D2820" i="14"/>
  <c r="D2821" i="14"/>
  <c r="D2822" i="14"/>
  <c r="D2823" i="14"/>
  <c r="D2824" i="14"/>
  <c r="D2825" i="14"/>
  <c r="D2826" i="14"/>
  <c r="D2827" i="14"/>
  <c r="D2828" i="14"/>
  <c r="D2829" i="14"/>
  <c r="D2830" i="14"/>
  <c r="D2831" i="14"/>
  <c r="D2832" i="14"/>
  <c r="D2833" i="14"/>
  <c r="D2834" i="14"/>
  <c r="D2835" i="14"/>
  <c r="D2836" i="14"/>
  <c r="D2837" i="14"/>
  <c r="D2838" i="14"/>
  <c r="D2839" i="14"/>
  <c r="D2840" i="14"/>
  <c r="D2841" i="14"/>
  <c r="D2842" i="14"/>
  <c r="D2843" i="14"/>
  <c r="D2844" i="14"/>
  <c r="D2845" i="14"/>
  <c r="D2846" i="14"/>
  <c r="D2847" i="14"/>
  <c r="D2848" i="14"/>
  <c r="D2849" i="14"/>
  <c r="D2850" i="14"/>
  <c r="D2851" i="14"/>
  <c r="D2852" i="14"/>
  <c r="D2853" i="14"/>
  <c r="D2854" i="14"/>
  <c r="D2855" i="14"/>
  <c r="D2856" i="14"/>
  <c r="D2857" i="14"/>
  <c r="D2858" i="14"/>
  <c r="D2859" i="14"/>
  <c r="D2860" i="14"/>
  <c r="D2861" i="14"/>
  <c r="D2862" i="14"/>
  <c r="D2863" i="14"/>
  <c r="D2864" i="14"/>
  <c r="D2865" i="14"/>
  <c r="D2866" i="14"/>
  <c r="D2867" i="14"/>
  <c r="D2868" i="14"/>
  <c r="D2869" i="14"/>
  <c r="D2870" i="14"/>
  <c r="D2871" i="14"/>
  <c r="D2872" i="14"/>
  <c r="D2873" i="14"/>
  <c r="D2874" i="14"/>
  <c r="D2875" i="14"/>
  <c r="D2876" i="14"/>
  <c r="D2877" i="14"/>
  <c r="D2878" i="14"/>
  <c r="D2879" i="14"/>
  <c r="D2880" i="14"/>
  <c r="D2881" i="14"/>
  <c r="D2882" i="14"/>
  <c r="D2883" i="14"/>
  <c r="D2884" i="14"/>
  <c r="D2885" i="14"/>
  <c r="D2886" i="14"/>
  <c r="D2887" i="14"/>
  <c r="D2888" i="14"/>
  <c r="D2889" i="14"/>
  <c r="D2890" i="14"/>
  <c r="D2891" i="14"/>
  <c r="D2892" i="14"/>
  <c r="D2893" i="14"/>
  <c r="D2894" i="14"/>
  <c r="D2895" i="14"/>
  <c r="D2896" i="14"/>
  <c r="D2897" i="14"/>
  <c r="D2898" i="14"/>
  <c r="D2899" i="14"/>
  <c r="D2900" i="14"/>
  <c r="D2901" i="14"/>
  <c r="D2902" i="14"/>
  <c r="D2903" i="14"/>
  <c r="D2904" i="14"/>
  <c r="D2905" i="14"/>
  <c r="D2906" i="14"/>
  <c r="D2907" i="14"/>
  <c r="D2908" i="14"/>
  <c r="D2909" i="14"/>
  <c r="D2910" i="14"/>
  <c r="D2911" i="14"/>
  <c r="D2912" i="14"/>
  <c r="D2913" i="14"/>
  <c r="D2914" i="14"/>
  <c r="D2915" i="14"/>
  <c r="D2916" i="14"/>
  <c r="D2917" i="14"/>
  <c r="D2918" i="14"/>
  <c r="D2919" i="14"/>
  <c r="D2920" i="14"/>
  <c r="D2921" i="14"/>
  <c r="D2922" i="14"/>
  <c r="D2923" i="14"/>
  <c r="D2924" i="14"/>
  <c r="D2925" i="14"/>
  <c r="D2926" i="14"/>
  <c r="D2927" i="14"/>
  <c r="D2928" i="14"/>
  <c r="D2929" i="14"/>
  <c r="D2930" i="14"/>
  <c r="D2931" i="14"/>
  <c r="D2932" i="14"/>
  <c r="D2933" i="14"/>
  <c r="D2934" i="14"/>
  <c r="D2935" i="14"/>
  <c r="D2936" i="14"/>
  <c r="D2937" i="14"/>
  <c r="D2938" i="14"/>
  <c r="D2939" i="14"/>
  <c r="D2940" i="14"/>
  <c r="D2941" i="14"/>
  <c r="D2942" i="14"/>
  <c r="D2943" i="14"/>
  <c r="D2944" i="14"/>
  <c r="D2945" i="14"/>
  <c r="D2946" i="14"/>
  <c r="D2947" i="14"/>
  <c r="D2948" i="14"/>
  <c r="D2949" i="14"/>
  <c r="D2950" i="14"/>
  <c r="D2951" i="14"/>
  <c r="D2952" i="14"/>
  <c r="D2953" i="14"/>
  <c r="D2954" i="14"/>
  <c r="D2955" i="14"/>
  <c r="D2956" i="14"/>
  <c r="D2957" i="14"/>
  <c r="D2958" i="14"/>
  <c r="D2959" i="14"/>
  <c r="D2960" i="14"/>
  <c r="D2961" i="14"/>
  <c r="D2962" i="14"/>
  <c r="D2963" i="14"/>
  <c r="D2964" i="14"/>
  <c r="D2965" i="14"/>
  <c r="D2966" i="14"/>
  <c r="D2967" i="14"/>
  <c r="D2968" i="14"/>
  <c r="D2969" i="14"/>
  <c r="D2970" i="14"/>
  <c r="D2971" i="14"/>
  <c r="D2972" i="14"/>
  <c r="D2973" i="14"/>
  <c r="D2974" i="14"/>
  <c r="D2975" i="14"/>
  <c r="D2976" i="14"/>
  <c r="D2977" i="14"/>
  <c r="D2978" i="14"/>
  <c r="D2979" i="14"/>
  <c r="D2980" i="14"/>
  <c r="D2981" i="14"/>
  <c r="D2982" i="14"/>
  <c r="D2983" i="14"/>
  <c r="D2984" i="14"/>
  <c r="D2985" i="14"/>
  <c r="D2986" i="14"/>
  <c r="D2987" i="14"/>
  <c r="D2988" i="14"/>
  <c r="D2989" i="14"/>
  <c r="D2990" i="14"/>
  <c r="D2991" i="14"/>
  <c r="D2992" i="14"/>
  <c r="D2993" i="14"/>
  <c r="D2994" i="14"/>
  <c r="D2995" i="14"/>
  <c r="D2996" i="14"/>
  <c r="D2997" i="14"/>
  <c r="D2998" i="14"/>
  <c r="D2999" i="14"/>
  <c r="D3000" i="14"/>
  <c r="D3001" i="14"/>
  <c r="D3002" i="14"/>
  <c r="D3003" i="14"/>
  <c r="D3004" i="14"/>
  <c r="D3005" i="14"/>
  <c r="D3006" i="14"/>
  <c r="D3007" i="14"/>
  <c r="D3008" i="14"/>
  <c r="D3009" i="14"/>
  <c r="D3010" i="14"/>
  <c r="D3011" i="14"/>
  <c r="D3012" i="14"/>
  <c r="D3013" i="14"/>
  <c r="D3014" i="14"/>
  <c r="D3015" i="14"/>
  <c r="D3016" i="14"/>
  <c r="D3017" i="14"/>
  <c r="D3018" i="14"/>
  <c r="D3019" i="14"/>
  <c r="D3020" i="14"/>
  <c r="D3021" i="14"/>
  <c r="D3022" i="14"/>
  <c r="D3023" i="14"/>
  <c r="D3024" i="14"/>
  <c r="D3025" i="14"/>
  <c r="D3026" i="14"/>
  <c r="D3027" i="14"/>
  <c r="D3028" i="14"/>
  <c r="D3029" i="14"/>
  <c r="D3030" i="14"/>
  <c r="D3031" i="14"/>
  <c r="D3032" i="14"/>
  <c r="D3033" i="14"/>
  <c r="D3034" i="14"/>
  <c r="D3035" i="14"/>
  <c r="D3036" i="14"/>
  <c r="D3037" i="14"/>
  <c r="D3038" i="14"/>
  <c r="D3039" i="14"/>
  <c r="D3040" i="14"/>
  <c r="D3041" i="14"/>
  <c r="D3042" i="14"/>
  <c r="D3043" i="14"/>
  <c r="D3044" i="14"/>
  <c r="D3045" i="14"/>
  <c r="D3046" i="14"/>
  <c r="D3047" i="14"/>
  <c r="D3048" i="14"/>
  <c r="D3049" i="14"/>
  <c r="D3050" i="14"/>
  <c r="D3051" i="14"/>
  <c r="D3052" i="14"/>
  <c r="D3053" i="14"/>
  <c r="D3054" i="14"/>
  <c r="D3055" i="14"/>
  <c r="D3056" i="14"/>
  <c r="D3057" i="14"/>
  <c r="D3058" i="14"/>
  <c r="D3059" i="14"/>
  <c r="D3060" i="14"/>
  <c r="D3061" i="14"/>
  <c r="D3062" i="14"/>
  <c r="D3063" i="14"/>
  <c r="D3064" i="14"/>
  <c r="D3065" i="14"/>
  <c r="D3066" i="14"/>
  <c r="D3067" i="14"/>
  <c r="D3068" i="14"/>
  <c r="D3069" i="14"/>
  <c r="D3070" i="14"/>
  <c r="D3071" i="14"/>
  <c r="D3072" i="14"/>
  <c r="D3073" i="14"/>
  <c r="D3074" i="14"/>
  <c r="D3075" i="14"/>
  <c r="D3076" i="14"/>
  <c r="D3077" i="14"/>
  <c r="D3078" i="14"/>
  <c r="D3079" i="14"/>
  <c r="D3080" i="14"/>
  <c r="D3081" i="14"/>
  <c r="D3082" i="14"/>
  <c r="D3083" i="14"/>
  <c r="D3084" i="14"/>
  <c r="D3085" i="14"/>
  <c r="D3086" i="14"/>
  <c r="D3087" i="14"/>
  <c r="D3088" i="14"/>
  <c r="D3089" i="14"/>
  <c r="D3090" i="14"/>
  <c r="D3091" i="14"/>
  <c r="D3092" i="14"/>
  <c r="D3093" i="14"/>
  <c r="D3094" i="14"/>
  <c r="D3095" i="14"/>
  <c r="D3096" i="14"/>
  <c r="D3097" i="14"/>
  <c r="D3098" i="14"/>
  <c r="D3099" i="14"/>
  <c r="D3100" i="14"/>
  <c r="D3101" i="14"/>
  <c r="D3102" i="14"/>
  <c r="D3103" i="14"/>
  <c r="D3104" i="14"/>
  <c r="D3105" i="14"/>
  <c r="D3106" i="14"/>
  <c r="D3107" i="14"/>
  <c r="D3108" i="14"/>
  <c r="D3109" i="14"/>
  <c r="D3110" i="14"/>
  <c r="D3111" i="14"/>
  <c r="D3112" i="14"/>
  <c r="D3113" i="14"/>
  <c r="D3114" i="14"/>
  <c r="D3115" i="14"/>
  <c r="D3116" i="14"/>
  <c r="D3117" i="14"/>
  <c r="D3118" i="14"/>
  <c r="D3119" i="14"/>
  <c r="D3120" i="14"/>
  <c r="D3121" i="14"/>
  <c r="D3122" i="14"/>
  <c r="D3123" i="14"/>
  <c r="D3124" i="14"/>
  <c r="D3125" i="14"/>
  <c r="D3126" i="14"/>
  <c r="D3127" i="14"/>
  <c r="D3128" i="14"/>
  <c r="D3129" i="14"/>
  <c r="D3130" i="14"/>
  <c r="D3131" i="14"/>
  <c r="D3132" i="14"/>
  <c r="D3133" i="14"/>
  <c r="D3134" i="14"/>
  <c r="D3135" i="14"/>
  <c r="D3136" i="14"/>
  <c r="D3137" i="14"/>
  <c r="D3138" i="14"/>
  <c r="D3139" i="14"/>
  <c r="D3140" i="14"/>
  <c r="D3141" i="14"/>
  <c r="D3142" i="14"/>
  <c r="D3143" i="14"/>
  <c r="D3144" i="14"/>
  <c r="D3145" i="14"/>
  <c r="D3146" i="14"/>
  <c r="D3147" i="14"/>
  <c r="D3148" i="14"/>
  <c r="D3149" i="14"/>
  <c r="D3150" i="14"/>
  <c r="D3151" i="14"/>
  <c r="D3152" i="14"/>
  <c r="D3153" i="14"/>
  <c r="D3154" i="14"/>
  <c r="D3155" i="14"/>
  <c r="D3156" i="14"/>
  <c r="D3157" i="14"/>
  <c r="D3158" i="14"/>
  <c r="D3159" i="14"/>
  <c r="D3160" i="14"/>
  <c r="D3161" i="14"/>
  <c r="D3162" i="14"/>
  <c r="D3163" i="14"/>
  <c r="D3164" i="14"/>
  <c r="D3165" i="14"/>
  <c r="D3166" i="14"/>
  <c r="D3167" i="14"/>
  <c r="D3168" i="14"/>
  <c r="D3169" i="14"/>
  <c r="D3170" i="14"/>
  <c r="D3171" i="14"/>
  <c r="D3172" i="14"/>
  <c r="D3173" i="14"/>
  <c r="D3174" i="14"/>
  <c r="D3175" i="14"/>
  <c r="D3176" i="14"/>
  <c r="D3177" i="14"/>
  <c r="D3178" i="14"/>
  <c r="D3179" i="14"/>
  <c r="D3180" i="14"/>
  <c r="D3181" i="14"/>
  <c r="D3182" i="14"/>
  <c r="D3183" i="14"/>
  <c r="D3184" i="14"/>
  <c r="D3185" i="14"/>
  <c r="D3186" i="14"/>
  <c r="D3187" i="14"/>
  <c r="D3188" i="14"/>
  <c r="D3189" i="14"/>
  <c r="D3190" i="14"/>
  <c r="D3191" i="14"/>
  <c r="D3192" i="14"/>
  <c r="D3193" i="14"/>
  <c r="D3194" i="14"/>
  <c r="D3195" i="14"/>
  <c r="D3196" i="14"/>
  <c r="D3197" i="14"/>
  <c r="D3198" i="14"/>
  <c r="D3199" i="14"/>
  <c r="D3200" i="14"/>
  <c r="D3201" i="14"/>
  <c r="D3202" i="14"/>
  <c r="D3203" i="14"/>
  <c r="D3204" i="14"/>
  <c r="D3205" i="14"/>
  <c r="D3206" i="14"/>
  <c r="D3207" i="14"/>
  <c r="D3208" i="14"/>
  <c r="D3209" i="14"/>
  <c r="D3210" i="14"/>
  <c r="D3211" i="14"/>
  <c r="D3212" i="14"/>
  <c r="D3213" i="14"/>
  <c r="D3214" i="14"/>
  <c r="D3215" i="14"/>
  <c r="D3216" i="14"/>
  <c r="D3217" i="14"/>
  <c r="D3218" i="14"/>
  <c r="D3219" i="14"/>
  <c r="D3220" i="14"/>
  <c r="D3221" i="14"/>
  <c r="D3222" i="14"/>
  <c r="D3223" i="14"/>
  <c r="D3224" i="14"/>
  <c r="D3225" i="14"/>
  <c r="D3226" i="14"/>
  <c r="D3227" i="14"/>
  <c r="D3228" i="14"/>
  <c r="D3229" i="14"/>
  <c r="D3230" i="14"/>
  <c r="D3231" i="14"/>
  <c r="D3232" i="14"/>
  <c r="D3233" i="14"/>
  <c r="D3234" i="14"/>
  <c r="D3235" i="14"/>
  <c r="D3236" i="14"/>
  <c r="D3237" i="14"/>
  <c r="D3238" i="14"/>
  <c r="D3239" i="14"/>
  <c r="D3240" i="14"/>
  <c r="D3241" i="14"/>
  <c r="D3242" i="14"/>
  <c r="D3243" i="14"/>
  <c r="D3244" i="14"/>
  <c r="D3245" i="14"/>
  <c r="D3246" i="14"/>
  <c r="D3247" i="14"/>
  <c r="D3248" i="14"/>
  <c r="D3249" i="14"/>
  <c r="D3250" i="14"/>
  <c r="D3251" i="14"/>
  <c r="D3252" i="14"/>
  <c r="D3253" i="14"/>
  <c r="D3254" i="14"/>
  <c r="D3255" i="14"/>
  <c r="D3256" i="14"/>
  <c r="D3257" i="14"/>
  <c r="D3258" i="14"/>
  <c r="D3259" i="14"/>
  <c r="D3260" i="14"/>
  <c r="D3261" i="14"/>
  <c r="D3262" i="14"/>
  <c r="D3263" i="14"/>
  <c r="D3264" i="14"/>
  <c r="D3265" i="14"/>
  <c r="D3266" i="14"/>
  <c r="D3267" i="14"/>
  <c r="D3268" i="14"/>
  <c r="D3269" i="14"/>
  <c r="D3270" i="14"/>
  <c r="D3271" i="14"/>
  <c r="D3272" i="14"/>
  <c r="D3273" i="14"/>
  <c r="D3274" i="14"/>
  <c r="D3275" i="14"/>
  <c r="D3276" i="14"/>
  <c r="D3277" i="14"/>
  <c r="D3278" i="14"/>
  <c r="D3279" i="14"/>
  <c r="D3280" i="14"/>
  <c r="D3281" i="14"/>
  <c r="D3282" i="14"/>
  <c r="D3283" i="14"/>
  <c r="D3284" i="14"/>
  <c r="D3285" i="14"/>
  <c r="D3286" i="14"/>
  <c r="D3287" i="14"/>
  <c r="D3288" i="14"/>
  <c r="D3289" i="14"/>
  <c r="D3290" i="14"/>
  <c r="D3291" i="14"/>
  <c r="D3292" i="14"/>
  <c r="D3293" i="14"/>
  <c r="D3294" i="14"/>
  <c r="D3295" i="14"/>
  <c r="D3296" i="14"/>
  <c r="D3297" i="14"/>
  <c r="D3298" i="14"/>
  <c r="D3299" i="14"/>
  <c r="D3300" i="14"/>
  <c r="D3301" i="14"/>
  <c r="D3302" i="14"/>
  <c r="D3303" i="14"/>
  <c r="D3304" i="14"/>
  <c r="D3305" i="14"/>
  <c r="D3306" i="14"/>
  <c r="D3307" i="14"/>
  <c r="D3308" i="14"/>
  <c r="D3309" i="14"/>
  <c r="D3310" i="14"/>
  <c r="D3311" i="14"/>
  <c r="D3312" i="14"/>
  <c r="D3313" i="14"/>
  <c r="D3314" i="14"/>
  <c r="D3315" i="14"/>
  <c r="D3316" i="14"/>
  <c r="D3317" i="14"/>
  <c r="D3318" i="14"/>
  <c r="D3319" i="14"/>
  <c r="D3320" i="14"/>
  <c r="D3321" i="14"/>
  <c r="D3322" i="14"/>
  <c r="D3323" i="14"/>
  <c r="D3324" i="14"/>
  <c r="D3325" i="14"/>
  <c r="D3326" i="14"/>
  <c r="D3327" i="14"/>
  <c r="D3328" i="14"/>
  <c r="D3329" i="14"/>
  <c r="D3330" i="14"/>
  <c r="D3331" i="14"/>
  <c r="D3332" i="14"/>
  <c r="D3333" i="14"/>
  <c r="D3334" i="14"/>
  <c r="D3335" i="14"/>
  <c r="D3336" i="14"/>
  <c r="D3337" i="14"/>
  <c r="D3338" i="14"/>
  <c r="D3339" i="14"/>
  <c r="D3340" i="14"/>
  <c r="D3341" i="14"/>
  <c r="D3342" i="14"/>
  <c r="D3343" i="14"/>
  <c r="D3344" i="14"/>
  <c r="D3345" i="14"/>
  <c r="D3346" i="14"/>
  <c r="D3347" i="14"/>
  <c r="D3348" i="14"/>
  <c r="D3349" i="14"/>
  <c r="D3350" i="14"/>
  <c r="D3351" i="14"/>
  <c r="D3352" i="14"/>
  <c r="D3353" i="14"/>
  <c r="D3354" i="14"/>
  <c r="D3355" i="14"/>
  <c r="D3356" i="14"/>
  <c r="D3357" i="14"/>
  <c r="D3358" i="14"/>
  <c r="D3359" i="14"/>
  <c r="D3360" i="14"/>
  <c r="D3361" i="14"/>
  <c r="D3362" i="14"/>
  <c r="D3363" i="14"/>
  <c r="D3364" i="14"/>
  <c r="D3365" i="14"/>
  <c r="D3366" i="14"/>
  <c r="D3367" i="14"/>
  <c r="D3368" i="14"/>
  <c r="D3369" i="14"/>
  <c r="D3370" i="14"/>
  <c r="D3371" i="14"/>
  <c r="D3372" i="14"/>
  <c r="D3373" i="14"/>
  <c r="D3374" i="14"/>
  <c r="D3375" i="14"/>
  <c r="D3376" i="14"/>
  <c r="D3377" i="14"/>
  <c r="D3378" i="14"/>
  <c r="D3379" i="14"/>
  <c r="D3380" i="14"/>
  <c r="D3381" i="14"/>
  <c r="D3382" i="14"/>
  <c r="D3383" i="14"/>
  <c r="D3384" i="14"/>
  <c r="D3385" i="14"/>
  <c r="D3386" i="14"/>
  <c r="D3387" i="14"/>
  <c r="D3388" i="14"/>
  <c r="D3389" i="14"/>
  <c r="D3390" i="14"/>
  <c r="D3391" i="14"/>
  <c r="D3392" i="14"/>
  <c r="D3393" i="14"/>
  <c r="D3394" i="14"/>
  <c r="D3395" i="14"/>
  <c r="D3396" i="14"/>
  <c r="D3397" i="14"/>
  <c r="D3398" i="14"/>
  <c r="D3399" i="14"/>
  <c r="D3400" i="14"/>
  <c r="D3401" i="14"/>
  <c r="D3402" i="14"/>
  <c r="D3403" i="14"/>
  <c r="D3404" i="14"/>
  <c r="D3405" i="14"/>
  <c r="D3406" i="14"/>
  <c r="D3407" i="14"/>
  <c r="D3408" i="14"/>
  <c r="D3409" i="14"/>
  <c r="D3410" i="14"/>
  <c r="D3411" i="14"/>
  <c r="D3412" i="14"/>
  <c r="D3413" i="14"/>
  <c r="D3414" i="14"/>
  <c r="D3415" i="14"/>
  <c r="D3416" i="14"/>
  <c r="D3417" i="14"/>
  <c r="D3418" i="14"/>
  <c r="D3419" i="14"/>
  <c r="D3420" i="14"/>
  <c r="D3421" i="14"/>
  <c r="D3422" i="14"/>
  <c r="D3423" i="14"/>
  <c r="D3424" i="14"/>
  <c r="D3425" i="14"/>
  <c r="D3426" i="14"/>
  <c r="D3427" i="14"/>
  <c r="D3428" i="14"/>
  <c r="D3429" i="14"/>
  <c r="D3430" i="14"/>
  <c r="D3431" i="14"/>
  <c r="D3432" i="14"/>
  <c r="D3433" i="14"/>
  <c r="D3434" i="14"/>
  <c r="D3435" i="14"/>
  <c r="D3436" i="14"/>
  <c r="D3437" i="14"/>
  <c r="D3438" i="14"/>
  <c r="D3439" i="14"/>
  <c r="D3440" i="14"/>
  <c r="D3441" i="14"/>
  <c r="D3442" i="14"/>
  <c r="D3443" i="14"/>
  <c r="D3444" i="14"/>
  <c r="D3445" i="14"/>
  <c r="D3446" i="14"/>
  <c r="D3447" i="14"/>
  <c r="D3448" i="14"/>
  <c r="D3449" i="14"/>
  <c r="D3450" i="14"/>
  <c r="D3451" i="14"/>
  <c r="D3452" i="14"/>
  <c r="D3453" i="14"/>
  <c r="D3454" i="14"/>
  <c r="D3455" i="14"/>
  <c r="D3456" i="14"/>
  <c r="D3457" i="14"/>
  <c r="D3458" i="14"/>
  <c r="D3459" i="14"/>
  <c r="D3460" i="14"/>
  <c r="D3461" i="14"/>
  <c r="D3462" i="14"/>
  <c r="D3463" i="14"/>
  <c r="D3464" i="14"/>
  <c r="D3465" i="14"/>
  <c r="D3466" i="14"/>
  <c r="D3467" i="14"/>
  <c r="D3468" i="14"/>
  <c r="D3469" i="14"/>
  <c r="D3470" i="14"/>
  <c r="D3471" i="14"/>
  <c r="D3472" i="14"/>
  <c r="D3473" i="14"/>
  <c r="D3474" i="14"/>
  <c r="D3475" i="14"/>
  <c r="D3476" i="14"/>
  <c r="D3477" i="14"/>
  <c r="D3478" i="14"/>
  <c r="D3479" i="14"/>
  <c r="D3480" i="14"/>
  <c r="D3481" i="14"/>
  <c r="D3482" i="14"/>
  <c r="D3483" i="14"/>
  <c r="D3484" i="14"/>
  <c r="D3485" i="14"/>
  <c r="D3486" i="14"/>
  <c r="D3487" i="14"/>
  <c r="D3488" i="14"/>
  <c r="D3489" i="14"/>
  <c r="D3490" i="14"/>
  <c r="D3491" i="14"/>
  <c r="D3492" i="14"/>
  <c r="D3493" i="14"/>
  <c r="D3494" i="14"/>
  <c r="D3495" i="14"/>
  <c r="D3496" i="14"/>
  <c r="D3497" i="14"/>
  <c r="D3498" i="14"/>
  <c r="D3499" i="14"/>
  <c r="D3500" i="14"/>
  <c r="D3501" i="14"/>
  <c r="D3502" i="14"/>
  <c r="D3503" i="14"/>
  <c r="D3504" i="14"/>
  <c r="D3505" i="14"/>
  <c r="D3506" i="14"/>
  <c r="D3507" i="14"/>
  <c r="D3508" i="14"/>
  <c r="D3509" i="14"/>
  <c r="D3510" i="14"/>
  <c r="D3511" i="14"/>
  <c r="D3512" i="14"/>
  <c r="D3513" i="14"/>
  <c r="D3514" i="14"/>
  <c r="D3515" i="14"/>
  <c r="D3516" i="14"/>
  <c r="D3517" i="14"/>
  <c r="D3518" i="14"/>
  <c r="D3519" i="14"/>
  <c r="D3520" i="14"/>
  <c r="D3521" i="14"/>
  <c r="D3522" i="14"/>
  <c r="D3523" i="14"/>
  <c r="D3524" i="14"/>
  <c r="D3525" i="14"/>
  <c r="D3526" i="14"/>
  <c r="D3527" i="14"/>
  <c r="D3528" i="14"/>
  <c r="D3529" i="14"/>
  <c r="D3530" i="14"/>
  <c r="D3531" i="14"/>
  <c r="D3532" i="14"/>
  <c r="D3533" i="14"/>
  <c r="D3534" i="14"/>
  <c r="D3535" i="14"/>
  <c r="D3536" i="14"/>
  <c r="D3537" i="14"/>
  <c r="D3538" i="14"/>
  <c r="D3539" i="14"/>
  <c r="D3540" i="14"/>
  <c r="D3541" i="14"/>
  <c r="D3542" i="14"/>
  <c r="D3543" i="14"/>
  <c r="D3544" i="14"/>
  <c r="D3545" i="14"/>
  <c r="D3546" i="14"/>
  <c r="D3547" i="14"/>
  <c r="D3548" i="14"/>
  <c r="D3549" i="14"/>
  <c r="D3550" i="14"/>
  <c r="D3551" i="14"/>
  <c r="D3552" i="14"/>
  <c r="D3553" i="14"/>
  <c r="D3554" i="14"/>
  <c r="D3555" i="14"/>
  <c r="D3556" i="14"/>
  <c r="D3557" i="14"/>
  <c r="D3558" i="14"/>
  <c r="D3559" i="14"/>
  <c r="D3560" i="14"/>
  <c r="D3561" i="14"/>
  <c r="D3562" i="14"/>
  <c r="D3563" i="14"/>
  <c r="D3564" i="14"/>
  <c r="D3565" i="14"/>
  <c r="D3566" i="14"/>
  <c r="D3567" i="14"/>
  <c r="D3568" i="14"/>
  <c r="D3569" i="14"/>
  <c r="D3570" i="14"/>
  <c r="D3571" i="14"/>
  <c r="D3572" i="14"/>
  <c r="D3573" i="14"/>
  <c r="D3574" i="14"/>
  <c r="D3575" i="14"/>
  <c r="D3576" i="14"/>
  <c r="D3577" i="14"/>
  <c r="D3578" i="14"/>
  <c r="D3579" i="14"/>
  <c r="D3580" i="14"/>
  <c r="D3581" i="14"/>
  <c r="D3582" i="14"/>
  <c r="D3583" i="14"/>
  <c r="D3584" i="14"/>
  <c r="D3585" i="14"/>
  <c r="D3586" i="14"/>
  <c r="D3587" i="14"/>
  <c r="D3588" i="14"/>
  <c r="D3589" i="14"/>
  <c r="D3590" i="14"/>
  <c r="D3591" i="14"/>
  <c r="D3592" i="14"/>
  <c r="D3593" i="14"/>
  <c r="D3594" i="14"/>
  <c r="D3595" i="14"/>
  <c r="D3596" i="14"/>
  <c r="D3597" i="14"/>
  <c r="D3598" i="14"/>
  <c r="D3599" i="14"/>
  <c r="D3600" i="14"/>
  <c r="D3601" i="14"/>
  <c r="D3602" i="14"/>
  <c r="D3603" i="14"/>
  <c r="D3604" i="14"/>
  <c r="D3605" i="14"/>
  <c r="D3606" i="14"/>
  <c r="D3607" i="14"/>
  <c r="D3608" i="14"/>
  <c r="D3609" i="14"/>
  <c r="D3610" i="14"/>
  <c r="D3611" i="14"/>
  <c r="D3612" i="14"/>
  <c r="D3613" i="14"/>
  <c r="D3614" i="14"/>
  <c r="D3615" i="14"/>
  <c r="D3616" i="14"/>
  <c r="D3617" i="14"/>
  <c r="D3618" i="14"/>
  <c r="D3619" i="14"/>
  <c r="D3620" i="14"/>
  <c r="D3621" i="14"/>
  <c r="D3622" i="14"/>
  <c r="D3623" i="14"/>
  <c r="D3624" i="14"/>
  <c r="D3625" i="14"/>
  <c r="D3626" i="14"/>
  <c r="D3627" i="14"/>
  <c r="D3628" i="14"/>
  <c r="D3629" i="14"/>
  <c r="D3630" i="14"/>
  <c r="D3631" i="14"/>
  <c r="D3632" i="14"/>
  <c r="D3633" i="14"/>
  <c r="D3634" i="14"/>
  <c r="D3635" i="14"/>
  <c r="D3636" i="14"/>
  <c r="D3637" i="14"/>
  <c r="D3638" i="14"/>
  <c r="D3639" i="14"/>
  <c r="D3640" i="14"/>
  <c r="D3641" i="14"/>
  <c r="D3642" i="14"/>
  <c r="D3643" i="14"/>
  <c r="D3644" i="14"/>
  <c r="D3645" i="14"/>
  <c r="D3646" i="14"/>
  <c r="D3647" i="14"/>
  <c r="D3648" i="14"/>
  <c r="D3649" i="14"/>
  <c r="D3650" i="14"/>
  <c r="D3651" i="14"/>
  <c r="D3652" i="14"/>
  <c r="D3653" i="14"/>
  <c r="D3654" i="14"/>
  <c r="D3655" i="14"/>
  <c r="D3656" i="14"/>
  <c r="D3657" i="14"/>
  <c r="D3658" i="14"/>
  <c r="D3659" i="14"/>
  <c r="D3660" i="14"/>
  <c r="D3661" i="14"/>
  <c r="D3662" i="14"/>
  <c r="D3663" i="14"/>
  <c r="D3664" i="14"/>
  <c r="D3665" i="14"/>
  <c r="D3666" i="14"/>
  <c r="D3667" i="14"/>
  <c r="D3668" i="14"/>
  <c r="D3669" i="14"/>
  <c r="D3670" i="14"/>
  <c r="D3671" i="14"/>
  <c r="D3672" i="14"/>
  <c r="D3673" i="14"/>
  <c r="D3674" i="14"/>
  <c r="D3675" i="14"/>
  <c r="D3676" i="14"/>
  <c r="D3677" i="14"/>
  <c r="D3678" i="14"/>
  <c r="D3679" i="14"/>
  <c r="D3680" i="14"/>
  <c r="D3681" i="14"/>
  <c r="D3682" i="14"/>
  <c r="D3683" i="14"/>
  <c r="D3684" i="14"/>
  <c r="D3685" i="14"/>
  <c r="D3686" i="14"/>
  <c r="D3687" i="14"/>
  <c r="D3688" i="14"/>
  <c r="D3689" i="14"/>
  <c r="D3690" i="14"/>
  <c r="D3691" i="14"/>
  <c r="D3692" i="14"/>
  <c r="D3693" i="14"/>
  <c r="D3694" i="14"/>
  <c r="D3695" i="14"/>
  <c r="D3696" i="14"/>
  <c r="D3697" i="14"/>
  <c r="D3698" i="14"/>
  <c r="D3699" i="14"/>
  <c r="D3700" i="14"/>
  <c r="D3701" i="14"/>
  <c r="D3702" i="14"/>
  <c r="D3703" i="14"/>
  <c r="D3704" i="14"/>
  <c r="D3705" i="14"/>
  <c r="D3706" i="14"/>
  <c r="D3707" i="14"/>
  <c r="D3708" i="14"/>
  <c r="D3709" i="14"/>
  <c r="D3710" i="14"/>
  <c r="D3711" i="14"/>
  <c r="D3712" i="14"/>
  <c r="D3713" i="14"/>
  <c r="D3714" i="14"/>
  <c r="D3715" i="14"/>
  <c r="D3716" i="14"/>
  <c r="D3717" i="14"/>
  <c r="D3718" i="14"/>
  <c r="D3719" i="14"/>
  <c r="D3720" i="14"/>
  <c r="D3721" i="14"/>
  <c r="D3722" i="14"/>
  <c r="D3723" i="14"/>
  <c r="D3724" i="14"/>
  <c r="D3725" i="14"/>
  <c r="D3726" i="14"/>
  <c r="D3727" i="14"/>
  <c r="D3728" i="14"/>
  <c r="D3729" i="14"/>
  <c r="D3730" i="14"/>
  <c r="D3731" i="14"/>
  <c r="D3732" i="14"/>
  <c r="D3733" i="14"/>
  <c r="D3734" i="14"/>
  <c r="D3735" i="14"/>
  <c r="D3736" i="14"/>
  <c r="D3737" i="14"/>
  <c r="D3738" i="14"/>
  <c r="D3739" i="14"/>
  <c r="D3740" i="14"/>
  <c r="D3741" i="14"/>
  <c r="D3742" i="14"/>
  <c r="D3743" i="14"/>
  <c r="D3744" i="14"/>
  <c r="D3745" i="14"/>
  <c r="D3746" i="14"/>
  <c r="D3747" i="14"/>
  <c r="D3748" i="14"/>
  <c r="D3749" i="14"/>
  <c r="D3750" i="14"/>
  <c r="D3751" i="14"/>
  <c r="D3752" i="14"/>
  <c r="D3753" i="14"/>
  <c r="D3754" i="14"/>
  <c r="D3755" i="14"/>
  <c r="D3756" i="14"/>
  <c r="D3757" i="14"/>
  <c r="D3758" i="14"/>
  <c r="D3759" i="14"/>
  <c r="D3760" i="14"/>
  <c r="D3761" i="14"/>
  <c r="D3762" i="14"/>
  <c r="D3763" i="14"/>
  <c r="D3764" i="14"/>
  <c r="D3765" i="14"/>
  <c r="D3766" i="14"/>
  <c r="D3767" i="14"/>
  <c r="D3768" i="14"/>
  <c r="D3769" i="14"/>
  <c r="D3770" i="14"/>
  <c r="D3771" i="14"/>
  <c r="D3772" i="14"/>
  <c r="D3773" i="14"/>
  <c r="D3774" i="14"/>
  <c r="D3775" i="14"/>
  <c r="D3776" i="14"/>
  <c r="D3777" i="14"/>
  <c r="D3778" i="14"/>
  <c r="D3779" i="14"/>
  <c r="D3780" i="14"/>
  <c r="D3781" i="14"/>
  <c r="D3782" i="14"/>
  <c r="D3783" i="14"/>
  <c r="D3784" i="14"/>
  <c r="D3785" i="14"/>
  <c r="D3786" i="14"/>
  <c r="D3787" i="14"/>
  <c r="D3788" i="14"/>
  <c r="D3789" i="14"/>
  <c r="D3790" i="14"/>
  <c r="D3791" i="14"/>
  <c r="D3792" i="14"/>
  <c r="D3793" i="14"/>
  <c r="D3794" i="14"/>
  <c r="D3795" i="14"/>
  <c r="D3796" i="14"/>
  <c r="D3797" i="14"/>
  <c r="D3798" i="14"/>
  <c r="D3799" i="14"/>
  <c r="D3800" i="14"/>
  <c r="D3801" i="14"/>
  <c r="D3802" i="14"/>
  <c r="D3803" i="14"/>
  <c r="D3804" i="14"/>
  <c r="D3805" i="14"/>
  <c r="D3806" i="14"/>
  <c r="D3807" i="14"/>
  <c r="D3808" i="14"/>
  <c r="D3809" i="14"/>
  <c r="D3810" i="14"/>
  <c r="D3811" i="14"/>
  <c r="D3812" i="14"/>
  <c r="D3813" i="14"/>
  <c r="D3814" i="14"/>
  <c r="D3815" i="14"/>
  <c r="D3816" i="14"/>
  <c r="D3817" i="14"/>
  <c r="D3818" i="14"/>
  <c r="D3819" i="14"/>
  <c r="D3820" i="14"/>
  <c r="D3821" i="14"/>
  <c r="D3822" i="14"/>
  <c r="D3823" i="14"/>
  <c r="D3824" i="14"/>
  <c r="D3825" i="14"/>
  <c r="D3826" i="14"/>
  <c r="D3827" i="14"/>
  <c r="D3828" i="14"/>
  <c r="D3829" i="14"/>
  <c r="D3830" i="14"/>
  <c r="D3831" i="14"/>
  <c r="D3832" i="14"/>
  <c r="D3833" i="14"/>
  <c r="D3834" i="14"/>
  <c r="D3835" i="14"/>
  <c r="D3836" i="14"/>
  <c r="D3837" i="14"/>
  <c r="D3838" i="14"/>
  <c r="D3839" i="14"/>
  <c r="D3840" i="14"/>
  <c r="D3841" i="14"/>
  <c r="D3842" i="14"/>
  <c r="D3843" i="14"/>
  <c r="D3844" i="14"/>
  <c r="D3845" i="14"/>
  <c r="D3846" i="14"/>
  <c r="D3847" i="14"/>
  <c r="D3848" i="14"/>
  <c r="D3849" i="14"/>
  <c r="D3850" i="14"/>
  <c r="D3851" i="14"/>
  <c r="D3852" i="14"/>
  <c r="D3853" i="14"/>
  <c r="D3854" i="14"/>
  <c r="D3855" i="14"/>
  <c r="D3856" i="14"/>
  <c r="D3857" i="14"/>
  <c r="D3858" i="14"/>
  <c r="D3859" i="14"/>
  <c r="D3860" i="14"/>
  <c r="D3861" i="14"/>
  <c r="D3862" i="14"/>
  <c r="D3863" i="14"/>
  <c r="D3864" i="14"/>
  <c r="D3865" i="14"/>
  <c r="D3866" i="14"/>
  <c r="D3867" i="14"/>
  <c r="D3868" i="14"/>
  <c r="D3869" i="14"/>
  <c r="D3870" i="14"/>
  <c r="D3871" i="14"/>
  <c r="D3872" i="14"/>
  <c r="D3873" i="14"/>
  <c r="D3874" i="14"/>
  <c r="D3875" i="14"/>
  <c r="D3876" i="14"/>
  <c r="D3877" i="14"/>
  <c r="D3878" i="14"/>
  <c r="D3879" i="14"/>
  <c r="D3880" i="14"/>
  <c r="D3881" i="14"/>
  <c r="D3882" i="14"/>
  <c r="D3883" i="14"/>
  <c r="D3884" i="14"/>
  <c r="D3885" i="14"/>
  <c r="D3886" i="14"/>
  <c r="D3887" i="14"/>
  <c r="D3888" i="14"/>
  <c r="D3889" i="14"/>
  <c r="D3890" i="14"/>
  <c r="D3891" i="14"/>
  <c r="D3892" i="14"/>
  <c r="D3893" i="14"/>
  <c r="D3894" i="14"/>
  <c r="D3895" i="14"/>
  <c r="D3896" i="14"/>
  <c r="D3897" i="14"/>
  <c r="D3898" i="14"/>
  <c r="D3899" i="14"/>
  <c r="D3900" i="14"/>
  <c r="D3901" i="14"/>
  <c r="D3902" i="14"/>
  <c r="D3903" i="14"/>
  <c r="D3904" i="14"/>
  <c r="D3905" i="14"/>
  <c r="D3906" i="14"/>
  <c r="D3907" i="14"/>
  <c r="D3908" i="14"/>
  <c r="D3909" i="14"/>
  <c r="D3910" i="14"/>
  <c r="D3911" i="14"/>
  <c r="D3912" i="14"/>
  <c r="D3913" i="14"/>
  <c r="D3914" i="14"/>
  <c r="D3915" i="14"/>
  <c r="D3916" i="14"/>
  <c r="D3917" i="14"/>
  <c r="D3918" i="14"/>
  <c r="D3919" i="14"/>
  <c r="D3920" i="14"/>
  <c r="D3921" i="14"/>
  <c r="D3922" i="14"/>
  <c r="D3923" i="14"/>
  <c r="D3924" i="14"/>
  <c r="D3925" i="14"/>
  <c r="D3926" i="14"/>
  <c r="D3927" i="14"/>
  <c r="D3928" i="14"/>
  <c r="D3929" i="14"/>
  <c r="D3930" i="14"/>
  <c r="D3931" i="14"/>
  <c r="D3932" i="14"/>
  <c r="D3933" i="14"/>
  <c r="D3934" i="14"/>
  <c r="D3935" i="14"/>
  <c r="D3936" i="14"/>
  <c r="D3937" i="14"/>
  <c r="D3938" i="14"/>
  <c r="D3939" i="14"/>
  <c r="D3940" i="14"/>
  <c r="D3941" i="14"/>
  <c r="D3942" i="14"/>
  <c r="D3943" i="14"/>
  <c r="D3944" i="14"/>
  <c r="D3945" i="14"/>
  <c r="D3946" i="14"/>
  <c r="D3947" i="14"/>
  <c r="D3948" i="14"/>
  <c r="D3949" i="14"/>
  <c r="D3950" i="14"/>
  <c r="D3951" i="14"/>
  <c r="D3952" i="14"/>
  <c r="D3953" i="14"/>
  <c r="D3954" i="14"/>
  <c r="D3955" i="14"/>
  <c r="D3956" i="14"/>
  <c r="D3957" i="14"/>
  <c r="D3958" i="14"/>
  <c r="D3959" i="14"/>
  <c r="D3960" i="14"/>
  <c r="D3961" i="14"/>
  <c r="D3962" i="14"/>
  <c r="D3963" i="14"/>
  <c r="D3964" i="14"/>
  <c r="D3965" i="14"/>
  <c r="D3966" i="14"/>
  <c r="D3967" i="14"/>
  <c r="D3968" i="14"/>
  <c r="D3969" i="14"/>
  <c r="D3970" i="14"/>
  <c r="D3971" i="14"/>
  <c r="D3972" i="14"/>
  <c r="D3973" i="14"/>
  <c r="D3974" i="14"/>
  <c r="D3975" i="14"/>
  <c r="D3976" i="14"/>
  <c r="D3977" i="14"/>
  <c r="D3978" i="14"/>
  <c r="D3979" i="14"/>
  <c r="D3980" i="14"/>
  <c r="D3981" i="14"/>
  <c r="D3982" i="14"/>
  <c r="D3983" i="14"/>
  <c r="D3984" i="14"/>
  <c r="D3985" i="14"/>
  <c r="D3986" i="14"/>
  <c r="D3987" i="14"/>
  <c r="D3988" i="14"/>
  <c r="D3989" i="14"/>
  <c r="D3990" i="14"/>
  <c r="D3991" i="14"/>
  <c r="D3992" i="14"/>
  <c r="D3993" i="14"/>
  <c r="D3994" i="14"/>
  <c r="D3995" i="14"/>
  <c r="D3996" i="14"/>
  <c r="D3997" i="14"/>
  <c r="D3998" i="14"/>
  <c r="D3999" i="14"/>
  <c r="D4000" i="14"/>
  <c r="D4001" i="14"/>
  <c r="D4002" i="14"/>
  <c r="D4003" i="14"/>
  <c r="D4004" i="14"/>
  <c r="D4005" i="14"/>
  <c r="D4006" i="14"/>
  <c r="D4007" i="14"/>
  <c r="D4008" i="14"/>
  <c r="D4009" i="14"/>
  <c r="D4010" i="14"/>
  <c r="D4011" i="14"/>
  <c r="D4012" i="14"/>
  <c r="D4013" i="14"/>
  <c r="D4014" i="14"/>
  <c r="D4015" i="14"/>
  <c r="D4016" i="14"/>
  <c r="D4017" i="14"/>
  <c r="D4018" i="14"/>
  <c r="D4019" i="14"/>
  <c r="D4020" i="14"/>
  <c r="D4021" i="14"/>
  <c r="D4022" i="14"/>
  <c r="D4023" i="14"/>
  <c r="D4024" i="14"/>
  <c r="D4025" i="14"/>
  <c r="D4026" i="14"/>
  <c r="D4027" i="14"/>
  <c r="D4028" i="14"/>
  <c r="D4029" i="14"/>
  <c r="D4030" i="14"/>
  <c r="D4031" i="14"/>
  <c r="D4032" i="14"/>
  <c r="D4033" i="14"/>
  <c r="D4034" i="14"/>
  <c r="D4035" i="14"/>
  <c r="D4036" i="14"/>
  <c r="D4037" i="14"/>
  <c r="D4038" i="14"/>
  <c r="D4039" i="14"/>
  <c r="D4040" i="14"/>
  <c r="D4041" i="14"/>
  <c r="D4042" i="14"/>
  <c r="D4043" i="14"/>
  <c r="D4044" i="14"/>
  <c r="D4045" i="14"/>
  <c r="D4046" i="14"/>
  <c r="D4047" i="14"/>
  <c r="D4048" i="14"/>
  <c r="D4049" i="14"/>
  <c r="D4050" i="14"/>
  <c r="D4051" i="14"/>
  <c r="D4052" i="14"/>
  <c r="D4053" i="14"/>
  <c r="D4054" i="14"/>
  <c r="D4055" i="14"/>
  <c r="D4056" i="14"/>
  <c r="D4057" i="14"/>
  <c r="D4058" i="14"/>
  <c r="D4059" i="14"/>
  <c r="D4060" i="14"/>
  <c r="D4061" i="14"/>
  <c r="D4062" i="14"/>
  <c r="D4063" i="14"/>
  <c r="D4064" i="14"/>
  <c r="D4065" i="14"/>
  <c r="D4066" i="14"/>
  <c r="D4067" i="14"/>
  <c r="D4068" i="14"/>
  <c r="D4069" i="14"/>
  <c r="D4070" i="14"/>
  <c r="D4071" i="14"/>
  <c r="D4072" i="14"/>
  <c r="D4073" i="14"/>
  <c r="D4074" i="14"/>
  <c r="D4075" i="14"/>
  <c r="D4076" i="14"/>
  <c r="D4077" i="14"/>
  <c r="D4078" i="14"/>
  <c r="D4079" i="14"/>
  <c r="D4080" i="14"/>
  <c r="D4081" i="14"/>
  <c r="D4082" i="14"/>
  <c r="D4083" i="14"/>
  <c r="D4084" i="14"/>
  <c r="D4085" i="14"/>
  <c r="D4086" i="14"/>
  <c r="D4087" i="14"/>
  <c r="D4088" i="14"/>
  <c r="D4089" i="14"/>
  <c r="D4090" i="14"/>
  <c r="D4091" i="14"/>
  <c r="D4092" i="14"/>
  <c r="D4093" i="14"/>
  <c r="D4094" i="14"/>
  <c r="D4095" i="14"/>
  <c r="D4096" i="14"/>
  <c r="D4097" i="14"/>
  <c r="D4098" i="14"/>
  <c r="D4099" i="14"/>
  <c r="D4100" i="14"/>
  <c r="D4101" i="14"/>
  <c r="D4102" i="14"/>
  <c r="D4103" i="14"/>
  <c r="D4104" i="14"/>
  <c r="D4105" i="14"/>
  <c r="D4106" i="14"/>
  <c r="D4107" i="14"/>
  <c r="D4108" i="14"/>
  <c r="D4109" i="14"/>
  <c r="D4110" i="14"/>
  <c r="D4111" i="14"/>
  <c r="D4112" i="14"/>
  <c r="D4113" i="14"/>
  <c r="D4114" i="14"/>
  <c r="D4115" i="14"/>
  <c r="D4116" i="14"/>
  <c r="D4117" i="14"/>
  <c r="D4118" i="14"/>
  <c r="D4119" i="14"/>
  <c r="D4120" i="14"/>
  <c r="D4121" i="14"/>
  <c r="D4122" i="14"/>
  <c r="D4123" i="14"/>
  <c r="D4124" i="14"/>
  <c r="D4125" i="14"/>
  <c r="D4126" i="14"/>
  <c r="D4127" i="14"/>
  <c r="D4128" i="14"/>
  <c r="D4129" i="14"/>
  <c r="D4130" i="14"/>
  <c r="D4131" i="14"/>
  <c r="D4132" i="14"/>
  <c r="D4133" i="14"/>
  <c r="D4134" i="14"/>
  <c r="D4135" i="14"/>
  <c r="D4136" i="14"/>
  <c r="D4137" i="14"/>
  <c r="D4138" i="14"/>
  <c r="D4139" i="14"/>
  <c r="D4140" i="14"/>
  <c r="D4141" i="14"/>
  <c r="D4142" i="14"/>
  <c r="D4143" i="14"/>
  <c r="D4144" i="14"/>
  <c r="D4145" i="14"/>
  <c r="D4146" i="14"/>
  <c r="D4147" i="14"/>
  <c r="D4148" i="14"/>
  <c r="D4149" i="14"/>
  <c r="D4150" i="14"/>
  <c r="D4151" i="14"/>
  <c r="D4152" i="14"/>
  <c r="D4153" i="14"/>
  <c r="D4154" i="14"/>
  <c r="D4155" i="14"/>
  <c r="D4156" i="14"/>
  <c r="D4157" i="14"/>
  <c r="D4158" i="14"/>
  <c r="D4159" i="14"/>
  <c r="D4160" i="14"/>
  <c r="D4161" i="14"/>
  <c r="D4162" i="14"/>
  <c r="D4163" i="14"/>
  <c r="D4164" i="14"/>
  <c r="D4165" i="14"/>
  <c r="D4166" i="14"/>
  <c r="D4167" i="14"/>
  <c r="D4168" i="14"/>
  <c r="D4169" i="14"/>
  <c r="D4170" i="14"/>
  <c r="D4171" i="14"/>
  <c r="D4172" i="14"/>
  <c r="D4173" i="14"/>
  <c r="D4174" i="14"/>
  <c r="D4175" i="14"/>
  <c r="D4176" i="14"/>
  <c r="D4177" i="14"/>
  <c r="D4178" i="14"/>
  <c r="D4179" i="14"/>
  <c r="D4180" i="14"/>
  <c r="D4181" i="14"/>
  <c r="D4182" i="14"/>
  <c r="D4183" i="14"/>
  <c r="D4184" i="14"/>
  <c r="D4185" i="14"/>
  <c r="D4186" i="14"/>
  <c r="D4187" i="14"/>
  <c r="D4188" i="14"/>
  <c r="D4189" i="14"/>
  <c r="D4190" i="14"/>
  <c r="D4191" i="14"/>
  <c r="D4192" i="14"/>
  <c r="D4193" i="14"/>
  <c r="D4194" i="14"/>
  <c r="D4195" i="14"/>
  <c r="D4196" i="14"/>
  <c r="D4197" i="14"/>
  <c r="D4198" i="14"/>
  <c r="D4199" i="14"/>
  <c r="D4200" i="14"/>
  <c r="D4201" i="14"/>
  <c r="D4202" i="14"/>
  <c r="D4203" i="14"/>
  <c r="D4204" i="14"/>
  <c r="D4205" i="14"/>
  <c r="D4206" i="14"/>
  <c r="D4207" i="14"/>
  <c r="D4208" i="14"/>
  <c r="D4209" i="14"/>
  <c r="D4210" i="14"/>
  <c r="D4211" i="14"/>
  <c r="D4212" i="14"/>
  <c r="D4213" i="14"/>
  <c r="D4214" i="14"/>
  <c r="D4215" i="14"/>
  <c r="D4216" i="14"/>
  <c r="D4217" i="14"/>
  <c r="D4218" i="14"/>
  <c r="D4219" i="14"/>
  <c r="D4220" i="14"/>
  <c r="D4221" i="14"/>
  <c r="D4222" i="14"/>
  <c r="D4223" i="14"/>
  <c r="D4224" i="14"/>
  <c r="D4225" i="14"/>
  <c r="D4226" i="14"/>
  <c r="D4227" i="14"/>
  <c r="D4228" i="14"/>
  <c r="D4229" i="14"/>
  <c r="D4230" i="14"/>
  <c r="D4231" i="14"/>
  <c r="D4232" i="14"/>
  <c r="D4233" i="14"/>
  <c r="D4234" i="14"/>
  <c r="D4235" i="14"/>
  <c r="D4236" i="14"/>
  <c r="D4237" i="14"/>
  <c r="D4238" i="14"/>
  <c r="D4239" i="14"/>
  <c r="D4240" i="14"/>
  <c r="D4241" i="14"/>
  <c r="D4242" i="14"/>
  <c r="D4243" i="14"/>
  <c r="D4244" i="14"/>
  <c r="D4245" i="14"/>
  <c r="D4246" i="14"/>
  <c r="D4247" i="14"/>
  <c r="D4248" i="14"/>
  <c r="D4249" i="14"/>
  <c r="D4250" i="14"/>
  <c r="D4251" i="14"/>
  <c r="D4252" i="14"/>
  <c r="D4253" i="14"/>
  <c r="D4254" i="14"/>
  <c r="D4255" i="14"/>
  <c r="D4256" i="14"/>
  <c r="D4257" i="14"/>
  <c r="D4258" i="14"/>
  <c r="D4259" i="14"/>
  <c r="D4260" i="14"/>
  <c r="D4261" i="14"/>
  <c r="D4262" i="14"/>
  <c r="D4263" i="14"/>
  <c r="D4264" i="14"/>
  <c r="D4265" i="14"/>
  <c r="D4266" i="14"/>
  <c r="D4267" i="14"/>
  <c r="D4268" i="14"/>
  <c r="D4269" i="14"/>
  <c r="D4270" i="14"/>
  <c r="D4271" i="14"/>
  <c r="D4272" i="14"/>
  <c r="D4273" i="14"/>
  <c r="D4274" i="14"/>
  <c r="D4275" i="14"/>
  <c r="D4276" i="14"/>
  <c r="D4277" i="14"/>
  <c r="D4278" i="14"/>
  <c r="D4279" i="14"/>
  <c r="D4280" i="14"/>
  <c r="D4281" i="14"/>
  <c r="D4282" i="14"/>
  <c r="D4283" i="14"/>
  <c r="D4284" i="14"/>
  <c r="D4285" i="14"/>
  <c r="D4286" i="14"/>
  <c r="D4287" i="14"/>
  <c r="D4288" i="14"/>
  <c r="D4289" i="14"/>
  <c r="D4290" i="14"/>
  <c r="D4291" i="14"/>
  <c r="D4292" i="14"/>
  <c r="D4293" i="14"/>
  <c r="D4294" i="14"/>
  <c r="D4295" i="14"/>
  <c r="D4296" i="14"/>
  <c r="D4297" i="14"/>
  <c r="D4298" i="14"/>
  <c r="D4299" i="14"/>
  <c r="D4300" i="14"/>
  <c r="D4301" i="14"/>
  <c r="D4302" i="14"/>
  <c r="D4303" i="14"/>
  <c r="D4304" i="14"/>
  <c r="D4305" i="14"/>
  <c r="D4306" i="14"/>
  <c r="D4307" i="14"/>
  <c r="D4308" i="14"/>
  <c r="D4309" i="14"/>
  <c r="D4310" i="14"/>
  <c r="D4311" i="14"/>
  <c r="D4312" i="14"/>
  <c r="D4313" i="14"/>
  <c r="D4314" i="14"/>
  <c r="D4315" i="14"/>
  <c r="D4316" i="14"/>
  <c r="D4317" i="14"/>
  <c r="D4318" i="14"/>
  <c r="D4319" i="14"/>
  <c r="D4320" i="14"/>
  <c r="D4321" i="14"/>
  <c r="D4322" i="14"/>
  <c r="D4323" i="14"/>
  <c r="D4324" i="14"/>
  <c r="D4325" i="14"/>
  <c r="D4326" i="14"/>
  <c r="D4327" i="14"/>
  <c r="D4328" i="14"/>
  <c r="D4329" i="14"/>
  <c r="D4330" i="14"/>
  <c r="D4331" i="14"/>
  <c r="D4332" i="14"/>
  <c r="D4333" i="14"/>
  <c r="D4334" i="14"/>
  <c r="D4335" i="14"/>
  <c r="D4336" i="14"/>
  <c r="D4337" i="14"/>
  <c r="D4338" i="14"/>
  <c r="D4339" i="14"/>
  <c r="D4340" i="14"/>
  <c r="D4341" i="14"/>
  <c r="D4342" i="14"/>
  <c r="D4343" i="14"/>
  <c r="D4344" i="14"/>
  <c r="D4345" i="14"/>
  <c r="D4346" i="14"/>
  <c r="D4347" i="14"/>
  <c r="D4348" i="14"/>
  <c r="D4349" i="14"/>
  <c r="D4350" i="14"/>
  <c r="D4351" i="14"/>
  <c r="D4352" i="14"/>
  <c r="D4353" i="14"/>
  <c r="D4354" i="14"/>
  <c r="D4355" i="14"/>
  <c r="D4356" i="14"/>
  <c r="D4357" i="14"/>
  <c r="D4358" i="14"/>
  <c r="D4359" i="14"/>
  <c r="D4360" i="14"/>
  <c r="D4361" i="14"/>
  <c r="D4362" i="14"/>
  <c r="D4363" i="14"/>
  <c r="D4364" i="14"/>
  <c r="D4365" i="14"/>
  <c r="D4366" i="14"/>
  <c r="D4367" i="14"/>
  <c r="D4368" i="14"/>
  <c r="D4369" i="14"/>
  <c r="D4370" i="14"/>
  <c r="D4371" i="14"/>
  <c r="D4372" i="14"/>
  <c r="D4373" i="14"/>
  <c r="D4374" i="14"/>
  <c r="D4375" i="14"/>
  <c r="D4376" i="14"/>
  <c r="D4377" i="14"/>
  <c r="D4378" i="14"/>
  <c r="D4379" i="14"/>
  <c r="D4380" i="14"/>
  <c r="D4381" i="14"/>
  <c r="D4382" i="14"/>
  <c r="D4383" i="14"/>
  <c r="D4384" i="14"/>
  <c r="D4385" i="14"/>
  <c r="D4386" i="14"/>
  <c r="D4387" i="14"/>
  <c r="D4388" i="14"/>
  <c r="D4389" i="14"/>
  <c r="D4390" i="14"/>
  <c r="D4391" i="14"/>
  <c r="D4392" i="14"/>
  <c r="D4393" i="14"/>
  <c r="D4394" i="14"/>
  <c r="D4395" i="14"/>
  <c r="D4396" i="14"/>
  <c r="D4397" i="14"/>
  <c r="D4398" i="14"/>
  <c r="D4399" i="14"/>
  <c r="D4400" i="14"/>
  <c r="D4401" i="14"/>
  <c r="D4402" i="14"/>
  <c r="D4403" i="14"/>
  <c r="D4404" i="14"/>
  <c r="D4405" i="14"/>
  <c r="D4406" i="14"/>
  <c r="D4407" i="14"/>
  <c r="D4408" i="14"/>
  <c r="D4409" i="14"/>
  <c r="D4410" i="14"/>
  <c r="D4411" i="14"/>
  <c r="D4412" i="14"/>
  <c r="D4413" i="14"/>
  <c r="D4414" i="14"/>
  <c r="D4415" i="14"/>
  <c r="D4416" i="14"/>
  <c r="D4417" i="14"/>
  <c r="D4418" i="14"/>
  <c r="D4419" i="14"/>
  <c r="D4420" i="14"/>
  <c r="D4421" i="14"/>
  <c r="D4422" i="14"/>
  <c r="D4423" i="14"/>
  <c r="D4424" i="14"/>
  <c r="D4425" i="14"/>
  <c r="D4426" i="14"/>
  <c r="D4427" i="14"/>
  <c r="D4428" i="14"/>
  <c r="D4429" i="14"/>
  <c r="D4430" i="14"/>
  <c r="D4431" i="14"/>
  <c r="D4432" i="14"/>
  <c r="D4433" i="14"/>
  <c r="D4434" i="14"/>
  <c r="D4435" i="14"/>
  <c r="D4436" i="14"/>
  <c r="D4437" i="14"/>
  <c r="D4438" i="14"/>
  <c r="D4439" i="14"/>
  <c r="D4440" i="14"/>
  <c r="D4441" i="14"/>
  <c r="D4442" i="14"/>
  <c r="D4443" i="14"/>
  <c r="D4444" i="14"/>
  <c r="D4445" i="14"/>
  <c r="D4446" i="14"/>
  <c r="D4447" i="14"/>
  <c r="D4448" i="14"/>
  <c r="D4449" i="14"/>
  <c r="D4450" i="14"/>
  <c r="D4451" i="14"/>
  <c r="D4452" i="14"/>
  <c r="D4453" i="14"/>
  <c r="D4454" i="14"/>
  <c r="D4455" i="14"/>
  <c r="D4456" i="14"/>
  <c r="D4457" i="14"/>
  <c r="D4458" i="14"/>
  <c r="D4459" i="14"/>
  <c r="D4460" i="14"/>
  <c r="D4461" i="14"/>
  <c r="D4462" i="14"/>
  <c r="D4463" i="14"/>
  <c r="D4464" i="14"/>
  <c r="D4465" i="14"/>
  <c r="D4466" i="14"/>
  <c r="D4467" i="14"/>
  <c r="D4468" i="14"/>
  <c r="D4469" i="14"/>
  <c r="D4470" i="14"/>
  <c r="D4471" i="14"/>
  <c r="D4472" i="14"/>
  <c r="D4473" i="14"/>
  <c r="D4474" i="14"/>
  <c r="D4475" i="14"/>
  <c r="D4476" i="14"/>
  <c r="D4477" i="14"/>
  <c r="D4478" i="14"/>
  <c r="D4479" i="14"/>
  <c r="D4480" i="14"/>
  <c r="D4481" i="14"/>
  <c r="D4482" i="14"/>
  <c r="D4483" i="14"/>
  <c r="D4484" i="14"/>
  <c r="D4485" i="14"/>
  <c r="D4486" i="14"/>
  <c r="D4487" i="14"/>
  <c r="D4488" i="14"/>
  <c r="D4489" i="14"/>
  <c r="D4490" i="14"/>
  <c r="D4491" i="14"/>
  <c r="D4492" i="14"/>
  <c r="D4493" i="14"/>
  <c r="D4494" i="14"/>
  <c r="D4495" i="14"/>
  <c r="D4496" i="14"/>
  <c r="D4497" i="14"/>
  <c r="D4498" i="14"/>
  <c r="D4499" i="14"/>
  <c r="D4500" i="14"/>
  <c r="D4501" i="14"/>
  <c r="D4502" i="14"/>
  <c r="D4503" i="14"/>
  <c r="D4504" i="14"/>
  <c r="D4505" i="14"/>
  <c r="D4506" i="14"/>
  <c r="D4507" i="14"/>
  <c r="D4508" i="14"/>
  <c r="D4509" i="14"/>
  <c r="D4510" i="14"/>
  <c r="D4511" i="14"/>
  <c r="D4512" i="14"/>
  <c r="D4513" i="14"/>
  <c r="D4514" i="14"/>
  <c r="D4515" i="14"/>
  <c r="D4516" i="14"/>
  <c r="D4517" i="14"/>
  <c r="D4518" i="14"/>
  <c r="D4519" i="14"/>
  <c r="D4520" i="14"/>
  <c r="D4521" i="14"/>
  <c r="D4522" i="14"/>
  <c r="D4523" i="14"/>
  <c r="D4524" i="14"/>
  <c r="D4525" i="14"/>
  <c r="D4526" i="14"/>
  <c r="D4527" i="14"/>
  <c r="D4528" i="14"/>
  <c r="D4529" i="14"/>
  <c r="D4530" i="14"/>
  <c r="D4531" i="14"/>
  <c r="D4532" i="14"/>
  <c r="D4533" i="14"/>
  <c r="D4534" i="14"/>
  <c r="D4535" i="14"/>
  <c r="D4536" i="14"/>
  <c r="D4537" i="14"/>
  <c r="D4538" i="14"/>
  <c r="D4539" i="14"/>
  <c r="D4540" i="14"/>
  <c r="D4541" i="14"/>
  <c r="D4542" i="14"/>
  <c r="J16" i="8"/>
  <c r="I16" i="8"/>
  <c r="I21" i="7"/>
  <c r="J21" i="7" s="1"/>
  <c r="J14" i="7"/>
  <c r="I14" i="7"/>
  <c r="J13" i="7"/>
  <c r="I13" i="7"/>
  <c r="M2" i="4" l="1"/>
  <c r="M2" i="3"/>
  <c r="M2" i="2"/>
  <c r="M2" i="1"/>
  <c r="M2" i="12"/>
  <c r="M2" i="11"/>
  <c r="M2" i="10"/>
  <c r="M2" i="9"/>
  <c r="M2" i="8"/>
  <c r="M2" i="7"/>
  <c r="M2" i="6"/>
  <c r="M16" i="6"/>
  <c r="J4" i="5" l="1"/>
  <c r="J5" i="5"/>
  <c r="J6" i="5"/>
  <c r="J7" i="5"/>
  <c r="J10" i="5"/>
  <c r="J11" i="5"/>
  <c r="M16" i="5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M3" i="12" s="1"/>
  <c r="I12" i="12"/>
  <c r="I11" i="12"/>
  <c r="I10" i="12"/>
  <c r="I9" i="12"/>
  <c r="I8" i="12"/>
  <c r="I7" i="12"/>
  <c r="I6" i="12"/>
  <c r="I5" i="12"/>
  <c r="I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2" i="12"/>
  <c r="J11" i="12"/>
  <c r="J10" i="12"/>
  <c r="J9" i="12"/>
  <c r="J8" i="12"/>
  <c r="J7" i="12"/>
  <c r="J6" i="12"/>
  <c r="J5" i="12"/>
  <c r="J4" i="12"/>
  <c r="J3" i="12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0" i="10"/>
  <c r="J9" i="10"/>
  <c r="J5" i="10"/>
  <c r="J3" i="10"/>
  <c r="J32" i="9"/>
  <c r="J26" i="9"/>
  <c r="J25" i="9"/>
  <c r="J19" i="9"/>
  <c r="J18" i="9"/>
  <c r="J13" i="9"/>
  <c r="J12" i="9"/>
  <c r="J11" i="9"/>
  <c r="J10" i="9"/>
  <c r="J9" i="9"/>
  <c r="J8" i="9"/>
  <c r="J7" i="9"/>
  <c r="J6" i="9"/>
  <c r="J5" i="9"/>
  <c r="J4" i="9"/>
  <c r="J29" i="8"/>
  <c r="J28" i="8"/>
  <c r="J22" i="8"/>
  <c r="J21" i="8"/>
  <c r="J15" i="8"/>
  <c r="J14" i="8"/>
  <c r="J8" i="8"/>
  <c r="J7" i="8"/>
  <c r="J32" i="7"/>
  <c r="J31" i="7"/>
  <c r="J25" i="7"/>
  <c r="J24" i="7"/>
  <c r="J18" i="7"/>
  <c r="J17" i="7"/>
  <c r="J11" i="7"/>
  <c r="J10" i="7"/>
  <c r="J4" i="7"/>
  <c r="J3" i="7"/>
  <c r="J27" i="6"/>
  <c r="J26" i="6"/>
  <c r="J20" i="6"/>
  <c r="J19" i="6"/>
  <c r="J13" i="6"/>
  <c r="J12" i="6"/>
  <c r="J10" i="6"/>
  <c r="J6" i="6"/>
  <c r="J5" i="6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31" i="5"/>
  <c r="J30" i="5"/>
  <c r="J29" i="5"/>
  <c r="J23" i="5"/>
  <c r="J22" i="5"/>
  <c r="J20" i="5"/>
  <c r="J16" i="5"/>
  <c r="J15" i="5"/>
  <c r="J12" i="5"/>
  <c r="J9" i="5"/>
  <c r="J8" i="5"/>
  <c r="J3" i="5"/>
  <c r="M6" i="3" l="1"/>
  <c r="L6" i="3" s="1"/>
  <c r="J13" i="12"/>
  <c r="M6" i="12" s="1"/>
  <c r="L6" i="12" s="1"/>
  <c r="M6" i="4"/>
  <c r="L6" i="4" s="1"/>
  <c r="M6" i="1"/>
  <c r="L6" i="1" s="1"/>
  <c r="M6" i="11"/>
  <c r="L6" i="11" s="1"/>
  <c r="I31" i="9"/>
  <c r="J31" i="9" s="1"/>
  <c r="I30" i="9"/>
  <c r="J30" i="9" s="1"/>
  <c r="I29" i="9"/>
  <c r="J29" i="9" s="1"/>
  <c r="I28" i="9"/>
  <c r="J28" i="9" s="1"/>
  <c r="I27" i="9"/>
  <c r="J27" i="9" s="1"/>
  <c r="I26" i="9"/>
  <c r="I25" i="9"/>
  <c r="I24" i="9"/>
  <c r="J24" i="9" s="1"/>
  <c r="I23" i="9"/>
  <c r="J23" i="9" s="1"/>
  <c r="I22" i="9"/>
  <c r="J22" i="9" s="1"/>
  <c r="I21" i="9"/>
  <c r="J21" i="9" s="1"/>
  <c r="I20" i="9"/>
  <c r="J20" i="9" s="1"/>
  <c r="I19" i="9"/>
  <c r="I18" i="9"/>
  <c r="I17" i="9"/>
  <c r="J17" i="9" s="1"/>
  <c r="I16" i="9"/>
  <c r="J16" i="9" s="1"/>
  <c r="I15" i="9"/>
  <c r="J15" i="9" s="1"/>
  <c r="I14" i="9"/>
  <c r="J14" i="9" s="1"/>
  <c r="I13" i="9"/>
  <c r="I12" i="9"/>
  <c r="I11" i="9"/>
  <c r="I10" i="9"/>
  <c r="I9" i="9"/>
  <c r="I8" i="9"/>
  <c r="I7" i="9"/>
  <c r="I6" i="9"/>
  <c r="I5" i="9"/>
  <c r="I4" i="9"/>
  <c r="I3" i="9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J15" i="10" s="1"/>
  <c r="I14" i="10"/>
  <c r="J14" i="10" s="1"/>
  <c r="I13" i="10"/>
  <c r="J13" i="10" s="1"/>
  <c r="I12" i="10"/>
  <c r="J12" i="10" s="1"/>
  <c r="I11" i="10"/>
  <c r="J11" i="10" s="1"/>
  <c r="I10" i="10"/>
  <c r="I9" i="10"/>
  <c r="I8" i="10"/>
  <c r="J8" i="10" s="1"/>
  <c r="I7" i="10"/>
  <c r="J7" i="10" s="1"/>
  <c r="I6" i="10"/>
  <c r="J6" i="10" s="1"/>
  <c r="I5" i="10"/>
  <c r="I4" i="10"/>
  <c r="I3" i="10"/>
  <c r="I10" i="11"/>
  <c r="I9" i="11"/>
  <c r="I8" i="11"/>
  <c r="I7" i="11"/>
  <c r="I6" i="11"/>
  <c r="I5" i="11"/>
  <c r="I4" i="11"/>
  <c r="I3" i="11"/>
  <c r="M16" i="2"/>
  <c r="M16" i="1"/>
  <c r="M3" i="10" l="1"/>
  <c r="J4" i="10"/>
  <c r="M6" i="10" s="1"/>
  <c r="L6" i="10" s="1"/>
  <c r="J3" i="9"/>
  <c r="M6" i="9" s="1"/>
  <c r="L6" i="9" s="1"/>
  <c r="B3" i="1"/>
  <c r="M16" i="12"/>
  <c r="B3" i="12"/>
  <c r="M16" i="11"/>
  <c r="I3" i="12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M3" i="11" s="1"/>
  <c r="M16" i="10"/>
  <c r="I33" i="10"/>
  <c r="B3" i="3"/>
  <c r="B3" i="2"/>
  <c r="J33" i="2"/>
  <c r="J32" i="2"/>
  <c r="M6" i="2" s="1"/>
  <c r="L6" i="2" s="1"/>
  <c r="L4" i="2" l="1"/>
  <c r="L3" i="2"/>
  <c r="L4" i="12"/>
  <c r="L3" i="12"/>
  <c r="D3" i="1"/>
  <c r="L4" i="1"/>
  <c r="L3" i="1"/>
  <c r="L4" i="3"/>
  <c r="L3" i="3"/>
  <c r="K3" i="3"/>
  <c r="K3" i="12"/>
  <c r="B4" i="12"/>
  <c r="B4" i="1"/>
  <c r="B4" i="3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M3" i="2" s="1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M3" i="3" s="1"/>
  <c r="B5" i="1" l="1"/>
  <c r="B6" i="1" s="1"/>
  <c r="M3" i="1"/>
  <c r="B5" i="12"/>
  <c r="B5" i="3"/>
  <c r="I32" i="9"/>
  <c r="M3" i="9" s="1"/>
  <c r="K5" i="1" l="1"/>
  <c r="B7" i="1"/>
  <c r="B6" i="3"/>
  <c r="B6" i="12"/>
  <c r="B3" i="9"/>
  <c r="D3" i="9" l="1"/>
  <c r="L4" i="9"/>
  <c r="L3" i="9"/>
  <c r="B8" i="1"/>
  <c r="B7" i="3"/>
  <c r="B7" i="12"/>
  <c r="K3" i="9"/>
  <c r="C3" i="9"/>
  <c r="I33" i="8"/>
  <c r="J33" i="8" s="1"/>
  <c r="I32" i="8"/>
  <c r="J32" i="8" s="1"/>
  <c r="I31" i="8"/>
  <c r="J31" i="8" s="1"/>
  <c r="I30" i="8"/>
  <c r="J30" i="8" s="1"/>
  <c r="I29" i="8"/>
  <c r="I28" i="8"/>
  <c r="I27" i="8"/>
  <c r="J27" i="8" s="1"/>
  <c r="I26" i="8"/>
  <c r="J26" i="8" s="1"/>
  <c r="I25" i="8"/>
  <c r="J25" i="8" s="1"/>
  <c r="I24" i="8"/>
  <c r="J24" i="8" s="1"/>
  <c r="I23" i="8"/>
  <c r="J23" i="8" s="1"/>
  <c r="I22" i="8"/>
  <c r="I21" i="8"/>
  <c r="I20" i="8"/>
  <c r="J20" i="8" s="1"/>
  <c r="I19" i="8"/>
  <c r="J19" i="8" s="1"/>
  <c r="I18" i="8"/>
  <c r="J18" i="8" s="1"/>
  <c r="I17" i="8"/>
  <c r="J17" i="8" s="1"/>
  <c r="I15" i="8"/>
  <c r="I14" i="8"/>
  <c r="I13" i="8"/>
  <c r="J13" i="8" s="1"/>
  <c r="I12" i="8"/>
  <c r="J12" i="8" s="1"/>
  <c r="I11" i="8"/>
  <c r="J11" i="8" s="1"/>
  <c r="I10" i="8"/>
  <c r="J10" i="8" s="1"/>
  <c r="I9" i="8"/>
  <c r="J9" i="8" s="1"/>
  <c r="I8" i="8"/>
  <c r="I7" i="8"/>
  <c r="I6" i="8"/>
  <c r="J6" i="8" s="1"/>
  <c r="I5" i="8"/>
  <c r="J5" i="8" s="1"/>
  <c r="I4" i="8"/>
  <c r="J4" i="8" s="1"/>
  <c r="I3" i="8"/>
  <c r="B9" i="1" l="1"/>
  <c r="M3" i="8"/>
  <c r="J3" i="8"/>
  <c r="M6" i="8" s="1"/>
  <c r="L6" i="8" s="1"/>
  <c r="B8" i="12"/>
  <c r="B8" i="3"/>
  <c r="B3" i="8"/>
  <c r="L4" i="8" l="1"/>
  <c r="L3" i="8"/>
  <c r="B10" i="1"/>
  <c r="B9" i="3"/>
  <c r="B9" i="12"/>
  <c r="K3" i="8"/>
  <c r="B11" i="1" l="1"/>
  <c r="B10" i="3"/>
  <c r="B10" i="12"/>
  <c r="C3" i="8"/>
  <c r="I33" i="7"/>
  <c r="J33" i="7" s="1"/>
  <c r="I32" i="7"/>
  <c r="I31" i="7"/>
  <c r="I30" i="7"/>
  <c r="J30" i="7" s="1"/>
  <c r="I29" i="7"/>
  <c r="J29" i="7" s="1"/>
  <c r="I28" i="7"/>
  <c r="J28" i="7" s="1"/>
  <c r="I27" i="7"/>
  <c r="J27" i="7" s="1"/>
  <c r="I26" i="7"/>
  <c r="J26" i="7" s="1"/>
  <c r="I25" i="7"/>
  <c r="I24" i="7"/>
  <c r="I23" i="7"/>
  <c r="J23" i="7" s="1"/>
  <c r="I22" i="7"/>
  <c r="J22" i="7" s="1"/>
  <c r="I20" i="7"/>
  <c r="J20" i="7" s="1"/>
  <c r="I19" i="7"/>
  <c r="J19" i="7" s="1"/>
  <c r="I18" i="7"/>
  <c r="I17" i="7"/>
  <c r="I16" i="7"/>
  <c r="J16" i="7" s="1"/>
  <c r="I15" i="7"/>
  <c r="J15" i="7" s="1"/>
  <c r="I12" i="7"/>
  <c r="J12" i="7" s="1"/>
  <c r="I11" i="7"/>
  <c r="I10" i="7"/>
  <c r="I9" i="7"/>
  <c r="J9" i="7" s="1"/>
  <c r="I8" i="7"/>
  <c r="J8" i="7" s="1"/>
  <c r="I7" i="7"/>
  <c r="J7" i="7" s="1"/>
  <c r="I6" i="7"/>
  <c r="J6" i="7" s="1"/>
  <c r="I5" i="7"/>
  <c r="I4" i="7"/>
  <c r="I3" i="7"/>
  <c r="D3" i="8" l="1"/>
  <c r="B12" i="1"/>
  <c r="M3" i="7"/>
  <c r="J5" i="7"/>
  <c r="M6" i="7" s="1"/>
  <c r="L6" i="7" s="1"/>
  <c r="B11" i="12"/>
  <c r="B11" i="3"/>
  <c r="B3" i="7"/>
  <c r="B13" i="1" l="1"/>
  <c r="L4" i="7"/>
  <c r="L3" i="7"/>
  <c r="B4" i="7"/>
  <c r="B12" i="3"/>
  <c r="B12" i="12"/>
  <c r="K3" i="7"/>
  <c r="B14" i="1" l="1"/>
  <c r="B5" i="7"/>
  <c r="B13" i="12"/>
  <c r="B13" i="3"/>
  <c r="B15" i="1" l="1"/>
  <c r="B14" i="3"/>
  <c r="B14" i="12"/>
  <c r="B6" i="7"/>
  <c r="B3" i="6"/>
  <c r="B7" i="7" l="1"/>
  <c r="B16" i="1"/>
  <c r="L4" i="6"/>
  <c r="L3" i="6"/>
  <c r="B15" i="3"/>
  <c r="B15" i="12"/>
  <c r="K3" i="6"/>
  <c r="B8" i="7"/>
  <c r="B4" i="6"/>
  <c r="I32" i="5"/>
  <c r="J32" i="5" s="1"/>
  <c r="I33" i="5"/>
  <c r="J33" i="5" s="1"/>
  <c r="I4" i="6"/>
  <c r="I5" i="6"/>
  <c r="I6" i="6"/>
  <c r="I7" i="6"/>
  <c r="J7" i="6" s="1"/>
  <c r="I8" i="6"/>
  <c r="J8" i="6" s="1"/>
  <c r="I9" i="6"/>
  <c r="J9" i="6" s="1"/>
  <c r="I10" i="6"/>
  <c r="I11" i="6"/>
  <c r="J11" i="6" s="1"/>
  <c r="I12" i="6"/>
  <c r="I13" i="6"/>
  <c r="I14" i="6"/>
  <c r="J14" i="6" s="1"/>
  <c r="I15" i="6"/>
  <c r="J15" i="6" s="1"/>
  <c r="I16" i="6"/>
  <c r="J16" i="6" s="1"/>
  <c r="I17" i="6"/>
  <c r="J17" i="6" s="1"/>
  <c r="I18" i="6"/>
  <c r="J18" i="6" s="1"/>
  <c r="I19" i="6"/>
  <c r="I20" i="6"/>
  <c r="I21" i="6"/>
  <c r="J21" i="6" s="1"/>
  <c r="I22" i="6"/>
  <c r="J22" i="6" s="1"/>
  <c r="I23" i="6"/>
  <c r="J23" i="6" s="1"/>
  <c r="I24" i="6"/>
  <c r="J24" i="6" s="1"/>
  <c r="I25" i="6"/>
  <c r="J25" i="6" s="1"/>
  <c r="I26" i="6"/>
  <c r="I27" i="6"/>
  <c r="I28" i="6"/>
  <c r="J28" i="6" s="1"/>
  <c r="I29" i="6"/>
  <c r="J29" i="6" s="1"/>
  <c r="I30" i="6"/>
  <c r="J30" i="6" s="1"/>
  <c r="I31" i="6"/>
  <c r="J31" i="6" s="1"/>
  <c r="I32" i="6"/>
  <c r="J32" i="6" s="1"/>
  <c r="I3" i="6"/>
  <c r="J3" i="6" s="1"/>
  <c r="B17" i="1" l="1"/>
  <c r="M3" i="6"/>
  <c r="J4" i="6"/>
  <c r="B16" i="12"/>
  <c r="B16" i="3"/>
  <c r="B5" i="6"/>
  <c r="B9" i="7"/>
  <c r="C3" i="6"/>
  <c r="I4" i="5"/>
  <c r="I5" i="5"/>
  <c r="I6" i="5"/>
  <c r="I7" i="5"/>
  <c r="I8" i="5"/>
  <c r="I9" i="5"/>
  <c r="I10" i="5"/>
  <c r="I11" i="5"/>
  <c r="I12" i="5"/>
  <c r="I13" i="5"/>
  <c r="J13" i="5" s="1"/>
  <c r="I14" i="5"/>
  <c r="J14" i="5" s="1"/>
  <c r="I15" i="5"/>
  <c r="I16" i="5"/>
  <c r="I17" i="5"/>
  <c r="J17" i="5" s="1"/>
  <c r="I18" i="5"/>
  <c r="J18" i="5" s="1"/>
  <c r="I19" i="5"/>
  <c r="J19" i="5" s="1"/>
  <c r="I20" i="5"/>
  <c r="I21" i="5"/>
  <c r="J21" i="5" s="1"/>
  <c r="I22" i="5"/>
  <c r="I23" i="5"/>
  <c r="I24" i="5"/>
  <c r="J24" i="5" s="1"/>
  <c r="I25" i="5"/>
  <c r="J25" i="5" s="1"/>
  <c r="I26" i="5"/>
  <c r="J26" i="5" s="1"/>
  <c r="I27" i="5"/>
  <c r="J27" i="5" s="1"/>
  <c r="I28" i="5"/>
  <c r="J28" i="5" s="1"/>
  <c r="I29" i="5"/>
  <c r="I30" i="5"/>
  <c r="I31" i="5"/>
  <c r="I3" i="5"/>
  <c r="M2" i="5"/>
  <c r="D3" i="6" l="1"/>
  <c r="B18" i="1"/>
  <c r="M6" i="6"/>
  <c r="L6" i="6" s="1"/>
  <c r="B17" i="3"/>
  <c r="B17" i="12"/>
  <c r="B10" i="7"/>
  <c r="B6" i="6"/>
  <c r="M3" i="5"/>
  <c r="I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B19" i="1" l="1"/>
  <c r="M3" i="4"/>
  <c r="M6" i="5"/>
  <c r="L6" i="5" s="1"/>
  <c r="B18" i="3"/>
  <c r="B18" i="12"/>
  <c r="B7" i="6"/>
  <c r="B11" i="7"/>
  <c r="B20" i="1" l="1"/>
  <c r="B19" i="12"/>
  <c r="B19" i="3"/>
  <c r="B12" i="7"/>
  <c r="B8" i="6"/>
  <c r="C23" i="13"/>
  <c r="C20" i="13"/>
  <c r="C17" i="13"/>
  <c r="B21" i="1" l="1"/>
  <c r="B20" i="3"/>
  <c r="B20" i="12"/>
  <c r="B9" i="6"/>
  <c r="B13" i="7"/>
  <c r="B22" i="1" l="1"/>
  <c r="B21" i="12"/>
  <c r="B21" i="3"/>
  <c r="B14" i="7"/>
  <c r="B10" i="6"/>
  <c r="C18" i="13"/>
  <c r="C16" i="13"/>
  <c r="C19" i="13"/>
  <c r="B23" i="1" l="1"/>
  <c r="C22" i="13"/>
  <c r="C21" i="13"/>
  <c r="B22" i="3"/>
  <c r="B22" i="12"/>
  <c r="B11" i="6"/>
  <c r="B15" i="7"/>
  <c r="C13" i="13"/>
  <c r="C14" i="13"/>
  <c r="B24" i="1" l="1"/>
  <c r="C26" i="13"/>
  <c r="C15" i="13"/>
  <c r="B23" i="12"/>
  <c r="B23" i="3"/>
  <c r="K22" i="3"/>
  <c r="B16" i="7"/>
  <c r="B12" i="6"/>
  <c r="B3" i="11"/>
  <c r="B3" i="10"/>
  <c r="B3" i="5"/>
  <c r="B3" i="4"/>
  <c r="D3" i="11" l="1"/>
  <c r="L4" i="11"/>
  <c r="L3" i="11"/>
  <c r="C3" i="5"/>
  <c r="D3" i="5"/>
  <c r="D3" i="10"/>
  <c r="L4" i="10"/>
  <c r="L3" i="10"/>
  <c r="D3" i="4"/>
  <c r="L4" i="4"/>
  <c r="L3" i="4"/>
  <c r="B25" i="1"/>
  <c r="M7" i="3"/>
  <c r="L7" i="3" s="1"/>
  <c r="M7" i="4"/>
  <c r="L7" i="4" s="1"/>
  <c r="M7" i="1"/>
  <c r="L7" i="1" s="1"/>
  <c r="M7" i="2"/>
  <c r="L7" i="2" s="1"/>
  <c r="M7" i="11"/>
  <c r="L7" i="11" s="1"/>
  <c r="M7" i="12"/>
  <c r="M7" i="9"/>
  <c r="L7" i="9" s="1"/>
  <c r="M7" i="10"/>
  <c r="L7" i="10" s="1"/>
  <c r="M7" i="8"/>
  <c r="L7" i="8" s="1"/>
  <c r="M7" i="6"/>
  <c r="L7" i="6" s="1"/>
  <c r="M7" i="7"/>
  <c r="L7" i="7" s="1"/>
  <c r="L3" i="5"/>
  <c r="L4" i="5"/>
  <c r="K3" i="11"/>
  <c r="K3" i="10"/>
  <c r="B24" i="3"/>
  <c r="K23" i="3"/>
  <c r="B24" i="12"/>
  <c r="C3" i="4"/>
  <c r="K3" i="1"/>
  <c r="B13" i="6"/>
  <c r="B17" i="7"/>
  <c r="B4" i="11"/>
  <c r="K3" i="5"/>
  <c r="C3" i="3"/>
  <c r="B4" i="9"/>
  <c r="K4" i="7"/>
  <c r="C3" i="2"/>
  <c r="C3" i="12"/>
  <c r="K4" i="12"/>
  <c r="C3" i="11"/>
  <c r="C3" i="10"/>
  <c r="B4" i="10"/>
  <c r="B4" i="8"/>
  <c r="C3" i="7"/>
  <c r="K4" i="6"/>
  <c r="B4" i="5"/>
  <c r="B4" i="4"/>
  <c r="B4" i="2"/>
  <c r="C3" i="1"/>
  <c r="L7" i="12" l="1"/>
  <c r="K4" i="11"/>
  <c r="B26" i="1"/>
  <c r="D3" i="2"/>
  <c r="D3" i="7"/>
  <c r="D3" i="3"/>
  <c r="A3" i="12"/>
  <c r="K4" i="10"/>
  <c r="B25" i="12"/>
  <c r="B25" i="3"/>
  <c r="B14" i="6"/>
  <c r="K4" i="4"/>
  <c r="K4" i="8"/>
  <c r="K4" i="2"/>
  <c r="K4" i="1"/>
  <c r="K4" i="3"/>
  <c r="K4" i="9"/>
  <c r="B18" i="7"/>
  <c r="B5" i="11"/>
  <c r="C4" i="11"/>
  <c r="D4" i="11" s="1"/>
  <c r="K4" i="5"/>
  <c r="B5" i="9"/>
  <c r="K5" i="7"/>
  <c r="C4" i="7"/>
  <c r="D4" i="7" s="1"/>
  <c r="C4" i="9"/>
  <c r="D4" i="9" s="1"/>
  <c r="C4" i="1"/>
  <c r="D4" i="1" s="1"/>
  <c r="C4" i="12"/>
  <c r="D4" i="12" s="1"/>
  <c r="K5" i="12"/>
  <c r="A3" i="11"/>
  <c r="C4" i="10"/>
  <c r="B5" i="10"/>
  <c r="D5" i="10" s="1"/>
  <c r="A3" i="10"/>
  <c r="C4" i="8"/>
  <c r="B5" i="8"/>
  <c r="C4" i="6"/>
  <c r="B5" i="5"/>
  <c r="C4" i="5"/>
  <c r="D4" i="5" s="1"/>
  <c r="B5" i="4"/>
  <c r="C4" i="4"/>
  <c r="C4" i="3"/>
  <c r="D4" i="3" s="1"/>
  <c r="B5" i="2"/>
  <c r="C4" i="2"/>
  <c r="D4" i="10" l="1"/>
  <c r="A4" i="10" s="1"/>
  <c r="D4" i="2"/>
  <c r="D4" i="4"/>
  <c r="D4" i="6"/>
  <c r="K5" i="11"/>
  <c r="D4" i="8"/>
  <c r="B27" i="1"/>
  <c r="B26" i="3"/>
  <c r="B26" i="12"/>
  <c r="K5" i="10"/>
  <c r="B6" i="11"/>
  <c r="K5" i="2"/>
  <c r="K5" i="3"/>
  <c r="A4" i="11"/>
  <c r="B6" i="9"/>
  <c r="K5" i="9"/>
  <c r="K5" i="4"/>
  <c r="C5" i="11"/>
  <c r="B19" i="7"/>
  <c r="B15" i="6"/>
  <c r="K5" i="8"/>
  <c r="K5" i="6"/>
  <c r="K5" i="5"/>
  <c r="C5" i="7"/>
  <c r="D5" i="7" s="1"/>
  <c r="K6" i="7"/>
  <c r="C5" i="9"/>
  <c r="D5" i="9" s="1"/>
  <c r="C5" i="1"/>
  <c r="D5" i="1" s="1"/>
  <c r="K6" i="12"/>
  <c r="C5" i="12"/>
  <c r="B6" i="10"/>
  <c r="C5" i="10"/>
  <c r="B6" i="8"/>
  <c r="C5" i="8"/>
  <c r="D5" i="8" s="1"/>
  <c r="C5" i="6"/>
  <c r="D5" i="6" s="1"/>
  <c r="K6" i="6"/>
  <c r="C5" i="5"/>
  <c r="D5" i="5" s="1"/>
  <c r="B6" i="5"/>
  <c r="C5" i="4"/>
  <c r="B6" i="4"/>
  <c r="C5" i="3"/>
  <c r="D5" i="3" s="1"/>
  <c r="C5" i="2"/>
  <c r="D5" i="2" s="1"/>
  <c r="B6" i="2"/>
  <c r="D5" i="11" l="1"/>
  <c r="A5" i="11" s="1"/>
  <c r="B28" i="1"/>
  <c r="D5" i="4"/>
  <c r="D5" i="12"/>
  <c r="A5" i="12" s="1"/>
  <c r="B7" i="11"/>
  <c r="C6" i="11"/>
  <c r="K6" i="11"/>
  <c r="C6" i="9"/>
  <c r="D6" i="9" s="1"/>
  <c r="K6" i="10"/>
  <c r="B27" i="12"/>
  <c r="B8" i="11"/>
  <c r="C8" i="11" s="1"/>
  <c r="B27" i="3"/>
  <c r="A4" i="12"/>
  <c r="K6" i="2"/>
  <c r="K6" i="8"/>
  <c r="K6" i="1"/>
  <c r="B16" i="6"/>
  <c r="K6" i="4"/>
  <c r="B7" i="9"/>
  <c r="K6" i="9"/>
  <c r="K6" i="3"/>
  <c r="B20" i="7"/>
  <c r="K6" i="5"/>
  <c r="K7" i="7"/>
  <c r="C6" i="7"/>
  <c r="D6" i="7" s="1"/>
  <c r="C6" i="1"/>
  <c r="D6" i="1" s="1"/>
  <c r="C6" i="12"/>
  <c r="D6" i="12" s="1"/>
  <c r="K7" i="12"/>
  <c r="A5" i="10"/>
  <c r="C6" i="10"/>
  <c r="D6" i="10" s="1"/>
  <c r="B7" i="10"/>
  <c r="C6" i="8"/>
  <c r="D6" i="8" s="1"/>
  <c r="B7" i="8"/>
  <c r="K7" i="6"/>
  <c r="C6" i="6"/>
  <c r="D6" i="6" s="1"/>
  <c r="B7" i="5"/>
  <c r="C6" i="5"/>
  <c r="D6" i="5" s="1"/>
  <c r="B7" i="4"/>
  <c r="C6" i="4"/>
  <c r="D6" i="4" s="1"/>
  <c r="C6" i="3"/>
  <c r="D6" i="3" s="1"/>
  <c r="B7" i="2"/>
  <c r="C6" i="2"/>
  <c r="B9" i="11" l="1"/>
  <c r="D6" i="11"/>
  <c r="A6" i="11" s="1"/>
  <c r="K7" i="11"/>
  <c r="K8" i="11"/>
  <c r="D8" i="11"/>
  <c r="A8" i="11" s="1"/>
  <c r="D6" i="2"/>
  <c r="C7" i="11"/>
  <c r="D7" i="11" s="1"/>
  <c r="B29" i="1"/>
  <c r="K7" i="10"/>
  <c r="B28" i="12"/>
  <c r="D27" i="12"/>
  <c r="K9" i="11"/>
  <c r="B28" i="3"/>
  <c r="K7" i="3"/>
  <c r="K7" i="9"/>
  <c r="C7" i="9"/>
  <c r="D7" i="9" s="1"/>
  <c r="B8" i="9"/>
  <c r="K7" i="4"/>
  <c r="K7" i="8"/>
  <c r="K7" i="1"/>
  <c r="B21" i="7"/>
  <c r="K7" i="2"/>
  <c r="B17" i="6"/>
  <c r="K7" i="5"/>
  <c r="K8" i="7"/>
  <c r="C7" i="7"/>
  <c r="D7" i="7" s="1"/>
  <c r="C7" i="1"/>
  <c r="D7" i="1" s="1"/>
  <c r="K8" i="12"/>
  <c r="C7" i="12"/>
  <c r="D7" i="12" s="1"/>
  <c r="A6" i="12"/>
  <c r="C9" i="11"/>
  <c r="D9" i="11" s="1"/>
  <c r="B10" i="11"/>
  <c r="A6" i="10"/>
  <c r="B8" i="10"/>
  <c r="C7" i="10"/>
  <c r="D7" i="10" s="1"/>
  <c r="B8" i="8"/>
  <c r="C7" i="8"/>
  <c r="D7" i="8" s="1"/>
  <c r="C7" i="6"/>
  <c r="D7" i="6" s="1"/>
  <c r="K8" i="6"/>
  <c r="C7" i="5"/>
  <c r="D7" i="5" s="1"/>
  <c r="B8" i="5"/>
  <c r="C7" i="4"/>
  <c r="D7" i="4" s="1"/>
  <c r="B8" i="4"/>
  <c r="C7" i="3"/>
  <c r="D7" i="3" s="1"/>
  <c r="C7" i="2"/>
  <c r="D7" i="2" s="1"/>
  <c r="B8" i="2"/>
  <c r="A7" i="11" l="1"/>
  <c r="B30" i="1"/>
  <c r="B29" i="12"/>
  <c r="D28" i="12"/>
  <c r="K8" i="10"/>
  <c r="B29" i="3"/>
  <c r="K8" i="2"/>
  <c r="K8" i="1"/>
  <c r="B22" i="7"/>
  <c r="K8" i="3"/>
  <c r="K8" i="8"/>
  <c r="K8" i="4"/>
  <c r="K8" i="9"/>
  <c r="B9" i="9"/>
  <c r="C8" i="9"/>
  <c r="D8" i="9" s="1"/>
  <c r="K10" i="11"/>
  <c r="A7" i="9"/>
  <c r="B18" i="6"/>
  <c r="K8" i="5"/>
  <c r="K9" i="7"/>
  <c r="C8" i="7"/>
  <c r="D8" i="7" s="1"/>
  <c r="C8" i="1"/>
  <c r="D8" i="1" s="1"/>
  <c r="A7" i="12"/>
  <c r="C8" i="12"/>
  <c r="D8" i="12" s="1"/>
  <c r="K9" i="12"/>
  <c r="C10" i="11"/>
  <c r="D10" i="11" s="1"/>
  <c r="B11" i="11"/>
  <c r="A9" i="11"/>
  <c r="C8" i="10"/>
  <c r="D8" i="10" s="1"/>
  <c r="B9" i="10"/>
  <c r="A7" i="10"/>
  <c r="C8" i="8"/>
  <c r="D8" i="8" s="1"/>
  <c r="B9" i="8"/>
  <c r="K9" i="6"/>
  <c r="C8" i="6"/>
  <c r="D8" i="6" s="1"/>
  <c r="B9" i="5"/>
  <c r="C8" i="5"/>
  <c r="D8" i="5" s="1"/>
  <c r="B9" i="4"/>
  <c r="C8" i="4"/>
  <c r="D8" i="4" s="1"/>
  <c r="C8" i="3"/>
  <c r="D8" i="3" s="1"/>
  <c r="B9" i="2"/>
  <c r="C8" i="2"/>
  <c r="D8" i="2" s="1"/>
  <c r="B31" i="1" l="1"/>
  <c r="A8" i="6"/>
  <c r="B30" i="3"/>
  <c r="B30" i="12"/>
  <c r="K9" i="10"/>
  <c r="K9" i="8"/>
  <c r="K9" i="2"/>
  <c r="K9" i="1"/>
  <c r="K9" i="9"/>
  <c r="B10" i="9"/>
  <c r="C9" i="9"/>
  <c r="D9" i="9" s="1"/>
  <c r="B23" i="7"/>
  <c r="K9" i="3"/>
  <c r="K9" i="4"/>
  <c r="K11" i="11"/>
  <c r="B19" i="6"/>
  <c r="K9" i="5"/>
  <c r="K10" i="7"/>
  <c r="C9" i="7"/>
  <c r="D9" i="7" s="1"/>
  <c r="C9" i="1"/>
  <c r="D9" i="1" s="1"/>
  <c r="A8" i="12"/>
  <c r="K10" i="12"/>
  <c r="C9" i="12"/>
  <c r="D9" i="12" s="1"/>
  <c r="C11" i="11"/>
  <c r="D11" i="11" s="1"/>
  <c r="B12" i="11"/>
  <c r="A10" i="11"/>
  <c r="A8" i="10"/>
  <c r="B10" i="10"/>
  <c r="C9" i="10"/>
  <c r="D9" i="10" s="1"/>
  <c r="B10" i="8"/>
  <c r="C9" i="8"/>
  <c r="D9" i="8" s="1"/>
  <c r="C9" i="6"/>
  <c r="D9" i="6" s="1"/>
  <c r="K10" i="6"/>
  <c r="C9" i="5"/>
  <c r="D9" i="5" s="1"/>
  <c r="B10" i="5"/>
  <c r="C9" i="4"/>
  <c r="D9" i="4" s="1"/>
  <c r="B10" i="4"/>
  <c r="C9" i="3"/>
  <c r="D9" i="3" s="1"/>
  <c r="C9" i="2"/>
  <c r="D9" i="2" s="1"/>
  <c r="B10" i="2"/>
  <c r="B32" i="1" l="1"/>
  <c r="B31" i="12"/>
  <c r="B31" i="3"/>
  <c r="K10" i="10"/>
  <c r="K10" i="4"/>
  <c r="B20" i="6"/>
  <c r="K10" i="9"/>
  <c r="C10" i="9"/>
  <c r="D10" i="9" s="1"/>
  <c r="B11" i="9"/>
  <c r="K12" i="11"/>
  <c r="K10" i="2"/>
  <c r="K10" i="8"/>
  <c r="K10" i="1"/>
  <c r="K10" i="3"/>
  <c r="B24" i="7"/>
  <c r="K10" i="5"/>
  <c r="C10" i="7"/>
  <c r="D10" i="7" s="1"/>
  <c r="K11" i="7"/>
  <c r="C10" i="1"/>
  <c r="D10" i="1" s="1"/>
  <c r="A9" i="12"/>
  <c r="C10" i="12"/>
  <c r="D10" i="12" s="1"/>
  <c r="K11" i="12"/>
  <c r="B13" i="11"/>
  <c r="C12" i="11"/>
  <c r="D12" i="11" s="1"/>
  <c r="A11" i="11"/>
  <c r="A9" i="10"/>
  <c r="C10" i="10"/>
  <c r="D10" i="10" s="1"/>
  <c r="B11" i="10"/>
  <c r="C10" i="8"/>
  <c r="D10" i="8" s="1"/>
  <c r="B11" i="8"/>
  <c r="K11" i="6"/>
  <c r="C10" i="6"/>
  <c r="D10" i="6" s="1"/>
  <c r="B11" i="5"/>
  <c r="C10" i="5"/>
  <c r="D10" i="5" s="1"/>
  <c r="B11" i="4"/>
  <c r="C10" i="4"/>
  <c r="D10" i="4" s="1"/>
  <c r="C10" i="3"/>
  <c r="D10" i="3" s="1"/>
  <c r="B11" i="2"/>
  <c r="C10" i="2"/>
  <c r="D10" i="2" s="1"/>
  <c r="D11" i="5" l="1"/>
  <c r="B33" i="1"/>
  <c r="B32" i="3"/>
  <c r="B32" i="12"/>
  <c r="K11" i="10"/>
  <c r="B25" i="7"/>
  <c r="K13" i="11"/>
  <c r="K11" i="9"/>
  <c r="C11" i="9"/>
  <c r="D11" i="9" s="1"/>
  <c r="B12" i="9"/>
  <c r="K11" i="8"/>
  <c r="A10" i="9"/>
  <c r="K11" i="2"/>
  <c r="K11" i="1"/>
  <c r="K11" i="3"/>
  <c r="B21" i="6"/>
  <c r="K11" i="4"/>
  <c r="K11" i="5"/>
  <c r="K12" i="7"/>
  <c r="C11" i="7"/>
  <c r="D11" i="7" s="1"/>
  <c r="C11" i="1"/>
  <c r="D11" i="1" s="1"/>
  <c r="K12" i="12"/>
  <c r="C11" i="12"/>
  <c r="D11" i="12" s="1"/>
  <c r="A10" i="12"/>
  <c r="A12" i="11"/>
  <c r="C13" i="11"/>
  <c r="D13" i="11" s="1"/>
  <c r="B14" i="11"/>
  <c r="A10" i="10"/>
  <c r="B12" i="10"/>
  <c r="C11" i="10"/>
  <c r="D11" i="10" s="1"/>
  <c r="B12" i="8"/>
  <c r="C11" i="8"/>
  <c r="D11" i="8" s="1"/>
  <c r="C11" i="6"/>
  <c r="D11" i="6" s="1"/>
  <c r="K12" i="6"/>
  <c r="C11" i="5"/>
  <c r="B12" i="5"/>
  <c r="C11" i="4"/>
  <c r="D11" i="4" s="1"/>
  <c r="B12" i="4"/>
  <c r="C11" i="3"/>
  <c r="D11" i="3" s="1"/>
  <c r="C11" i="2"/>
  <c r="D11" i="2" s="1"/>
  <c r="B12" i="2"/>
  <c r="B33" i="12" l="1"/>
  <c r="B33" i="3"/>
  <c r="K12" i="10"/>
  <c r="K12" i="8"/>
  <c r="K12" i="9"/>
  <c r="B13" i="9"/>
  <c r="C12" i="9"/>
  <c r="D12" i="9" s="1"/>
  <c r="A11" i="9"/>
  <c r="B22" i="6"/>
  <c r="K12" i="2"/>
  <c r="K12" i="1"/>
  <c r="K12" i="3"/>
  <c r="K14" i="11"/>
  <c r="B26" i="7"/>
  <c r="K12" i="4"/>
  <c r="K12" i="5"/>
  <c r="K13" i="7"/>
  <c r="C12" i="7"/>
  <c r="D12" i="7" s="1"/>
  <c r="C12" i="1"/>
  <c r="D12" i="1" s="1"/>
  <c r="A11" i="12"/>
  <c r="C12" i="12"/>
  <c r="D12" i="12" s="1"/>
  <c r="K13" i="12"/>
  <c r="C14" i="11"/>
  <c r="D14" i="11" s="1"/>
  <c r="B15" i="11"/>
  <c r="A13" i="11"/>
  <c r="A11" i="10"/>
  <c r="C12" i="10"/>
  <c r="D12" i="10" s="1"/>
  <c r="B13" i="10"/>
  <c r="C12" i="8"/>
  <c r="D12" i="8" s="1"/>
  <c r="B13" i="8"/>
  <c r="K13" i="6"/>
  <c r="C12" i="6"/>
  <c r="D12" i="6" s="1"/>
  <c r="B13" i="5"/>
  <c r="C12" i="5"/>
  <c r="D12" i="5" s="1"/>
  <c r="B13" i="4"/>
  <c r="C12" i="4"/>
  <c r="D12" i="4" s="1"/>
  <c r="C12" i="3"/>
  <c r="D12" i="3" s="1"/>
  <c r="B13" i="2"/>
  <c r="C12" i="2"/>
  <c r="D12" i="2" s="1"/>
  <c r="D13" i="9" l="1"/>
  <c r="D13" i="10"/>
  <c r="K13" i="10"/>
  <c r="B23" i="6"/>
  <c r="K13" i="8"/>
  <c r="K13" i="9"/>
  <c r="B14" i="9"/>
  <c r="C13" i="9"/>
  <c r="B27" i="7"/>
  <c r="K13" i="2"/>
  <c r="K13" i="1"/>
  <c r="K13" i="3"/>
  <c r="K13" i="4"/>
  <c r="K15" i="11"/>
  <c r="K13" i="5"/>
  <c r="K14" i="7"/>
  <c r="C13" i="7"/>
  <c r="D13" i="7" s="1"/>
  <c r="C13" i="1"/>
  <c r="D13" i="1" s="1"/>
  <c r="A12" i="12"/>
  <c r="K14" i="12"/>
  <c r="C13" i="12"/>
  <c r="D13" i="12" s="1"/>
  <c r="C15" i="11"/>
  <c r="D15" i="11" s="1"/>
  <c r="B16" i="11"/>
  <c r="A14" i="11"/>
  <c r="A12" i="10"/>
  <c r="B14" i="10"/>
  <c r="C13" i="10"/>
  <c r="B14" i="8"/>
  <c r="C13" i="8"/>
  <c r="D13" i="8" s="1"/>
  <c r="C13" i="6"/>
  <c r="D13" i="6" s="1"/>
  <c r="K14" i="6"/>
  <c r="C13" i="5"/>
  <c r="D13" i="5" s="1"/>
  <c r="B14" i="5"/>
  <c r="C13" i="4"/>
  <c r="D13" i="4" s="1"/>
  <c r="B14" i="4"/>
  <c r="C13" i="3"/>
  <c r="D13" i="3" s="1"/>
  <c r="C13" i="2"/>
  <c r="D13" i="2" s="1"/>
  <c r="B14" i="2"/>
  <c r="K14" i="10" l="1"/>
  <c r="K14" i="3"/>
  <c r="K14" i="8"/>
  <c r="B28" i="7"/>
  <c r="K14" i="2"/>
  <c r="K14" i="1"/>
  <c r="K14" i="9"/>
  <c r="C14" i="9"/>
  <c r="D14" i="9" s="1"/>
  <c r="B15" i="9"/>
  <c r="K14" i="4"/>
  <c r="K16" i="11"/>
  <c r="B24" i="6"/>
  <c r="K14" i="5"/>
  <c r="K15" i="7"/>
  <c r="C14" i="7"/>
  <c r="D14" i="7" s="1"/>
  <c r="C14" i="1"/>
  <c r="D14" i="1" s="1"/>
  <c r="A13" i="12"/>
  <c r="C14" i="12"/>
  <c r="D14" i="12" s="1"/>
  <c r="K15" i="12"/>
  <c r="B17" i="11"/>
  <c r="C16" i="11"/>
  <c r="D16" i="11" s="1"/>
  <c r="A15" i="11"/>
  <c r="A13" i="10"/>
  <c r="C14" i="10"/>
  <c r="D14" i="10" s="1"/>
  <c r="B15" i="10"/>
  <c r="C14" i="8"/>
  <c r="D14" i="8" s="1"/>
  <c r="B15" i="8"/>
  <c r="K15" i="6"/>
  <c r="C14" i="6"/>
  <c r="D14" i="6" s="1"/>
  <c r="B15" i="5"/>
  <c r="C14" i="5"/>
  <c r="D14" i="5" s="1"/>
  <c r="B15" i="4"/>
  <c r="C14" i="4"/>
  <c r="D14" i="4" s="1"/>
  <c r="C14" i="3"/>
  <c r="D14" i="3" s="1"/>
  <c r="B15" i="2"/>
  <c r="C14" i="2"/>
  <c r="D14" i="2" s="1"/>
  <c r="K15" i="10" l="1"/>
  <c r="A14" i="6"/>
  <c r="B25" i="6"/>
  <c r="K15" i="2"/>
  <c r="K15" i="1"/>
  <c r="K15" i="8"/>
  <c r="K17" i="11"/>
  <c r="K15" i="3"/>
  <c r="B29" i="7"/>
  <c r="K15" i="9"/>
  <c r="C15" i="9"/>
  <c r="D15" i="9" s="1"/>
  <c r="B16" i="9"/>
  <c r="K15" i="5"/>
  <c r="K15" i="4"/>
  <c r="A14" i="9"/>
  <c r="K16" i="7"/>
  <c r="C15" i="7"/>
  <c r="D15" i="7" s="1"/>
  <c r="C15" i="1"/>
  <c r="D15" i="1" s="1"/>
  <c r="A14" i="12"/>
  <c r="K16" i="12"/>
  <c r="C15" i="12"/>
  <c r="D15" i="12" s="1"/>
  <c r="A16" i="11"/>
  <c r="B18" i="11"/>
  <c r="C17" i="11"/>
  <c r="D17" i="11" s="1"/>
  <c r="B16" i="10"/>
  <c r="C15" i="10"/>
  <c r="D15" i="10" s="1"/>
  <c r="A14" i="10"/>
  <c r="B16" i="8"/>
  <c r="C15" i="8"/>
  <c r="D15" i="8" s="1"/>
  <c r="C15" i="6"/>
  <c r="D15" i="6" s="1"/>
  <c r="K16" i="6"/>
  <c r="C15" i="5"/>
  <c r="D15" i="5" s="1"/>
  <c r="B16" i="5"/>
  <c r="C15" i="4"/>
  <c r="D15" i="4" s="1"/>
  <c r="B16" i="4"/>
  <c r="C15" i="3"/>
  <c r="D15" i="3" s="1"/>
  <c r="C15" i="2"/>
  <c r="D15" i="2" s="1"/>
  <c r="B16" i="2"/>
  <c r="K16" i="10" l="1"/>
  <c r="K18" i="11"/>
  <c r="K16" i="9"/>
  <c r="B17" i="9"/>
  <c r="C16" i="9"/>
  <c r="D16" i="9" s="1"/>
  <c r="K16" i="2"/>
  <c r="K16" i="1"/>
  <c r="K16" i="8"/>
  <c r="K16" i="3"/>
  <c r="K16" i="4"/>
  <c r="B30" i="7"/>
  <c r="B26" i="6"/>
  <c r="K16" i="5"/>
  <c r="K17" i="7"/>
  <c r="C16" i="7"/>
  <c r="D16" i="7" s="1"/>
  <c r="C16" i="1"/>
  <c r="D16" i="1" s="1"/>
  <c r="A15" i="12"/>
  <c r="C16" i="12"/>
  <c r="D16" i="12" s="1"/>
  <c r="K17" i="12"/>
  <c r="A17" i="11"/>
  <c r="C18" i="11"/>
  <c r="D18" i="11" s="1"/>
  <c r="B19" i="11"/>
  <c r="A15" i="10"/>
  <c r="C16" i="10"/>
  <c r="D16" i="10" s="1"/>
  <c r="B17" i="10"/>
  <c r="C16" i="8"/>
  <c r="D16" i="8" s="1"/>
  <c r="B17" i="8"/>
  <c r="K17" i="6"/>
  <c r="C16" i="6"/>
  <c r="D16" i="6" s="1"/>
  <c r="B17" i="5"/>
  <c r="C16" i="5"/>
  <c r="D16" i="5" s="1"/>
  <c r="B17" i="4"/>
  <c r="C16" i="4"/>
  <c r="D16" i="4" s="1"/>
  <c r="C16" i="3"/>
  <c r="D16" i="3" s="1"/>
  <c r="B17" i="2"/>
  <c r="C16" i="2"/>
  <c r="D16" i="2" s="1"/>
  <c r="K17" i="10" l="1"/>
  <c r="B27" i="6"/>
  <c r="B31" i="7"/>
  <c r="K17" i="9"/>
  <c r="B18" i="9"/>
  <c r="C17" i="9"/>
  <c r="D17" i="9" s="1"/>
  <c r="K17" i="1"/>
  <c r="K17" i="2"/>
  <c r="K17" i="8"/>
  <c r="K17" i="3"/>
  <c r="K17" i="4"/>
  <c r="K19" i="11"/>
  <c r="K17" i="5"/>
  <c r="C17" i="7"/>
  <c r="D17" i="7" s="1"/>
  <c r="K18" i="7"/>
  <c r="C17" i="1"/>
  <c r="D17" i="1" s="1"/>
  <c r="A16" i="12"/>
  <c r="K18" i="12"/>
  <c r="C17" i="12"/>
  <c r="D17" i="12" s="1"/>
  <c r="C19" i="11"/>
  <c r="D19" i="11" s="1"/>
  <c r="B20" i="11"/>
  <c r="A18" i="11"/>
  <c r="B18" i="10"/>
  <c r="C17" i="10"/>
  <c r="D17" i="10" s="1"/>
  <c r="A16" i="10"/>
  <c r="B18" i="8"/>
  <c r="C17" i="8"/>
  <c r="D17" i="8" s="1"/>
  <c r="C17" i="6"/>
  <c r="D17" i="6" s="1"/>
  <c r="K18" i="6"/>
  <c r="C17" i="5"/>
  <c r="D17" i="5" s="1"/>
  <c r="B18" i="5"/>
  <c r="C17" i="4"/>
  <c r="D17" i="4" s="1"/>
  <c r="B18" i="4"/>
  <c r="C17" i="3"/>
  <c r="D17" i="3" s="1"/>
  <c r="C17" i="2"/>
  <c r="D17" i="2" s="1"/>
  <c r="B18" i="2"/>
  <c r="K18" i="10" l="1"/>
  <c r="K20" i="11"/>
  <c r="K18" i="9"/>
  <c r="C18" i="9"/>
  <c r="D18" i="9" s="1"/>
  <c r="B19" i="9"/>
  <c r="K18" i="2"/>
  <c r="K18" i="8"/>
  <c r="K18" i="1"/>
  <c r="B32" i="7"/>
  <c r="K18" i="3"/>
  <c r="K18" i="4"/>
  <c r="B28" i="6"/>
  <c r="K18" i="5"/>
  <c r="C18" i="7"/>
  <c r="D18" i="7" s="1"/>
  <c r="K19" i="7"/>
  <c r="C18" i="1"/>
  <c r="D18" i="1" s="1"/>
  <c r="A17" i="12"/>
  <c r="C18" i="12"/>
  <c r="D18" i="12" s="1"/>
  <c r="K19" i="12"/>
  <c r="B21" i="11"/>
  <c r="C20" i="11"/>
  <c r="D20" i="11" s="1"/>
  <c r="A19" i="11"/>
  <c r="A17" i="10"/>
  <c r="C18" i="10"/>
  <c r="D18" i="10" s="1"/>
  <c r="B19" i="10"/>
  <c r="C18" i="8"/>
  <c r="D18" i="8" s="1"/>
  <c r="B19" i="8"/>
  <c r="K19" i="6"/>
  <c r="C18" i="6"/>
  <c r="D18" i="6" s="1"/>
  <c r="B19" i="5"/>
  <c r="C18" i="5"/>
  <c r="D18" i="5" s="1"/>
  <c r="B19" i="4"/>
  <c r="C18" i="4"/>
  <c r="D18" i="4" s="1"/>
  <c r="C18" i="3"/>
  <c r="D18" i="3" s="1"/>
  <c r="B19" i="2"/>
  <c r="C18" i="2"/>
  <c r="D18" i="2" s="1"/>
  <c r="K19" i="10" l="1"/>
  <c r="K19" i="8"/>
  <c r="K19" i="9"/>
  <c r="C19" i="9"/>
  <c r="D19" i="9" s="1"/>
  <c r="B20" i="9"/>
  <c r="B29" i="6"/>
  <c r="K21" i="11"/>
  <c r="K19" i="2"/>
  <c r="K19" i="1"/>
  <c r="K19" i="3"/>
  <c r="B33" i="7"/>
  <c r="K19" i="4"/>
  <c r="K20" i="7"/>
  <c r="C19" i="7"/>
  <c r="D19" i="7" s="1"/>
  <c r="C19" i="1"/>
  <c r="D19" i="1" s="1"/>
  <c r="K20" i="12"/>
  <c r="C19" i="12"/>
  <c r="D19" i="12" s="1"/>
  <c r="A18" i="12"/>
  <c r="A20" i="11"/>
  <c r="B22" i="11"/>
  <c r="C21" i="11"/>
  <c r="D21" i="11" s="1"/>
  <c r="B20" i="10"/>
  <c r="C19" i="10"/>
  <c r="D19" i="10" s="1"/>
  <c r="A18" i="10"/>
  <c r="B20" i="8"/>
  <c r="C19" i="8"/>
  <c r="D19" i="8" s="1"/>
  <c r="C19" i="6"/>
  <c r="D19" i="6" s="1"/>
  <c r="K20" i="6"/>
  <c r="C19" i="5"/>
  <c r="D19" i="5" s="1"/>
  <c r="B20" i="5"/>
  <c r="C19" i="4"/>
  <c r="D19" i="4" s="1"/>
  <c r="B20" i="4"/>
  <c r="C19" i="3"/>
  <c r="D19" i="3" s="1"/>
  <c r="C19" i="2"/>
  <c r="D19" i="2" s="1"/>
  <c r="B20" i="2"/>
  <c r="D22" i="11" l="1"/>
  <c r="K20" i="10"/>
  <c r="K22" i="11"/>
  <c r="B30" i="6"/>
  <c r="K20" i="9"/>
  <c r="C20" i="9"/>
  <c r="D20" i="9" s="1"/>
  <c r="B21" i="9"/>
  <c r="K20" i="2"/>
  <c r="K20" i="8"/>
  <c r="K20" i="3"/>
  <c r="K20" i="1"/>
  <c r="K20" i="5"/>
  <c r="K20" i="4"/>
  <c r="K21" i="7"/>
  <c r="C20" i="7"/>
  <c r="D20" i="7" s="1"/>
  <c r="C20" i="1"/>
  <c r="D20" i="1" s="1"/>
  <c r="A19" i="12"/>
  <c r="C20" i="12"/>
  <c r="K21" i="12"/>
  <c r="A21" i="11"/>
  <c r="C22" i="11"/>
  <c r="B23" i="11"/>
  <c r="A19" i="10"/>
  <c r="C20" i="10"/>
  <c r="D20" i="10" s="1"/>
  <c r="B21" i="10"/>
  <c r="C20" i="8"/>
  <c r="D20" i="8" s="1"/>
  <c r="B21" i="8"/>
  <c r="K21" i="6"/>
  <c r="C20" i="6"/>
  <c r="D20" i="6" s="1"/>
  <c r="B21" i="5"/>
  <c r="C20" i="5"/>
  <c r="D20" i="5" s="1"/>
  <c r="B21" i="4"/>
  <c r="C20" i="4"/>
  <c r="D20" i="4" s="1"/>
  <c r="C20" i="3"/>
  <c r="D20" i="3" s="1"/>
  <c r="B21" i="2"/>
  <c r="C20" i="2"/>
  <c r="D20" i="2" s="1"/>
  <c r="D21" i="2" l="1"/>
  <c r="D21" i="8"/>
  <c r="A19" i="6"/>
  <c r="K21" i="10"/>
  <c r="A20" i="6"/>
  <c r="K23" i="11"/>
  <c r="K21" i="9"/>
  <c r="B22" i="9"/>
  <c r="C21" i="9"/>
  <c r="D21" i="9" s="1"/>
  <c r="K21" i="8"/>
  <c r="K21" i="2"/>
  <c r="B31" i="6"/>
  <c r="K21" i="3"/>
  <c r="K21" i="1"/>
  <c r="K21" i="4"/>
  <c r="K21" i="5"/>
  <c r="K22" i="7"/>
  <c r="C21" i="7"/>
  <c r="D21" i="7" s="1"/>
  <c r="C21" i="1"/>
  <c r="D21" i="1" s="1"/>
  <c r="K22" i="12"/>
  <c r="C21" i="12"/>
  <c r="A20" i="12"/>
  <c r="C23" i="11"/>
  <c r="D23" i="11" s="1"/>
  <c r="B24" i="11"/>
  <c r="A22" i="11"/>
  <c r="A20" i="10"/>
  <c r="B22" i="10"/>
  <c r="C21" i="10"/>
  <c r="D21" i="10" s="1"/>
  <c r="B22" i="8"/>
  <c r="C21" i="8"/>
  <c r="C21" i="6"/>
  <c r="D21" i="6" s="1"/>
  <c r="K22" i="6"/>
  <c r="C21" i="5"/>
  <c r="D21" i="5" s="1"/>
  <c r="B22" i="5"/>
  <c r="C21" i="4"/>
  <c r="D21" i="4" s="1"/>
  <c r="B22" i="4"/>
  <c r="C21" i="3"/>
  <c r="D21" i="3" s="1"/>
  <c r="C21" i="2"/>
  <c r="B22" i="2"/>
  <c r="D22" i="8" l="1"/>
  <c r="K22" i="10"/>
  <c r="A21" i="6"/>
  <c r="K24" i="11"/>
  <c r="A21" i="9"/>
  <c r="K22" i="4"/>
  <c r="K22" i="9"/>
  <c r="C22" i="9"/>
  <c r="D22" i="9" s="1"/>
  <c r="B23" i="9"/>
  <c r="K22" i="2"/>
  <c r="K22" i="8"/>
  <c r="K22" i="1"/>
  <c r="B32" i="6"/>
  <c r="K22" i="5"/>
  <c r="C22" i="7"/>
  <c r="D22" i="7" s="1"/>
  <c r="K23" i="7"/>
  <c r="C22" i="1"/>
  <c r="D22" i="1" s="1"/>
  <c r="A21" i="12"/>
  <c r="C22" i="12"/>
  <c r="K23" i="12"/>
  <c r="B25" i="11"/>
  <c r="C24" i="11"/>
  <c r="D24" i="11" s="1"/>
  <c r="A23" i="11"/>
  <c r="A21" i="10"/>
  <c r="C22" i="10"/>
  <c r="D22" i="10" s="1"/>
  <c r="B23" i="10"/>
  <c r="C22" i="8"/>
  <c r="B23" i="8"/>
  <c r="K23" i="6"/>
  <c r="C22" i="6"/>
  <c r="D22" i="6" s="1"/>
  <c r="B23" i="5"/>
  <c r="C22" i="5"/>
  <c r="D22" i="5" s="1"/>
  <c r="B23" i="4"/>
  <c r="C22" i="4"/>
  <c r="D22" i="4" s="1"/>
  <c r="C22" i="3"/>
  <c r="D22" i="3" s="1"/>
  <c r="B23" i="2"/>
  <c r="C22" i="2"/>
  <c r="D22" i="2" s="1"/>
  <c r="D23" i="9" l="1"/>
  <c r="K23" i="10"/>
  <c r="K25" i="11"/>
  <c r="K23" i="8"/>
  <c r="K23" i="2"/>
  <c r="K23" i="1"/>
  <c r="K23" i="5"/>
  <c r="K23" i="4"/>
  <c r="K23" i="9"/>
  <c r="B24" i="9"/>
  <c r="C23" i="9"/>
  <c r="K24" i="7"/>
  <c r="C23" i="7"/>
  <c r="D23" i="7" s="1"/>
  <c r="C23" i="1"/>
  <c r="D23" i="1" s="1"/>
  <c r="K24" i="12"/>
  <c r="C23" i="12"/>
  <c r="A22" i="12"/>
  <c r="A24" i="11"/>
  <c r="B26" i="11"/>
  <c r="C25" i="11"/>
  <c r="D25" i="11" s="1"/>
  <c r="B24" i="10"/>
  <c r="C23" i="10"/>
  <c r="D23" i="10" s="1"/>
  <c r="A22" i="10"/>
  <c r="B24" i="8"/>
  <c r="C23" i="8"/>
  <c r="D23" i="8" s="1"/>
  <c r="C23" i="6"/>
  <c r="D23" i="6" s="1"/>
  <c r="K24" i="6"/>
  <c r="C23" i="5"/>
  <c r="D23" i="5" s="1"/>
  <c r="B24" i="5"/>
  <c r="C23" i="4"/>
  <c r="D23" i="4" s="1"/>
  <c r="B24" i="4"/>
  <c r="C23" i="3"/>
  <c r="D23" i="3" s="1"/>
  <c r="C23" i="2"/>
  <c r="D23" i="2" s="1"/>
  <c r="B24" i="2"/>
  <c r="D24" i="9" l="1"/>
  <c r="K24" i="10"/>
  <c r="K26" i="11"/>
  <c r="K24" i="9"/>
  <c r="B25" i="9"/>
  <c r="C24" i="9"/>
  <c r="K24" i="2"/>
  <c r="K24" i="8"/>
  <c r="K24" i="3"/>
  <c r="K24" i="1"/>
  <c r="K24" i="4"/>
  <c r="K24" i="5"/>
  <c r="C24" i="7"/>
  <c r="D24" i="7" s="1"/>
  <c r="K25" i="7"/>
  <c r="C24" i="1"/>
  <c r="D24" i="1" s="1"/>
  <c r="A23" i="12"/>
  <c r="C24" i="12"/>
  <c r="K25" i="12"/>
  <c r="A25" i="11"/>
  <c r="C26" i="11"/>
  <c r="D26" i="11" s="1"/>
  <c r="B27" i="11"/>
  <c r="A23" i="10"/>
  <c r="C24" i="10"/>
  <c r="D24" i="10" s="1"/>
  <c r="B25" i="10"/>
  <c r="C24" i="8"/>
  <c r="D24" i="8" s="1"/>
  <c r="B25" i="8"/>
  <c r="K25" i="6"/>
  <c r="C24" i="6"/>
  <c r="D24" i="6" s="1"/>
  <c r="B25" i="5"/>
  <c r="C24" i="5"/>
  <c r="D24" i="5" s="1"/>
  <c r="B25" i="4"/>
  <c r="C24" i="4"/>
  <c r="D24" i="4" s="1"/>
  <c r="C24" i="3"/>
  <c r="D24" i="3" s="1"/>
  <c r="B25" i="2"/>
  <c r="C24" i="2"/>
  <c r="D24" i="2" s="1"/>
  <c r="D25" i="9" l="1"/>
  <c r="K25" i="10"/>
  <c r="K25" i="4"/>
  <c r="K25" i="9"/>
  <c r="B26" i="9"/>
  <c r="C25" i="9"/>
  <c r="K27" i="11"/>
  <c r="K25" i="8"/>
  <c r="K25" i="1"/>
  <c r="K25" i="2"/>
  <c r="K25" i="3"/>
  <c r="K25" i="5"/>
  <c r="K26" i="7"/>
  <c r="C25" i="7"/>
  <c r="D25" i="7" s="1"/>
  <c r="C25" i="1"/>
  <c r="D25" i="1" s="1"/>
  <c r="A24" i="12"/>
  <c r="K26" i="12"/>
  <c r="C25" i="12"/>
  <c r="D25" i="12" s="1"/>
  <c r="A26" i="11"/>
  <c r="C27" i="11"/>
  <c r="D27" i="11" s="1"/>
  <c r="B28" i="11"/>
  <c r="B26" i="10"/>
  <c r="C25" i="10"/>
  <c r="D25" i="10" s="1"/>
  <c r="A24" i="10"/>
  <c r="B26" i="8"/>
  <c r="C25" i="8"/>
  <c r="D25" i="8" s="1"/>
  <c r="C25" i="6"/>
  <c r="D25" i="6" s="1"/>
  <c r="K26" i="6"/>
  <c r="C25" i="5"/>
  <c r="D25" i="5" s="1"/>
  <c r="B26" i="5"/>
  <c r="C25" i="4"/>
  <c r="D25" i="4" s="1"/>
  <c r="B26" i="4"/>
  <c r="C25" i="3"/>
  <c r="D25" i="3" s="1"/>
  <c r="C25" i="2"/>
  <c r="D25" i="2" s="1"/>
  <c r="B26" i="2"/>
  <c r="K26" i="10" l="1"/>
  <c r="K26" i="5"/>
  <c r="K28" i="11"/>
  <c r="K26" i="9"/>
  <c r="C26" i="9"/>
  <c r="D26" i="9" s="1"/>
  <c r="B27" i="9"/>
  <c r="K26" i="2"/>
  <c r="K26" i="8"/>
  <c r="K26" i="4"/>
  <c r="K26" i="3"/>
  <c r="K26" i="1"/>
  <c r="C26" i="7"/>
  <c r="D26" i="7" s="1"/>
  <c r="K27" i="7"/>
  <c r="C26" i="1"/>
  <c r="D26" i="1" s="1"/>
  <c r="A25" i="12"/>
  <c r="C26" i="12"/>
  <c r="D26" i="12" s="1"/>
  <c r="K27" i="12"/>
  <c r="A27" i="11"/>
  <c r="B29" i="11"/>
  <c r="C28" i="11"/>
  <c r="D28" i="11" s="1"/>
  <c r="A25" i="10"/>
  <c r="C26" i="10"/>
  <c r="D26" i="10" s="1"/>
  <c r="B27" i="10"/>
  <c r="C26" i="8"/>
  <c r="D26" i="8" s="1"/>
  <c r="B27" i="8"/>
  <c r="K27" i="6"/>
  <c r="C26" i="6"/>
  <c r="D26" i="6" s="1"/>
  <c r="B27" i="5"/>
  <c r="C26" i="5"/>
  <c r="D26" i="5" s="1"/>
  <c r="B27" i="4"/>
  <c r="C26" i="4"/>
  <c r="D26" i="4" s="1"/>
  <c r="C26" i="3"/>
  <c r="D26" i="3" s="1"/>
  <c r="B27" i="2"/>
  <c r="C26" i="2"/>
  <c r="D26" i="2" s="1"/>
  <c r="D27" i="8" l="1"/>
  <c r="K27" i="10"/>
  <c r="K27" i="4"/>
  <c r="K27" i="9"/>
  <c r="C27" i="9"/>
  <c r="D27" i="9" s="1"/>
  <c r="B28" i="9"/>
  <c r="K27" i="5"/>
  <c r="K29" i="11"/>
  <c r="K27" i="8"/>
  <c r="K27" i="2"/>
  <c r="K27" i="1"/>
  <c r="K27" i="3"/>
  <c r="K28" i="7"/>
  <c r="C27" i="7"/>
  <c r="D27" i="7" s="1"/>
  <c r="C27" i="1"/>
  <c r="D27" i="1" s="1"/>
  <c r="A26" i="12"/>
  <c r="K28" i="12"/>
  <c r="C27" i="12"/>
  <c r="A28" i="11"/>
  <c r="B30" i="11"/>
  <c r="C29" i="11"/>
  <c r="D29" i="11" s="1"/>
  <c r="B28" i="10"/>
  <c r="C27" i="10"/>
  <c r="D27" i="10" s="1"/>
  <c r="A26" i="10"/>
  <c r="B28" i="8"/>
  <c r="C27" i="8"/>
  <c r="C27" i="6"/>
  <c r="D27" i="6" s="1"/>
  <c r="K28" i="6"/>
  <c r="C27" i="5"/>
  <c r="D27" i="5" s="1"/>
  <c r="B28" i="5"/>
  <c r="C27" i="4"/>
  <c r="D27" i="4" s="1"/>
  <c r="B28" i="4"/>
  <c r="C27" i="3"/>
  <c r="D27" i="3" s="1"/>
  <c r="C27" i="2"/>
  <c r="D27" i="2" s="1"/>
  <c r="B28" i="2"/>
  <c r="K28" i="10" l="1"/>
  <c r="K28" i="3"/>
  <c r="K28" i="5"/>
  <c r="K28" i="9"/>
  <c r="B29" i="9"/>
  <c r="C28" i="9"/>
  <c r="D28" i="9" s="1"/>
  <c r="A27" i="9"/>
  <c r="K30" i="11"/>
  <c r="K28" i="2"/>
  <c r="K28" i="8"/>
  <c r="K28" i="1"/>
  <c r="K28" i="4"/>
  <c r="K29" i="7"/>
  <c r="C28" i="7"/>
  <c r="D28" i="7" s="1"/>
  <c r="C28" i="1"/>
  <c r="D28" i="1" s="1"/>
  <c r="A27" i="12"/>
  <c r="C28" i="12"/>
  <c r="K29" i="12"/>
  <c r="A29" i="11"/>
  <c r="C30" i="11"/>
  <c r="D30" i="11" s="1"/>
  <c r="B31" i="11"/>
  <c r="A27" i="10"/>
  <c r="C28" i="10"/>
  <c r="D28" i="10" s="1"/>
  <c r="B29" i="10"/>
  <c r="C28" i="8"/>
  <c r="D28" i="8" s="1"/>
  <c r="B29" i="8"/>
  <c r="K29" i="6"/>
  <c r="C28" i="6"/>
  <c r="D28" i="6" s="1"/>
  <c r="B29" i="5"/>
  <c r="C28" i="5"/>
  <c r="D28" i="5" s="1"/>
  <c r="B29" i="4"/>
  <c r="C28" i="4"/>
  <c r="D28" i="4" s="1"/>
  <c r="C28" i="3"/>
  <c r="D28" i="3" s="1"/>
  <c r="B29" i="2"/>
  <c r="C28" i="2"/>
  <c r="D28" i="2" s="1"/>
  <c r="K29" i="10" l="1"/>
  <c r="K29" i="9"/>
  <c r="B30" i="9"/>
  <c r="C29" i="9"/>
  <c r="D29" i="9" s="1"/>
  <c r="K31" i="11"/>
  <c r="A28" i="9"/>
  <c r="K29" i="8"/>
  <c r="K29" i="4"/>
  <c r="K29" i="2"/>
  <c r="K29" i="3"/>
  <c r="K29" i="1"/>
  <c r="K29" i="5"/>
  <c r="K30" i="7"/>
  <c r="C29" i="7"/>
  <c r="D29" i="7" s="1"/>
  <c r="C29" i="1"/>
  <c r="D29" i="1" s="1"/>
  <c r="K30" i="12"/>
  <c r="C29" i="12"/>
  <c r="D29" i="12" s="1"/>
  <c r="A28" i="12"/>
  <c r="A30" i="11"/>
  <c r="C31" i="11"/>
  <c r="D31" i="11" s="1"/>
  <c r="B32" i="11"/>
  <c r="B30" i="10"/>
  <c r="C29" i="10"/>
  <c r="D29" i="10" s="1"/>
  <c r="A28" i="10"/>
  <c r="B30" i="8"/>
  <c r="C29" i="8"/>
  <c r="D29" i="8" s="1"/>
  <c r="C29" i="6"/>
  <c r="D29" i="6" s="1"/>
  <c r="K30" i="6"/>
  <c r="C29" i="5"/>
  <c r="D29" i="5" s="1"/>
  <c r="B30" i="5"/>
  <c r="C29" i="4"/>
  <c r="D29" i="4" s="1"/>
  <c r="B30" i="4"/>
  <c r="C29" i="3"/>
  <c r="D29" i="3" s="1"/>
  <c r="C29" i="2"/>
  <c r="D29" i="2" s="1"/>
  <c r="B30" i="2"/>
  <c r="D30" i="5" l="1"/>
  <c r="D32" i="11"/>
  <c r="K30" i="10"/>
  <c r="K32" i="11"/>
  <c r="A29" i="9"/>
  <c r="K30" i="2"/>
  <c r="K30" i="8"/>
  <c r="K30" i="1"/>
  <c r="K30" i="9"/>
  <c r="C30" i="9"/>
  <c r="D30" i="9" s="1"/>
  <c r="B31" i="9"/>
  <c r="K30" i="3"/>
  <c r="K30" i="4"/>
  <c r="K30" i="5"/>
  <c r="C32" i="11"/>
  <c r="M4" i="11" s="1"/>
  <c r="K31" i="7"/>
  <c r="C30" i="7"/>
  <c r="D30" i="7" s="1"/>
  <c r="C30" i="2"/>
  <c r="M4" i="2" s="1"/>
  <c r="M5" i="2" s="1"/>
  <c r="C30" i="1"/>
  <c r="D30" i="1" s="1"/>
  <c r="A29" i="12"/>
  <c r="C30" i="12"/>
  <c r="D30" i="12" s="1"/>
  <c r="K31" i="12"/>
  <c r="A31" i="11"/>
  <c r="A29" i="10"/>
  <c r="C30" i="10"/>
  <c r="D30" i="10" s="1"/>
  <c r="B31" i="10"/>
  <c r="C30" i="8"/>
  <c r="D30" i="8" s="1"/>
  <c r="B31" i="8"/>
  <c r="K31" i="6"/>
  <c r="C30" i="6"/>
  <c r="D30" i="6" s="1"/>
  <c r="B31" i="5"/>
  <c r="C30" i="5"/>
  <c r="B31" i="4"/>
  <c r="C30" i="4"/>
  <c r="D30" i="4" s="1"/>
  <c r="C30" i="3"/>
  <c r="D30" i="3" s="1"/>
  <c r="D30" i="2" l="1"/>
  <c r="G13" i="13" s="1"/>
  <c r="D31" i="4"/>
  <c r="K31" i="10"/>
  <c r="G22" i="13"/>
  <c r="E22" i="13"/>
  <c r="D22" i="13"/>
  <c r="F22" i="13"/>
  <c r="K31" i="1"/>
  <c r="K31" i="3"/>
  <c r="A32" i="11"/>
  <c r="M5" i="11" s="1"/>
  <c r="K31" i="9"/>
  <c r="C31" i="9"/>
  <c r="D31" i="9" s="1"/>
  <c r="B32" i="9"/>
  <c r="A30" i="9"/>
  <c r="B32" i="5"/>
  <c r="K31" i="8"/>
  <c r="K31" i="4"/>
  <c r="K31" i="5"/>
  <c r="C31" i="7"/>
  <c r="D31" i="7" s="1"/>
  <c r="K32" i="7"/>
  <c r="C31" i="1"/>
  <c r="D31" i="1" s="1"/>
  <c r="K32" i="12"/>
  <c r="C31" i="12"/>
  <c r="D31" i="12" s="1"/>
  <c r="A30" i="12"/>
  <c r="A30" i="10"/>
  <c r="B32" i="10"/>
  <c r="C31" i="10"/>
  <c r="D31" i="10" s="1"/>
  <c r="B32" i="8"/>
  <c r="C31" i="8"/>
  <c r="D31" i="8" s="1"/>
  <c r="C31" i="6"/>
  <c r="D31" i="6" s="1"/>
  <c r="C31" i="5"/>
  <c r="D31" i="5" s="1"/>
  <c r="C31" i="4"/>
  <c r="B32" i="4"/>
  <c r="C31" i="3"/>
  <c r="D31" i="3" s="1"/>
  <c r="D32" i="5" l="1"/>
  <c r="F13" i="13"/>
  <c r="D32" i="10"/>
  <c r="K32" i="5"/>
  <c r="K32" i="10"/>
  <c r="B33" i="5"/>
  <c r="C32" i="5"/>
  <c r="A31" i="9"/>
  <c r="K32" i="3"/>
  <c r="K32" i="4"/>
  <c r="K32" i="1"/>
  <c r="K32" i="8"/>
  <c r="K32" i="9"/>
  <c r="C32" i="9"/>
  <c r="M4" i="9" s="1"/>
  <c r="K32" i="6"/>
  <c r="C32" i="4"/>
  <c r="M4" i="4" s="1"/>
  <c r="M5" i="4" s="1"/>
  <c r="C32" i="6"/>
  <c r="K33" i="7"/>
  <c r="C32" i="7"/>
  <c r="D32" i="7" s="1"/>
  <c r="C32" i="1"/>
  <c r="D32" i="1" s="1"/>
  <c r="A31" i="12"/>
  <c r="C32" i="12"/>
  <c r="D32" i="12" s="1"/>
  <c r="K33" i="12"/>
  <c r="A31" i="10"/>
  <c r="C32" i="10"/>
  <c r="B33" i="10"/>
  <c r="C32" i="8"/>
  <c r="D32" i="8" s="1"/>
  <c r="B33" i="8"/>
  <c r="C32" i="3"/>
  <c r="D32" i="3" s="1"/>
  <c r="M4" i="6" l="1"/>
  <c r="M5" i="6" s="1"/>
  <c r="D32" i="6"/>
  <c r="G17" i="13" s="1"/>
  <c r="D32" i="9"/>
  <c r="G20" i="13" s="1"/>
  <c r="D32" i="4"/>
  <c r="G15" i="13" s="1"/>
  <c r="G16" i="13"/>
  <c r="K33" i="10"/>
  <c r="C33" i="5"/>
  <c r="M4" i="5" s="1"/>
  <c r="M5" i="5" s="1"/>
  <c r="K33" i="5"/>
  <c r="K33" i="8"/>
  <c r="K33" i="1"/>
  <c r="K33" i="3"/>
  <c r="C33" i="3"/>
  <c r="C33" i="1"/>
  <c r="C33" i="12"/>
  <c r="M4" i="12" s="1"/>
  <c r="C33" i="10"/>
  <c r="M4" i="10" s="1"/>
  <c r="C33" i="7"/>
  <c r="C33" i="8"/>
  <c r="M4" i="8" s="1"/>
  <c r="M5" i="8" s="1"/>
  <c r="A32" i="12"/>
  <c r="A32" i="10"/>
  <c r="M5" i="10" l="1"/>
  <c r="M4" i="3"/>
  <c r="M5" i="3" s="1"/>
  <c r="D33" i="3"/>
  <c r="E14" i="13" s="1"/>
  <c r="D15" i="13"/>
  <c r="E15" i="13"/>
  <c r="D33" i="5"/>
  <c r="M5" i="12"/>
  <c r="F15" i="13"/>
  <c r="M4" i="7"/>
  <c r="M5" i="7" s="1"/>
  <c r="D33" i="7"/>
  <c r="G18" i="13" s="1"/>
  <c r="F20" i="13"/>
  <c r="M4" i="1"/>
  <c r="M5" i="1" s="1"/>
  <c r="D33" i="1"/>
  <c r="G12" i="13" s="1"/>
  <c r="A32" i="9"/>
  <c r="M5" i="9" s="1"/>
  <c r="D33" i="8"/>
  <c r="G19" i="13" s="1"/>
  <c r="D33" i="10"/>
  <c r="G21" i="13" s="1"/>
  <c r="D16" i="13"/>
  <c r="F16" i="13"/>
  <c r="E16" i="13"/>
  <c r="D33" i="12"/>
  <c r="E23" i="13" s="1"/>
  <c r="D17" i="13"/>
  <c r="F17" i="13"/>
  <c r="E17" i="13"/>
  <c r="C12" i="13"/>
  <c r="F21" i="13" l="1"/>
  <c r="E21" i="13"/>
  <c r="D21" i="13"/>
  <c r="F19" i="13"/>
  <c r="E12" i="13"/>
  <c r="E19" i="13"/>
  <c r="D19" i="13"/>
  <c r="F18" i="13"/>
  <c r="A33" i="10"/>
  <c r="F12" i="13"/>
  <c r="D14" i="13"/>
  <c r="G14" i="13"/>
  <c r="F14" i="13"/>
  <c r="A33" i="12"/>
  <c r="F23" i="13"/>
  <c r="D23" i="13"/>
  <c r="G23" i="13"/>
  <c r="E18" i="13"/>
  <c r="D18" i="13"/>
  <c r="D12" i="13"/>
  <c r="E13" i="13"/>
  <c r="D13" i="13"/>
  <c r="E26" i="13" l="1"/>
  <c r="F24" i="13"/>
  <c r="G24" i="13"/>
  <c r="M7" i="5"/>
  <c r="L7" i="5" s="1"/>
  <c r="E20" i="13" l="1"/>
  <c r="E24" i="13" s="1"/>
  <c r="E27" i="13"/>
  <c r="D20" i="13"/>
  <c r="D24" i="13" s="1"/>
  <c r="D26" i="13" l="1"/>
</calcChain>
</file>

<file path=xl/sharedStrings.xml><?xml version="1.0" encoding="utf-8"?>
<sst xmlns="http://schemas.openxmlformats.org/spreadsheetml/2006/main" count="9400" uniqueCount="96">
  <si>
    <t>Datum</t>
  </si>
  <si>
    <t>Wochentag</t>
  </si>
  <si>
    <t>Feiertag/Frei/Krank/Urlaub</t>
  </si>
  <si>
    <t>Arbeitsbeginn</t>
  </si>
  <si>
    <t>Arbeitsende</t>
  </si>
  <si>
    <t>Arbeitszeit</t>
  </si>
  <si>
    <t>Wöchentliche Arbeitszeit</t>
  </si>
  <si>
    <t>Urlaubstage</t>
  </si>
  <si>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</si>
  <si>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</si>
  <si>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</si>
  <si>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</si>
  <si>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</si>
  <si>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</si>
  <si>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</si>
  <si>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</si>
  <si>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</si>
  <si>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</si>
  <si>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</si>
  <si>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</si>
  <si>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Krankheitstage</t>
  </si>
  <si>
    <t>Gesamt</t>
  </si>
  <si>
    <t>Resturlaub</t>
  </si>
  <si>
    <t>Überstunden aus dem Vorjahr</t>
  </si>
  <si>
    <t>Arbeit</t>
  </si>
  <si>
    <t>Feiertag</t>
  </si>
  <si>
    <t>Frei</t>
  </si>
  <si>
    <t>Krank</t>
  </si>
  <si>
    <t>Urlaub</t>
  </si>
  <si>
    <t>-</t>
  </si>
  <si>
    <t>Pausenbeginn</t>
  </si>
  <si>
    <t>Pausenende</t>
  </si>
  <si>
    <t>Monatsarbeitszeit</t>
  </si>
  <si>
    <t>Home Office</t>
  </si>
  <si>
    <t xml:space="preserve">Arbeitszeit, Überstunden, Arbeitsbeginn, Arbeitsende, Pause sind im Format hh:mm einzutragen.
Überstunden / Minusstunden werden automatisch anhand der wöchentlichen Arbeitszeit berechnet.
</t>
  </si>
  <si>
    <t>Prognostizierten Feierabend anzeigen</t>
  </si>
  <si>
    <t>Werktage vorausfüllen mit</t>
  </si>
  <si>
    <t>Jahr</t>
  </si>
  <si>
    <t>Resturlaub aus dem Vorjahr</t>
  </si>
  <si>
    <t>Urlaubstage insgesamt</t>
  </si>
  <si>
    <t>Über-/Minusstunden</t>
  </si>
  <si>
    <t>Bundesland</t>
  </si>
  <si>
    <t>Baden-Württemberg</t>
  </si>
  <si>
    <t>Neujahrstag</t>
  </si>
  <si>
    <t>Heilige Drei Könige</t>
  </si>
  <si>
    <t>Karfreitag</t>
  </si>
  <si>
    <t>Ostersonntag</t>
  </si>
  <si>
    <t>Ostermontag</t>
  </si>
  <si>
    <t>Tag der Arbeit</t>
  </si>
  <si>
    <t>Christi Himmelfahrt</t>
  </si>
  <si>
    <t>Pfingstsonntag</t>
  </si>
  <si>
    <t>Pfingstmontag</t>
  </si>
  <si>
    <t>Fronleichnam</t>
  </si>
  <si>
    <t>Tag der Dt. Einheit</t>
  </si>
  <si>
    <t>Allerheiligen</t>
  </si>
  <si>
    <t>1. Weihnachtstag</t>
  </si>
  <si>
    <t>2. Weihnachtstag</t>
  </si>
  <si>
    <t>Bayern</t>
  </si>
  <si>
    <t>Bayern mit Mariä Himmelfahrt</t>
  </si>
  <si>
    <t>Mariä Himmelfahrt</t>
  </si>
  <si>
    <t>Berlin</t>
  </si>
  <si>
    <t>Brandenburg</t>
  </si>
  <si>
    <t>Reformationstag</t>
  </si>
  <si>
    <t>Bremen</t>
  </si>
  <si>
    <t>Hamburg</t>
  </si>
  <si>
    <t>Hessen</t>
  </si>
  <si>
    <t>Mecklenburg-Vorpommern</t>
  </si>
  <si>
    <t>Niedersachsen</t>
  </si>
  <si>
    <t>Nordrhein-Westfalen</t>
  </si>
  <si>
    <t>Rheinland-Pfalz</t>
  </si>
  <si>
    <t>Saarland</t>
  </si>
  <si>
    <t>Sachsen</t>
  </si>
  <si>
    <t>Buß- und Bettag</t>
  </si>
  <si>
    <t>Sachsen (Fronleichnam)</t>
  </si>
  <si>
    <t>Sachsen-Anhalt</t>
  </si>
  <si>
    <t>Schleswig-Holstein</t>
  </si>
  <si>
    <t>Thüringen</t>
  </si>
  <si>
    <t>Thüringen (Fronleichnam)</t>
  </si>
  <si>
    <t>Bundesland (Feiertage)</t>
  </si>
  <si>
    <t>Hinweise:</t>
  </si>
  <si>
    <t>Ja</t>
  </si>
  <si>
    <t>Pausen</t>
  </si>
  <si>
    <t>Stundenkonto</t>
  </si>
  <si>
    <t>Pausen Dauer</t>
  </si>
  <si>
    <t>u</t>
  </si>
  <si>
    <t>Pause Start:</t>
  </si>
  <si>
    <t>Pause Ende:</t>
  </si>
  <si>
    <t>Dauer:</t>
  </si>
  <si>
    <t>Bürotage</t>
  </si>
  <si>
    <t>Dienstreise</t>
  </si>
  <si>
    <t>Total</t>
  </si>
  <si>
    <t>Büro</t>
  </si>
  <si>
    <t>=</t>
  </si>
  <si>
    <t>ö</t>
  </si>
  <si>
    <t>Verweis Bundesland Deckblatt</t>
  </si>
  <si>
    <t>Verweis Arbeitsort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</si>
</sst>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[hh]:mm"/>
    <numFmt numFmtId="166" formatCode="[$-F400]h:mm:ss\ AM/PM"/>
    <numFmt numFmtId="167" formatCode="h:mm;@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9" fillId="0" borderId="0" applyFont="0" applyFill="0" applyBorder="0" applyAlignment="0" applyProtection="0"/>
  </cellStyleXfs>
  <cellXfs count="94">
    <xf numFmtId="0" fontId="0" fillId="0" borderId="0" xfId="0"/>
    <xf numFmtId="0" fontId="0" fillId="0" borderId="1" xfId="0" applyFont="1" applyBorder="1"/>
    <xf numFmtId="0" fontId="0" fillId="0" borderId="3" xfId="0" applyBorder="1"/>
    <xf numFmtId="0" fontId="1" fillId="3" borderId="2" xfId="0" applyFont="1" applyFill="1" applyBorder="1"/>
    <xf numFmtId="0" fontId="1" fillId="4" borderId="4" xfId="0" applyFont="1" applyFill="1" applyBorder="1"/>
    <xf numFmtId="0" fontId="1" fillId="4" borderId="7" xfId="0" applyFont="1" applyFill="1" applyBorder="1"/>
    <xf numFmtId="165" fontId="0" fillId="0" borderId="1" xfId="0" applyNumberFormat="1" applyBorder="1"/>
    <xf numFmtId="0" fontId="0" fillId="5" borderId="0" xfId="0" applyFill="1"/>
    <xf numFmtId="0" fontId="1" fillId="3" borderId="1" xfId="0" applyFont="1" applyFill="1" applyBorder="1"/>
    <xf numFmtId="20" fontId="3" fillId="5" borderId="0" xfId="0" applyNumberFormat="1" applyFont="1" applyFill="1"/>
    <xf numFmtId="0" fontId="3" fillId="5" borderId="0" xfId="0" applyFont="1" applyFill="1"/>
    <xf numFmtId="0" fontId="4" fillId="5" borderId="0" xfId="0" applyFont="1" applyFill="1"/>
    <xf numFmtId="165" fontId="0" fillId="2" borderId="1" xfId="0" applyNumberFormat="1" applyFill="1" applyBorder="1"/>
    <xf numFmtId="0" fontId="2" fillId="5" borderId="0" xfId="0" applyFont="1" applyFill="1" applyAlignment="1">
      <alignment horizontal="left"/>
    </xf>
    <xf numFmtId="0" fontId="0" fillId="2" borderId="1" xfId="0" applyFill="1" applyBorder="1"/>
    <xf numFmtId="0" fontId="0" fillId="0" borderId="11" xfId="0" applyFont="1" applyBorder="1"/>
    <xf numFmtId="0" fontId="2" fillId="0" borderId="8" xfId="0" applyFont="1" applyBorder="1" applyAlignment="1">
      <alignment horizontal="center"/>
    </xf>
    <xf numFmtId="20" fontId="0" fillId="0" borderId="11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20" fontId="0" fillId="5" borderId="0" xfId="0" applyNumberFormat="1" applyFill="1"/>
    <xf numFmtId="0" fontId="5" fillId="5" borderId="0" xfId="0" applyFont="1" applyFill="1" applyAlignment="1">
      <alignment vertical="top" wrapText="1"/>
    </xf>
    <xf numFmtId="0" fontId="6" fillId="5" borderId="0" xfId="0" applyFont="1" applyFill="1" applyAlignment="1">
      <alignment vertical="top" wrapText="1"/>
    </xf>
    <xf numFmtId="0" fontId="2" fillId="5" borderId="10" xfId="0" applyFont="1" applyFill="1" applyBorder="1" applyAlignment="1"/>
    <xf numFmtId="0" fontId="2" fillId="5" borderId="0" xfId="0" applyFont="1" applyFill="1" applyAlignment="1"/>
    <xf numFmtId="0" fontId="0" fillId="5" borderId="0" xfId="0" applyFill="1" applyAlignment="1"/>
    <xf numFmtId="0" fontId="0" fillId="0" borderId="1" xfId="0" applyNumberFormat="1" applyFont="1" applyBorder="1"/>
    <xf numFmtId="165" fontId="0" fillId="0" borderId="1" xfId="0" quotePrefix="1" applyNumberFormat="1" applyBorder="1"/>
    <xf numFmtId="0" fontId="3" fillId="5" borderId="0" xfId="0" quotePrefix="1" applyFont="1" applyFill="1"/>
    <xf numFmtId="14" fontId="0" fillId="5" borderId="0" xfId="0" applyNumberFormat="1" applyFill="1"/>
    <xf numFmtId="16" fontId="0" fillId="5" borderId="1" xfId="0" applyNumberFormat="1" applyFill="1" applyBorder="1" applyAlignment="1">
      <alignment horizontal="right"/>
    </xf>
    <xf numFmtId="14" fontId="0" fillId="0" borderId="1" xfId="0" applyNumberFormat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0" fontId="2" fillId="0" borderId="8" xfId="0" applyFont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7" fillId="5" borderId="0" xfId="0" applyFont="1" applyFill="1"/>
    <xf numFmtId="20" fontId="7" fillId="5" borderId="0" xfId="0" applyNumberFormat="1" applyFont="1" applyFill="1"/>
    <xf numFmtId="165" fontId="2" fillId="0" borderId="1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0" borderId="0" xfId="0" applyFont="1"/>
    <xf numFmtId="14" fontId="0" fillId="0" borderId="0" xfId="0" applyNumberFormat="1"/>
    <xf numFmtId="0" fontId="5" fillId="5" borderId="0" xfId="0" applyFont="1" applyFill="1" applyBorder="1" applyAlignment="1">
      <alignment vertical="top" wrapText="1"/>
    </xf>
    <xf numFmtId="0" fontId="6" fillId="5" borderId="0" xfId="0" applyFont="1" applyFill="1" applyBorder="1" applyAlignment="1">
      <alignment vertical="top" wrapText="1"/>
    </xf>
    <xf numFmtId="20" fontId="3" fillId="5" borderId="0" xfId="0" quotePrefix="1" applyNumberFormat="1" applyFont="1" applyFill="1"/>
    <xf numFmtId="166" fontId="0" fillId="0" borderId="11" xfId="0" applyNumberFormat="1" applyBorder="1" applyAlignment="1">
      <alignment horizontal="center" vertical="center"/>
    </xf>
    <xf numFmtId="166" fontId="0" fillId="5" borderId="0" xfId="0" applyNumberFormat="1" applyFill="1"/>
    <xf numFmtId="166" fontId="2" fillId="0" borderId="8" xfId="0" applyNumberFormat="1" applyFont="1" applyBorder="1" applyAlignment="1">
      <alignment horizontal="center"/>
    </xf>
    <xf numFmtId="0" fontId="0" fillId="5" borderId="0" xfId="0" applyFill="1" applyAlignment="1">
      <alignment wrapText="1"/>
    </xf>
    <xf numFmtId="20" fontId="2" fillId="0" borderId="8" xfId="0" applyNumberFormat="1" applyFont="1" applyBorder="1" applyAlignment="1">
      <alignment horizontal="center" wrapText="1"/>
    </xf>
    <xf numFmtId="20" fontId="0" fillId="0" borderId="11" xfId="0" quotePrefix="1" applyNumberFormat="1" applyBorder="1" applyAlignment="1">
      <alignment horizontal="center" vertical="center" wrapText="1"/>
    </xf>
    <xf numFmtId="20" fontId="0" fillId="0" borderId="11" xfId="0" applyNumberFormat="1" applyBorder="1" applyAlignment="1">
      <alignment horizontal="center" vertical="center" wrapText="1"/>
    </xf>
    <xf numFmtId="0" fontId="0" fillId="0" borderId="1" xfId="0" applyFont="1" applyBorder="1" applyAlignment="1">
      <alignment vertical="center"/>
    </xf>
    <xf numFmtId="0" fontId="0" fillId="5" borderId="0" xfId="0" applyFill="1" applyAlignment="1">
      <alignment vertical="center"/>
    </xf>
    <xf numFmtId="20" fontId="0" fillId="5" borderId="0" xfId="0" applyNumberFormat="1" applyFill="1" applyAlignment="1">
      <alignment vertical="center"/>
    </xf>
    <xf numFmtId="0" fontId="2" fillId="0" borderId="8" xfId="0" applyFont="1" applyBorder="1" applyAlignment="1">
      <alignment horizontal="center" vertical="center"/>
    </xf>
    <xf numFmtId="20" fontId="2" fillId="0" borderId="8" xfId="0" applyNumberFormat="1" applyFont="1" applyBorder="1" applyAlignment="1">
      <alignment horizontal="center" vertical="center" wrapText="1"/>
    </xf>
    <xf numFmtId="166" fontId="2" fillId="0" borderId="8" xfId="0" applyNumberFormat="1" applyFont="1" applyBorder="1" applyAlignment="1">
      <alignment horizontal="center" vertical="center"/>
    </xf>
    <xf numFmtId="14" fontId="0" fillId="5" borderId="1" xfId="0" applyNumberFormat="1" applyFill="1" applyBorder="1" applyAlignment="1">
      <alignment horizontal="right" vertical="center"/>
    </xf>
    <xf numFmtId="20" fontId="0" fillId="0" borderId="1" xfId="0" quotePrefix="1" applyNumberFormat="1" applyBorder="1" applyAlignment="1">
      <alignment horizontal="center" vertical="center" wrapText="1"/>
    </xf>
    <xf numFmtId="20" fontId="0" fillId="0" borderId="1" xfId="0" applyNumberFormat="1" applyBorder="1" applyAlignment="1">
      <alignment horizontal="center" vertical="center" wrapText="1"/>
    </xf>
    <xf numFmtId="0" fontId="0" fillId="0" borderId="1" xfId="0" quotePrefix="1" applyNumberFormat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top"/>
    </xf>
    <xf numFmtId="20" fontId="0" fillId="0" borderId="11" xfId="0" applyNumberFormat="1" applyBorder="1" applyAlignment="1">
      <alignment horizontal="center" vertical="top"/>
    </xf>
    <xf numFmtId="20" fontId="0" fillId="0" borderId="11" xfId="0" quotePrefix="1" applyNumberFormat="1" applyBorder="1" applyAlignment="1">
      <alignment horizontal="center" vertical="top" wrapText="1"/>
    </xf>
    <xf numFmtId="165" fontId="0" fillId="0" borderId="11" xfId="0" applyNumberFormat="1" applyBorder="1" applyAlignment="1">
      <alignment horizontal="center" vertical="top"/>
    </xf>
    <xf numFmtId="0" fontId="6" fillId="5" borderId="12" xfId="0" applyFont="1" applyFill="1" applyBorder="1" applyAlignment="1">
      <alignment vertical="top" wrapText="1"/>
    </xf>
    <xf numFmtId="0" fontId="6" fillId="5" borderId="13" xfId="0" applyFont="1" applyFill="1" applyBorder="1" applyAlignment="1">
      <alignment vertical="top" wrapText="1"/>
    </xf>
    <xf numFmtId="0" fontId="6" fillId="5" borderId="17" xfId="0" applyFont="1" applyFill="1" applyBorder="1" applyAlignment="1">
      <alignment vertical="top" wrapText="1"/>
    </xf>
    <xf numFmtId="167" fontId="0" fillId="2" borderId="1" xfId="0" quotePrefix="1" applyNumberFormat="1" applyFill="1" applyBorder="1" applyAlignment="1">
      <alignment horizontal="right"/>
    </xf>
    <xf numFmtId="2" fontId="2" fillId="5" borderId="10" xfId="0" applyNumberFormat="1" applyFont="1" applyFill="1" applyBorder="1" applyAlignment="1">
      <alignment horizontal="left"/>
    </xf>
    <xf numFmtId="167" fontId="0" fillId="2" borderId="5" xfId="0" applyNumberFormat="1" applyFill="1" applyBorder="1" applyAlignment="1">
      <alignment horizontal="center"/>
    </xf>
    <xf numFmtId="0" fontId="2" fillId="5" borderId="0" xfId="0" applyFont="1" applyFill="1" applyAlignment="1">
      <alignment horizontal="right"/>
    </xf>
    <xf numFmtId="20" fontId="2" fillId="0" borderId="8" xfId="0" quotePrefix="1" applyNumberFormat="1" applyFont="1" applyBorder="1" applyAlignment="1">
      <alignment horizontal="center" vertical="center" wrapText="1"/>
    </xf>
    <xf numFmtId="20" fontId="0" fillId="0" borderId="1" xfId="0" quotePrefix="1" applyNumberFormat="1" applyBorder="1" applyAlignment="1">
      <alignment horizontal="center" vertical="center"/>
    </xf>
    <xf numFmtId="0" fontId="0" fillId="5" borderId="0" xfId="0" applyNumberFormat="1" applyFill="1"/>
    <xf numFmtId="20" fontId="0" fillId="0" borderId="1" xfId="0" applyNumberFormat="1" applyFont="1" applyBorder="1" applyAlignment="1">
      <alignment horizontal="center" vertical="center"/>
    </xf>
    <xf numFmtId="164" fontId="0" fillId="5" borderId="0" xfId="1" applyFont="1" applyFill="1"/>
    <xf numFmtId="1" fontId="0" fillId="5" borderId="0" xfId="0" applyNumberFormat="1" applyFill="1" applyAlignment="1">
      <alignment horizontal="left"/>
    </xf>
    <xf numFmtId="0" fontId="10" fillId="5" borderId="10" xfId="0" applyFont="1" applyFill="1" applyBorder="1" applyAlignment="1">
      <alignment horizontal="left"/>
    </xf>
    <xf numFmtId="0" fontId="5" fillId="5" borderId="0" xfId="0" applyFont="1" applyFill="1" applyAlignment="1">
      <alignment vertical="top" wrapText="1"/>
    </xf>
    <xf numFmtId="0" fontId="5" fillId="5" borderId="10" xfId="0" applyFont="1" applyFill="1" applyBorder="1" applyAlignment="1">
      <alignment horizontal="left" vertical="top" wrapText="1"/>
    </xf>
    <xf numFmtId="0" fontId="5" fillId="5" borderId="0" xfId="0" applyFont="1" applyFill="1" applyBorder="1" applyAlignment="1">
      <alignment horizontal="left" vertical="top" wrapText="1"/>
    </xf>
    <xf numFmtId="0" fontId="5" fillId="5" borderId="14" xfId="0" applyFont="1" applyFill="1" applyBorder="1" applyAlignment="1">
      <alignment horizontal="left" vertical="top" wrapText="1"/>
    </xf>
    <xf numFmtId="0" fontId="5" fillId="5" borderId="15" xfId="0" applyFont="1" applyFill="1" applyBorder="1" applyAlignment="1">
      <alignment horizontal="left" vertical="top" wrapText="1"/>
    </xf>
    <xf numFmtId="0" fontId="5" fillId="5" borderId="18" xfId="0" applyFont="1" applyFill="1" applyBorder="1" applyAlignment="1">
      <alignment horizontal="left" vertical="top" wrapText="1"/>
    </xf>
    <xf numFmtId="0" fontId="5" fillId="5" borderId="16" xfId="0" applyFont="1" applyFill="1" applyBorder="1" applyAlignment="1">
      <alignment horizontal="left" vertical="top" wrapText="1"/>
    </xf>
  </cellXfs>
  <cellStyles count="2">
    <cellStyle name="Currency" xfId="1" builtinId="4"/>
    <cellStyle name="Normal" xfId="0" builtinId="0"/>
  </cellStyles>
  <dxfs count="515"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00B050"/>
      </font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00B050"/>
      </font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00B050"/>
      </font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00B050"/>
      </font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00B050"/>
      </font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00B050"/>
      </font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00B050"/>
      </font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00B050"/>
      </font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00B050"/>
      </font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00B050"/>
      </font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00B050"/>
      </font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00B050"/>
      </font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00B050"/>
      </font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00B050"/>
      </font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00B050"/>
      </font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rgb="FF00B050"/>
      </font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6</xdr:row>
          <xdr:rowOff>85725</xdr:rowOff>
        </xdr:from>
        <xdr:to>
          <xdr:col>5</xdr:col>
          <xdr:colOff>876300</xdr:colOff>
          <xdr:row>9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 Eingaben in den Monatsblättern löschen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114300</xdr:rowOff>
        </xdr:from>
        <xdr:to>
          <xdr:col>11</xdr:col>
          <xdr:colOff>1428750</xdr:colOff>
          <xdr:row>9</xdr:row>
          <xdr:rowOff>95250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Arbeitsbeginn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7</xdr:row>
          <xdr:rowOff>104775</xdr:rowOff>
        </xdr:from>
        <xdr:to>
          <xdr:col>13</xdr:col>
          <xdr:colOff>19050</xdr:colOff>
          <xdr:row>9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Feierabend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9</xdr:row>
          <xdr:rowOff>152400</xdr:rowOff>
        </xdr:from>
        <xdr:to>
          <xdr:col>11</xdr:col>
          <xdr:colOff>1428750</xdr:colOff>
          <xdr:row>11</xdr:row>
          <xdr:rowOff>133350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9</xdr:row>
          <xdr:rowOff>142875</xdr:rowOff>
        </xdr:from>
        <xdr:to>
          <xdr:col>13</xdr:col>
          <xdr:colOff>19050</xdr:colOff>
          <xdr:row>11</xdr:row>
          <xdr:rowOff>133350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Pausenende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114300</xdr:rowOff>
        </xdr:from>
        <xdr:to>
          <xdr:col>11</xdr:col>
          <xdr:colOff>1428750</xdr:colOff>
          <xdr:row>9</xdr:row>
          <xdr:rowOff>95250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Arbeitsbeginn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9</xdr:row>
          <xdr:rowOff>152400</xdr:rowOff>
        </xdr:from>
        <xdr:to>
          <xdr:col>11</xdr:col>
          <xdr:colOff>1428750</xdr:colOff>
          <xdr:row>11</xdr:row>
          <xdr:rowOff>133350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Pausenbeginn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114300</xdr:rowOff>
        </xdr:from>
        <xdr:to>
          <xdr:col>11</xdr:col>
          <xdr:colOff>1428750</xdr:colOff>
          <xdr:row>9</xdr:row>
          <xdr:rowOff>95250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3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Arbeitsbeginn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7</xdr:row>
          <xdr:rowOff>104775</xdr:rowOff>
        </xdr:from>
        <xdr:to>
          <xdr:col>13</xdr:col>
          <xdr:colOff>19050</xdr:colOff>
          <xdr:row>9</xdr:row>
          <xdr:rowOff>95250</xdr:rowOff>
        </xdr:to>
        <xdr:sp macro="" textlink="">
          <xdr:nvSpPr>
            <xdr:cNvPr id="6173" name="Button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3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Feierabend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9</xdr:row>
          <xdr:rowOff>152400</xdr:rowOff>
        </xdr:from>
        <xdr:to>
          <xdr:col>11</xdr:col>
          <xdr:colOff>1428750</xdr:colOff>
          <xdr:row>11</xdr:row>
          <xdr:rowOff>133350</xdr:rowOff>
        </xdr:to>
        <xdr:sp macro="" textlink="">
          <xdr:nvSpPr>
            <xdr:cNvPr id="6174" name="Button 3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3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9</xdr:row>
          <xdr:rowOff>142875</xdr:rowOff>
        </xdr:from>
        <xdr:to>
          <xdr:col>13</xdr:col>
          <xdr:colOff>19050</xdr:colOff>
          <xdr:row>11</xdr:row>
          <xdr:rowOff>133350</xdr:rowOff>
        </xdr:to>
        <xdr:sp macro="" textlink="">
          <xdr:nvSpPr>
            <xdr:cNvPr id="6175" name="Button 31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3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Pausenende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114300</xdr:rowOff>
        </xdr:from>
        <xdr:to>
          <xdr:col>11</xdr:col>
          <xdr:colOff>1428750</xdr:colOff>
          <xdr:row>9</xdr:row>
          <xdr:rowOff>95250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Arbeitsbeginn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7</xdr:row>
          <xdr:rowOff>104775</xdr:rowOff>
        </xdr:from>
        <xdr:to>
          <xdr:col>13</xdr:col>
          <xdr:colOff>19050</xdr:colOff>
          <xdr:row>9</xdr:row>
          <xdr:rowOff>95250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Feierabend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9</xdr:row>
          <xdr:rowOff>152400</xdr:rowOff>
        </xdr:from>
        <xdr:to>
          <xdr:col>11</xdr:col>
          <xdr:colOff>1428750</xdr:colOff>
          <xdr:row>11</xdr:row>
          <xdr:rowOff>133350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4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9</xdr:row>
          <xdr:rowOff>142875</xdr:rowOff>
        </xdr:from>
        <xdr:to>
          <xdr:col>13</xdr:col>
          <xdr:colOff>19050</xdr:colOff>
          <xdr:row>11</xdr:row>
          <xdr:rowOff>133350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4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Pausenende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114300</xdr:rowOff>
        </xdr:from>
        <xdr:to>
          <xdr:col>11</xdr:col>
          <xdr:colOff>1428750</xdr:colOff>
          <xdr:row>9</xdr:row>
          <xdr:rowOff>95250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5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Arbeitsbeginn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7</xdr:row>
          <xdr:rowOff>104775</xdr:rowOff>
        </xdr:from>
        <xdr:to>
          <xdr:col>13</xdr:col>
          <xdr:colOff>19050</xdr:colOff>
          <xdr:row>9</xdr:row>
          <xdr:rowOff>95250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5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Feierabend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9</xdr:row>
          <xdr:rowOff>152400</xdr:rowOff>
        </xdr:from>
        <xdr:to>
          <xdr:col>11</xdr:col>
          <xdr:colOff>1428750</xdr:colOff>
          <xdr:row>11</xdr:row>
          <xdr:rowOff>133350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5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9</xdr:row>
          <xdr:rowOff>142875</xdr:rowOff>
        </xdr:from>
        <xdr:to>
          <xdr:col>13</xdr:col>
          <xdr:colOff>19050</xdr:colOff>
          <xdr:row>11</xdr:row>
          <xdr:rowOff>133350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5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Pausenende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114300</xdr:rowOff>
        </xdr:from>
        <xdr:to>
          <xdr:col>11</xdr:col>
          <xdr:colOff>1428750</xdr:colOff>
          <xdr:row>9</xdr:row>
          <xdr:rowOff>95250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6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Arbeitsbeginn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7</xdr:row>
          <xdr:rowOff>104775</xdr:rowOff>
        </xdr:from>
        <xdr:to>
          <xdr:col>13</xdr:col>
          <xdr:colOff>19050</xdr:colOff>
          <xdr:row>9</xdr:row>
          <xdr:rowOff>95250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6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Feierabend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9</xdr:row>
          <xdr:rowOff>152400</xdr:rowOff>
        </xdr:from>
        <xdr:to>
          <xdr:col>11</xdr:col>
          <xdr:colOff>1428750</xdr:colOff>
          <xdr:row>11</xdr:row>
          <xdr:rowOff>133350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6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9</xdr:row>
          <xdr:rowOff>142875</xdr:rowOff>
        </xdr:from>
        <xdr:to>
          <xdr:col>13</xdr:col>
          <xdr:colOff>19050</xdr:colOff>
          <xdr:row>11</xdr:row>
          <xdr:rowOff>133350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6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Pausenende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114300</xdr:rowOff>
        </xdr:from>
        <xdr:to>
          <xdr:col>11</xdr:col>
          <xdr:colOff>1428750</xdr:colOff>
          <xdr:row>9</xdr:row>
          <xdr:rowOff>95250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Arbeitsbeginn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7</xdr:row>
          <xdr:rowOff>104775</xdr:rowOff>
        </xdr:from>
        <xdr:to>
          <xdr:col>13</xdr:col>
          <xdr:colOff>19050</xdr:colOff>
          <xdr:row>9</xdr:row>
          <xdr:rowOff>95250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7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Feierabend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9</xdr:row>
          <xdr:rowOff>152400</xdr:rowOff>
        </xdr:from>
        <xdr:to>
          <xdr:col>11</xdr:col>
          <xdr:colOff>1428750</xdr:colOff>
          <xdr:row>11</xdr:row>
          <xdr:rowOff>133350</xdr:rowOff>
        </xdr:to>
        <xdr:sp macro="" textlink="">
          <xdr:nvSpPr>
            <xdr:cNvPr id="10256" name="Button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7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9</xdr:row>
          <xdr:rowOff>142875</xdr:rowOff>
        </xdr:from>
        <xdr:to>
          <xdr:col>13</xdr:col>
          <xdr:colOff>19050</xdr:colOff>
          <xdr:row>11</xdr:row>
          <xdr:rowOff>133350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7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Pausenende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114300</xdr:rowOff>
        </xdr:from>
        <xdr:to>
          <xdr:col>11</xdr:col>
          <xdr:colOff>1428750</xdr:colOff>
          <xdr:row>9</xdr:row>
          <xdr:rowOff>95250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8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Arbeitsbeginn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7</xdr:row>
          <xdr:rowOff>104775</xdr:rowOff>
        </xdr:from>
        <xdr:to>
          <xdr:col>13</xdr:col>
          <xdr:colOff>19050</xdr:colOff>
          <xdr:row>9</xdr:row>
          <xdr:rowOff>95250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8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Feierabend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9</xdr:row>
          <xdr:rowOff>152400</xdr:rowOff>
        </xdr:from>
        <xdr:to>
          <xdr:col>11</xdr:col>
          <xdr:colOff>1428750</xdr:colOff>
          <xdr:row>11</xdr:row>
          <xdr:rowOff>133350</xdr:rowOff>
        </xdr:to>
        <xdr:sp macro="" textlink="">
          <xdr:nvSpPr>
            <xdr:cNvPr id="11281" name="Button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8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9</xdr:row>
          <xdr:rowOff>142875</xdr:rowOff>
        </xdr:from>
        <xdr:to>
          <xdr:col>13</xdr:col>
          <xdr:colOff>19050</xdr:colOff>
          <xdr:row>11</xdr:row>
          <xdr:rowOff>133350</xdr:rowOff>
        </xdr:to>
        <xdr:sp macro="" textlink="">
          <xdr:nvSpPr>
            <xdr:cNvPr id="11282" name="Button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8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Pausenende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114300</xdr:rowOff>
        </xdr:from>
        <xdr:to>
          <xdr:col>11</xdr:col>
          <xdr:colOff>1428750</xdr:colOff>
          <xdr:row>9</xdr:row>
          <xdr:rowOff>95250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9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Arbeitsbeginn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7</xdr:row>
          <xdr:rowOff>104775</xdr:rowOff>
        </xdr:from>
        <xdr:to>
          <xdr:col>13</xdr:col>
          <xdr:colOff>19050</xdr:colOff>
          <xdr:row>9</xdr:row>
          <xdr:rowOff>95250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9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Feierabend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9</xdr:row>
          <xdr:rowOff>152400</xdr:rowOff>
        </xdr:from>
        <xdr:to>
          <xdr:col>11</xdr:col>
          <xdr:colOff>1428750</xdr:colOff>
          <xdr:row>11</xdr:row>
          <xdr:rowOff>133350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9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9</xdr:row>
          <xdr:rowOff>142875</xdr:rowOff>
        </xdr:from>
        <xdr:to>
          <xdr:col>13</xdr:col>
          <xdr:colOff>19050</xdr:colOff>
          <xdr:row>11</xdr:row>
          <xdr:rowOff>133350</xdr:rowOff>
        </xdr:to>
        <xdr:sp macro="" textlink="">
          <xdr:nvSpPr>
            <xdr:cNvPr id="12306" name="Button 18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9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Pausenende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114300</xdr:rowOff>
        </xdr:from>
        <xdr:to>
          <xdr:col>11</xdr:col>
          <xdr:colOff>1428750</xdr:colOff>
          <xdr:row>9</xdr:row>
          <xdr:rowOff>95250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9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Arbeitsbeginn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9</xdr:row>
          <xdr:rowOff>152400</xdr:rowOff>
        </xdr:from>
        <xdr:to>
          <xdr:col>11</xdr:col>
          <xdr:colOff>1428750</xdr:colOff>
          <xdr:row>11</xdr:row>
          <xdr:rowOff>133350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9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Pausenbeginn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114300</xdr:rowOff>
        </xdr:from>
        <xdr:to>
          <xdr:col>11</xdr:col>
          <xdr:colOff>1428750</xdr:colOff>
          <xdr:row>9</xdr:row>
          <xdr:rowOff>95250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A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Arbeitsbeginn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7</xdr:row>
          <xdr:rowOff>104775</xdr:rowOff>
        </xdr:from>
        <xdr:to>
          <xdr:col>13</xdr:col>
          <xdr:colOff>19050</xdr:colOff>
          <xdr:row>9</xdr:row>
          <xdr:rowOff>95250</xdr:rowOff>
        </xdr:to>
        <xdr:sp macro="" textlink="">
          <xdr:nvSpPr>
            <xdr:cNvPr id="13328" name="Button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A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Feierabend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9</xdr:row>
          <xdr:rowOff>152400</xdr:rowOff>
        </xdr:from>
        <xdr:to>
          <xdr:col>11</xdr:col>
          <xdr:colOff>1428750</xdr:colOff>
          <xdr:row>11</xdr:row>
          <xdr:rowOff>133350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A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9</xdr:row>
          <xdr:rowOff>142875</xdr:rowOff>
        </xdr:from>
        <xdr:to>
          <xdr:col>13</xdr:col>
          <xdr:colOff>19050</xdr:colOff>
          <xdr:row>11</xdr:row>
          <xdr:rowOff>133350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A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Pausenende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7</xdr:row>
          <xdr:rowOff>114300</xdr:rowOff>
        </xdr:from>
        <xdr:to>
          <xdr:col>11</xdr:col>
          <xdr:colOff>1428750</xdr:colOff>
          <xdr:row>9</xdr:row>
          <xdr:rowOff>95250</xdr:rowOff>
        </xdr:to>
        <xdr:sp macro="" textlink="">
          <xdr:nvSpPr>
            <xdr:cNvPr id="14351" name="Button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B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Arbeitsbeginn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7</xdr:row>
          <xdr:rowOff>104775</xdr:rowOff>
        </xdr:from>
        <xdr:to>
          <xdr:col>13</xdr:col>
          <xdr:colOff>19050</xdr:colOff>
          <xdr:row>9</xdr:row>
          <xdr:rowOff>95250</xdr:rowOff>
        </xdr:to>
        <xdr:sp macro="" textlink="">
          <xdr:nvSpPr>
            <xdr:cNvPr id="14352" name="Button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B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Feierabend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9</xdr:row>
          <xdr:rowOff>152400</xdr:rowOff>
        </xdr:from>
        <xdr:to>
          <xdr:col>11</xdr:col>
          <xdr:colOff>1428750</xdr:colOff>
          <xdr:row>11</xdr:row>
          <xdr:rowOff>133350</xdr:rowOff>
        </xdr:to>
        <xdr:sp macro="" textlink="">
          <xdr:nvSpPr>
            <xdr:cNvPr id="14353" name="Button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B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9</xdr:row>
          <xdr:rowOff>142875</xdr:rowOff>
        </xdr:from>
        <xdr:to>
          <xdr:col>13</xdr:col>
          <xdr:colOff>19050</xdr:colOff>
          <xdr:row>11</xdr:row>
          <xdr:rowOff>133350</xdr:rowOff>
        </xdr:to>
        <xdr:sp macro="" textlink="">
          <xdr:nvSpPr>
            <xdr:cNvPr id="14354" name="Button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B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Pausenende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7</xdr:row>
          <xdr:rowOff>114300</xdr:rowOff>
        </xdr:from>
        <xdr:to>
          <xdr:col>11</xdr:col>
          <xdr:colOff>1457325</xdr:colOff>
          <xdr:row>9</xdr:row>
          <xdr:rowOff>95250</xdr:rowOff>
        </xdr:to>
        <xdr:sp macro="" textlink="">
          <xdr:nvSpPr>
            <xdr:cNvPr id="15375" name="Button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C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Arbeitsbeginn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7</xdr:row>
          <xdr:rowOff>104775</xdr:rowOff>
        </xdr:from>
        <xdr:to>
          <xdr:col>13</xdr:col>
          <xdr:colOff>19050</xdr:colOff>
          <xdr:row>9</xdr:row>
          <xdr:rowOff>95250</xdr:rowOff>
        </xdr:to>
        <xdr:sp macro="" textlink="">
          <xdr:nvSpPr>
            <xdr:cNvPr id="15376" name="Button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C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Feierabend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9</xdr:row>
          <xdr:rowOff>152400</xdr:rowOff>
        </xdr:from>
        <xdr:to>
          <xdr:col>11</xdr:col>
          <xdr:colOff>1457325</xdr:colOff>
          <xdr:row>11</xdr:row>
          <xdr:rowOff>133350</xdr:rowOff>
        </xdr:to>
        <xdr:sp macro="" textlink="">
          <xdr:nvSpPr>
            <xdr:cNvPr id="15377" name="Button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C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9</xdr:row>
          <xdr:rowOff>142875</xdr:rowOff>
        </xdr:from>
        <xdr:to>
          <xdr:col>13</xdr:col>
          <xdr:colOff>19050</xdr:colOff>
          <xdr:row>11</xdr:row>
          <xdr:rowOff>133350</xdr:rowOff>
        </xdr:to>
        <xdr:sp macro="" textlink="">
          <xdr:nvSpPr>
            <xdr:cNvPr id="15378" name="Button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C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Pausenende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114300</xdr:rowOff>
        </xdr:from>
        <xdr:to>
          <xdr:col>11</xdr:col>
          <xdr:colOff>1428750</xdr:colOff>
          <xdr:row>9</xdr:row>
          <xdr:rowOff>95250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D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Arbeitsbeginn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7</xdr:row>
          <xdr:rowOff>104775</xdr:rowOff>
        </xdr:from>
        <xdr:to>
          <xdr:col>13</xdr:col>
          <xdr:colOff>19050</xdr:colOff>
          <xdr:row>9</xdr:row>
          <xdr:rowOff>95250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D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Feierabend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9</xdr:row>
          <xdr:rowOff>152400</xdr:rowOff>
        </xdr:from>
        <xdr:to>
          <xdr:col>11</xdr:col>
          <xdr:colOff>1428750</xdr:colOff>
          <xdr:row>11</xdr:row>
          <xdr:rowOff>133350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D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Pausenbeginn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1590675</xdr:colOff>
          <xdr:row>9</xdr:row>
          <xdr:rowOff>142875</xdr:rowOff>
        </xdr:from>
        <xdr:to>
          <xdr:col>13</xdr:col>
          <xdr:colOff>19050</xdr:colOff>
          <xdr:row>11</xdr:row>
          <xdr:rowOff>133350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D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Pausenende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ustomProperty" Target="../customProperty7.bin"/><Relationship Id="rId3" Type="http://schemas.openxmlformats.org/officeDocument/2006/relationships/customProperty" Target="../customProperty2.bin"/><Relationship Id="rId7" Type="http://schemas.openxmlformats.org/officeDocument/2006/relationships/customProperty" Target="../customProperty6.bin"/><Relationship Id="rId12" Type="http://schemas.openxmlformats.org/officeDocument/2006/relationships/ctrlProp" Target="../ctrlProps/ctrlProp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ustomProperty" Target="../customProperty5.bin"/><Relationship Id="rId11" Type="http://schemas.openxmlformats.org/officeDocument/2006/relationships/vmlDrawing" Target="../drawings/vmlDrawing1.vml"/><Relationship Id="rId5" Type="http://schemas.openxmlformats.org/officeDocument/2006/relationships/customProperty" Target="../customProperty4.bin"/><Relationship Id="rId10" Type="http://schemas.openxmlformats.org/officeDocument/2006/relationships/drawing" Target="../drawings/drawing1.xml"/><Relationship Id="rId4" Type="http://schemas.openxmlformats.org/officeDocument/2006/relationships/customProperty" Target="../customProperty3.bin"/><Relationship Id="rId9" Type="http://schemas.openxmlformats.org/officeDocument/2006/relationships/customProperty" Target="../customProperty8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0.xml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4.xml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customProperty" Target="../customProperty12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13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7.xml"/><Relationship Id="rId1" Type="http://schemas.openxmlformats.org/officeDocument/2006/relationships/customProperty" Target="../customProperty14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8.xml"/><Relationship Id="rId1" Type="http://schemas.openxmlformats.org/officeDocument/2006/relationships/customProperty" Target="../customProperty15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9.xml"/><Relationship Id="rId1" Type="http://schemas.openxmlformats.org/officeDocument/2006/relationships/customProperty" Target="../customProperty16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drawing" Target="../drawings/drawing10.xml"/><Relationship Id="rId7" Type="http://schemas.openxmlformats.org/officeDocument/2006/relationships/ctrlProp" Target="../ctrlProps/ctrlProp40.xml"/><Relationship Id="rId2" Type="http://schemas.openxmlformats.org/officeDocument/2006/relationships/customProperty" Target="../customProperty17.bin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drawing" Target="../drawings/drawing11.xml"/><Relationship Id="rId7" Type="http://schemas.openxmlformats.org/officeDocument/2006/relationships/ctrlProp" Target="../ctrlProps/ctrlProp44.xml"/><Relationship Id="rId2" Type="http://schemas.openxmlformats.org/officeDocument/2006/relationships/customProperty" Target="../customProperty18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12.xml"/><Relationship Id="rId1" Type="http://schemas.openxmlformats.org/officeDocument/2006/relationships/customProperty" Target="../customProperty19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13.xml"/><Relationship Id="rId1" Type="http://schemas.openxmlformats.org/officeDocument/2006/relationships/customProperty" Target="../customProperty20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6"/>
  </sheetPr>
  <dimension ref="A1:J28"/>
  <sheetViews>
    <sheetView tabSelected="1" zoomScale="120" zoomScaleNormal="120" workbookViewId="0">
      <selection activeCell="C8" sqref="C8"/>
    </sheetView>
  </sheetViews>
  <sheetFormatPr defaultColWidth="0" defaultRowHeight="15" zeroHeight="1" x14ac:dyDescent="0.25"/>
  <cols>
    <col min="1" max="1" width="3.7109375" style="7" customWidth="1"/>
    <col min="2" max="2" width="37.28515625" style="7" bestFit="1" customWidth="1"/>
    <col min="3" max="3" width="20" style="7" bestFit="1" customWidth="1"/>
    <col min="4" max="4" width="12.28515625" style="7" bestFit="1" customWidth="1"/>
    <col min="5" max="7" width="15" style="7" customWidth="1"/>
    <col min="8" max="8" width="3.28515625" style="7" customWidth="1"/>
    <col min="9" max="9" width="11.42578125" style="7" hidden="1" customWidth="1"/>
    <col min="10" max="10" width="4.28515625" style="7" hidden="1" customWidth="1"/>
    <col min="11" max="16384" width="11.42578125" style="7" hidden="1"/>
  </cols>
  <sheetData>
    <row r="1" spans="1:10" x14ac:dyDescent="0.25"/>
    <row r="2" spans="1:10" ht="15" customHeight="1" x14ac:dyDescent="0.25">
      <c r="B2" s="8" t="s">
        <v>6</v>
      </c>
      <c r="C2" s="12">
        <v>1.6666666666666667</v>
      </c>
      <c r="D2" s="25"/>
      <c r="E2" s="73" t="s">
        <v>79</v>
      </c>
      <c r="F2" s="75"/>
      <c r="G2" s="74"/>
      <c r="H2" s="50"/>
      <c r="I2" s="50"/>
      <c r="J2" s="26"/>
    </row>
    <row r="3" spans="1:10" ht="15" customHeight="1" x14ac:dyDescent="0.25">
      <c r="B3" s="8" t="s">
        <v>23</v>
      </c>
      <c r="C3" s="76">
        <v>0</v>
      </c>
      <c r="D3" s="77"/>
      <c r="E3" s="88" t="s">
        <v>34</v>
      </c>
      <c r="F3" s="89"/>
      <c r="G3" s="90"/>
      <c r="H3" s="49"/>
      <c r="I3" s="49"/>
      <c r="J3" s="13"/>
    </row>
    <row r="4" spans="1:10" x14ac:dyDescent="0.25">
      <c r="B4" s="8" t="s">
        <v>39</v>
      </c>
      <c r="C4" s="14">
        <v>28</v>
      </c>
      <c r="D4" s="86"/>
      <c r="E4" s="88"/>
      <c r="F4" s="89"/>
      <c r="G4" s="90"/>
      <c r="H4" s="49"/>
      <c r="I4" s="49"/>
      <c r="J4" s="26"/>
    </row>
    <row r="5" spans="1:10" ht="15" customHeight="1" x14ac:dyDescent="0.25">
      <c r="B5" s="8" t="s">
        <v>38</v>
      </c>
      <c r="C5" s="14">
        <v>0</v>
      </c>
      <c r="D5" s="25"/>
      <c r="E5" s="88"/>
      <c r="F5" s="89"/>
      <c r="G5" s="90"/>
      <c r="H5" s="49"/>
      <c r="I5" s="49"/>
      <c r="J5" s="26"/>
    </row>
    <row r="6" spans="1:10" ht="15" customHeight="1" x14ac:dyDescent="0.25">
      <c r="B6" s="8" t="s">
        <v>37</v>
      </c>
      <c r="C6" s="14">
        <v>2024</v>
      </c>
      <c r="D6" s="27"/>
      <c r="E6" s="91"/>
      <c r="F6" s="92"/>
      <c r="G6" s="93"/>
      <c r="H6" s="49"/>
      <c r="I6" s="49"/>
      <c r="J6" s="27"/>
    </row>
    <row r="7" spans="1:10" x14ac:dyDescent="0.25">
      <c r="B7" s="8" t="s">
        <v>78</v>
      </c>
      <c r="C7" s="36" t="s">
        <v>68</v>
      </c>
      <c r="D7" s="11"/>
      <c r="E7" s="49"/>
      <c r="F7" s="49"/>
      <c r="G7" s="49"/>
      <c r="H7" s="49"/>
      <c r="I7" s="49"/>
    </row>
    <row r="8" spans="1:10" x14ac:dyDescent="0.25">
      <c r="B8" s="8" t="s">
        <v>36</v>
      </c>
      <c r="C8" s="36" t="s">
        <v>91</v>
      </c>
      <c r="D8" s="11"/>
      <c r="E8" s="49"/>
      <c r="F8" s="49"/>
      <c r="G8" s="49"/>
      <c r="H8" s="49"/>
      <c r="I8" s="49"/>
    </row>
    <row r="9" spans="1:10" x14ac:dyDescent="0.25">
      <c r="B9" s="8" t="s">
        <v>35</v>
      </c>
      <c r="C9" s="36" t="s">
        <v>80</v>
      </c>
      <c r="E9" s="49"/>
      <c r="F9" s="49"/>
      <c r="G9" s="49"/>
      <c r="H9" s="49"/>
      <c r="I9" s="49"/>
    </row>
    <row r="10" spans="1:10" x14ac:dyDescent="0.25">
      <c r="E10" s="23"/>
      <c r="F10" s="23"/>
      <c r="G10" s="23"/>
      <c r="H10" s="23"/>
      <c r="I10" s="23"/>
    </row>
    <row r="11" spans="1:10" ht="15" customHeight="1" x14ac:dyDescent="0.25">
      <c r="B11" s="31"/>
      <c r="C11" s="3" t="s">
        <v>40</v>
      </c>
      <c r="D11" s="8" t="s">
        <v>33</v>
      </c>
      <c r="E11" s="3" t="s">
        <v>20</v>
      </c>
      <c r="F11" s="8" t="s">
        <v>7</v>
      </c>
      <c r="G11" s="8" t="s">
        <v>88</v>
      </c>
      <c r="J11" s="24"/>
    </row>
    <row r="12" spans="1:10" x14ac:dyDescent="0.25">
      <c r="A12" s="10">
        <v>1</v>
      </c>
      <c r="B12" s="3" t="s">
        <v>8</v>
      </c>
      <c r="C12" s="40">
        <f ca="1">IF(MONTH(TODAY())&gt;=A12,Januar!M6,"")</f>
        <v>0</v>
      </c>
      <c r="D12" s="41">
        <f ca="1">IF(C12="","",COUNTIF(Januar!$D$3:$D$33,"Home Office"))</f>
        <v>0</v>
      </c>
      <c r="E12" s="41">
        <f>IF(A12="","",COUNTIF(Januar!$D$3:$D$33,"Krank"))</f>
        <v>0</v>
      </c>
      <c r="F12" s="41">
        <f>COUNTIF(Januar!$D$3:$D$33,"Urlaub")</f>
        <v>0</v>
      </c>
      <c r="G12" s="41">
        <f>COUNTIF(Januar!$D$3:$D$33,"Büro")</f>
        <v>22</v>
      </c>
      <c r="J12" s="24"/>
    </row>
    <row r="13" spans="1:10" ht="15" customHeight="1" x14ac:dyDescent="0.25">
      <c r="A13" s="10">
        <v>2</v>
      </c>
      <c r="B13" s="3" t="s">
        <v>9</v>
      </c>
      <c r="C13" s="40">
        <f ca="1">IF(MONTH(TODAY())&gt;=A13,Februar!M6,"")</f>
        <v>0</v>
      </c>
      <c r="D13" s="41">
        <f ca="1">IF($C$13="","",COUNTIF(Februar!$D$3:$D$33,"Home Office"))</f>
        <v>0</v>
      </c>
      <c r="E13" s="41">
        <f ca="1">IF($C$13="","",COUNTIF(Februar!$D$3:$D$33,"Krank"))</f>
        <v>0</v>
      </c>
      <c r="F13" s="41">
        <f>COUNTIF(Februar!$D$3:$D$33,"Urlaub")</f>
        <v>0</v>
      </c>
      <c r="G13" s="41">
        <f>COUNTIF(Februar!$D$3:$D$33,"Büro")</f>
        <v>20</v>
      </c>
      <c r="J13" s="23"/>
    </row>
    <row r="14" spans="1:10" x14ac:dyDescent="0.25">
      <c r="A14" s="10">
        <v>3</v>
      </c>
      <c r="B14" s="3" t="s">
        <v>10</v>
      </c>
      <c r="C14" s="40">
        <f ca="1">IF(MONTH(TODAY())&gt;=A14,März!M6,"")</f>
        <v>0</v>
      </c>
      <c r="D14" s="41">
        <f ca="1">IF($C$14="","",COUNTIF(März!$D$3:$D$33,"Home Office"))</f>
        <v>0</v>
      </c>
      <c r="E14" s="41">
        <f ca="1">IF($C$14="","",COUNTIF(März!$D$3:$D$33,"Krank"))</f>
        <v>0</v>
      </c>
      <c r="F14" s="41">
        <f>COUNTIF(März!$D$3:$D$33,"Urlaub")</f>
        <v>0</v>
      </c>
      <c r="G14" s="41">
        <f>COUNTIF(März!$D$3:$D$33,"Büro")</f>
        <v>20</v>
      </c>
      <c r="H14" s="31"/>
      <c r="J14" s="23"/>
    </row>
    <row r="15" spans="1:10" x14ac:dyDescent="0.25">
      <c r="A15" s="10">
        <v>4</v>
      </c>
      <c r="B15" s="3" t="s">
        <v>11</v>
      </c>
      <c r="C15" s="40">
        <f ca="1">IF(MONTH(TODAY())&gt;=A15,April!M6,"")</f>
        <v>0</v>
      </c>
      <c r="D15" s="41">
        <f ca="1">IF($C$15="","",COUNTIF(April!$D$3:$D$33,"Home Office"))</f>
        <v>0</v>
      </c>
      <c r="E15" s="41">
        <f ca="1">IF($C$15="","",COUNTIF(April!$D$3:$D$33,"Krank"))</f>
        <v>0</v>
      </c>
      <c r="F15" s="41">
        <f>COUNTIF(April!$D$3:$D$33,"Urlaub")</f>
        <v>0</v>
      </c>
      <c r="G15" s="41">
        <f>COUNTIF(April!$D$3:$D$33,"Büro")</f>
        <v>21</v>
      </c>
      <c r="J15" s="23"/>
    </row>
    <row r="16" spans="1:10" ht="15" customHeight="1" x14ac:dyDescent="0.25">
      <c r="A16" s="10">
        <v>5</v>
      </c>
      <c r="B16" s="3" t="s">
        <v>12</v>
      </c>
      <c r="C16" s="40">
        <f ca="1">IF(MONTH(TODAY())&gt;=A16,Mai!M6,"")</f>
        <v>0</v>
      </c>
      <c r="D16" s="41">
        <f ca="1">IF($C$16="","",COUNTIF(Mai!$D$3:$D$32,"Home Office"))</f>
        <v>0</v>
      </c>
      <c r="E16" s="41">
        <f ca="1">IF($C$16="","",COUNTIF(Mai!$D$3:$D$32,"Krank"))</f>
        <v>0</v>
      </c>
      <c r="F16" s="41">
        <f>COUNTIF(Mai!$D$3:$D$32,"Urlaub")</f>
        <v>0</v>
      </c>
      <c r="G16" s="41">
        <f>COUNTIF(Mai!$D$3:$D$32,"Büro")</f>
        <v>18</v>
      </c>
      <c r="H16" s="23"/>
      <c r="J16" s="87"/>
    </row>
    <row r="17" spans="1:10" x14ac:dyDescent="0.25">
      <c r="A17" s="10">
        <v>6</v>
      </c>
      <c r="B17" s="3" t="s">
        <v>13</v>
      </c>
      <c r="C17" s="40">
        <f ca="1">IF(MONTH(TODAY())&gt;=A17,Juni!M6,"")</f>
        <v>0</v>
      </c>
      <c r="D17" s="41">
        <f ca="1">IF($C$17="","",COUNTIF(Juni!$D$3:$D$33,"Home Office"))</f>
        <v>0</v>
      </c>
      <c r="E17" s="41">
        <f ca="1">IF($C$17="","",COUNTIF(Juni!$D$3:$D$33,"Krank"))</f>
        <v>0</v>
      </c>
      <c r="F17" s="41">
        <f>COUNTIF(Juni!$D$3:$D$33,"Urlaub")</f>
        <v>0</v>
      </c>
      <c r="G17" s="41">
        <f>COUNTIF(Juni!$D$3:$D$33,"Büro")</f>
        <v>20</v>
      </c>
      <c r="H17" s="23"/>
      <c r="J17" s="87"/>
    </row>
    <row r="18" spans="1:10" x14ac:dyDescent="0.25">
      <c r="A18" s="10">
        <v>7</v>
      </c>
      <c r="B18" s="3" t="s">
        <v>14</v>
      </c>
      <c r="C18" s="40">
        <f ca="1">IF(MONTH(TODAY())&gt;=A18,Juli!M6,"")</f>
        <v>0</v>
      </c>
      <c r="D18" s="41">
        <f ca="1">IF($C$18="","",COUNTIF(Juli!$D$3:$D$33,"Home Office"))</f>
        <v>0</v>
      </c>
      <c r="E18" s="41">
        <f ca="1">IF($C$18="","",COUNTIF(Juli!$D$3:$D$33,"Krank"))</f>
        <v>0</v>
      </c>
      <c r="F18" s="41">
        <f>COUNTIF(Juli!$D$3:$D$33,"Urlaub")</f>
        <v>0</v>
      </c>
      <c r="G18" s="41">
        <f>COUNTIF(Juli!$D$3:$D$33,"Büro")</f>
        <v>23</v>
      </c>
      <c r="H18" s="23"/>
      <c r="J18" s="87"/>
    </row>
    <row r="19" spans="1:10" ht="15" customHeight="1" x14ac:dyDescent="0.25">
      <c r="A19" s="10">
        <v>8</v>
      </c>
      <c r="B19" s="3" t="s">
        <v>15</v>
      </c>
      <c r="C19" s="40">
        <f ca="1">IF(MONTH(TODAY())&gt;=A19,August!M6,"")</f>
        <v>0</v>
      </c>
      <c r="D19" s="41">
        <f ca="1">IF($C$19="","",COUNTIF(August!$D$3:$D$33,"Home Office"))</f>
        <v>0</v>
      </c>
      <c r="E19" s="41">
        <f ca="1">IF($C$19="","",COUNTIF(August!$D$3:$D$33,"Krank"))</f>
        <v>0</v>
      </c>
      <c r="F19" s="41">
        <f>COUNTIF(August!$D$3:$D$33,"Urlaub")</f>
        <v>0</v>
      </c>
      <c r="G19" s="41">
        <f>COUNTIF(August!$D$3:$D$33,"Büro")</f>
        <v>22</v>
      </c>
      <c r="H19" s="23"/>
      <c r="I19" s="23"/>
      <c r="J19" s="87"/>
    </row>
    <row r="20" spans="1:10" x14ac:dyDescent="0.25">
      <c r="A20" s="10">
        <v>9</v>
      </c>
      <c r="B20" s="3" t="s">
        <v>16</v>
      </c>
      <c r="C20" s="40">
        <f ca="1">IF(MONTH(TODAY())&gt;=A20,September!M6,"")</f>
        <v>0</v>
      </c>
      <c r="D20" s="41">
        <f ca="1">IF($C$20="","",COUNTIF(September!$D$3:$D$33,"Home Office"))</f>
        <v>0</v>
      </c>
      <c r="E20" s="41">
        <f ca="1">IF($C$20="","",COUNTIF(September!$D$3:$D$33,"Krank"))</f>
        <v>0</v>
      </c>
      <c r="F20" s="41">
        <f>COUNTIF(September!$D$3:$D$33,"Urlaub")</f>
        <v>0</v>
      </c>
      <c r="G20" s="41">
        <f>COUNTIF(September!$D$3:$D$33,"Büro")</f>
        <v>21</v>
      </c>
      <c r="H20" s="23"/>
      <c r="I20" s="23"/>
      <c r="J20" s="87"/>
    </row>
    <row r="21" spans="1:10" x14ac:dyDescent="0.25">
      <c r="A21" s="10">
        <v>10</v>
      </c>
      <c r="B21" s="3" t="s">
        <v>17</v>
      </c>
      <c r="C21" s="40">
        <f ca="1">IF(MONTH(TODAY())&gt;=A21,Oktober!M6,"")</f>
        <v>0</v>
      </c>
      <c r="D21" s="41">
        <f ca="1">IF($C$21="","",COUNTIF(Oktober!$D$3:$D$33,"Home Office"))</f>
        <v>0</v>
      </c>
      <c r="E21" s="41">
        <f ca="1">IF($C$21="","",COUNTIF(Oktober!$D$3:$D$33,"Krank"))</f>
        <v>0</v>
      </c>
      <c r="F21" s="41">
        <f>COUNTIF(Oktober!$D$3:$D$33,"Urlaub")</f>
        <v>0</v>
      </c>
      <c r="G21" s="41">
        <f>COUNTIF(Oktober!$D$3:$D$33,"Büro")</f>
        <v>22</v>
      </c>
      <c r="H21" s="23"/>
      <c r="I21" s="23"/>
      <c r="J21" s="87"/>
    </row>
    <row r="22" spans="1:10" x14ac:dyDescent="0.25">
      <c r="A22" s="10">
        <v>11</v>
      </c>
      <c r="B22" s="3" t="s">
        <v>18</v>
      </c>
      <c r="C22" s="40">
        <f ca="1">IF(MONTH(TODAY())&gt;=A22,November!M6,"")</f>
        <v>0</v>
      </c>
      <c r="D22" s="41">
        <f>COUNTIF(November!$D$3:$D$33,"Home Office")</f>
        <v>0</v>
      </c>
      <c r="E22" s="41">
        <f>COUNTIF(November!$D$3:$D$33,"Krank")</f>
        <v>0</v>
      </c>
      <c r="F22" s="41">
        <f>COUNTIF(November!$D$3:$D$33,"Urlaub")</f>
        <v>0</v>
      </c>
      <c r="G22" s="41">
        <f>COUNTIF(November!$D$3:$D$33,"Büro")</f>
        <v>20</v>
      </c>
    </row>
    <row r="23" spans="1:10" x14ac:dyDescent="0.25">
      <c r="A23" s="10">
        <v>12</v>
      </c>
      <c r="B23" s="3" t="s">
        <v>19</v>
      </c>
      <c r="C23" s="40">
        <f ca="1">IF(MONTH(TODAY())&gt;=A23,Dezember!M6,"")</f>
        <v>0</v>
      </c>
      <c r="D23" s="41">
        <f>COUNTIF(Dezember!$D$3:$D$33,"Home Office")</f>
        <v>5</v>
      </c>
      <c r="E23" s="41">
        <f>COUNTIF(Dezember!$D$3:$D$33,"Krank")</f>
        <v>0</v>
      </c>
      <c r="F23" s="41">
        <f>COUNTIF(Dezember!$D$3:$D$33,"Urlaub")</f>
        <v>1</v>
      </c>
      <c r="G23" s="41">
        <f>COUNTIF(Dezember!$D$3:$D$33,"Büro")</f>
        <v>17</v>
      </c>
    </row>
    <row r="24" spans="1:10" x14ac:dyDescent="0.25">
      <c r="A24" s="10"/>
      <c r="B24" s="8" t="s">
        <v>90</v>
      </c>
      <c r="C24" s="40"/>
      <c r="D24" s="41">
        <f ca="1">SUM(D12:D23)</f>
        <v>5</v>
      </c>
      <c r="E24" s="41">
        <f ca="1">SUM(E12:E23)</f>
        <v>0</v>
      </c>
      <c r="F24" s="41">
        <f t="shared" ref="F24:G24" si="0">SUM(F12:F23)</f>
        <v>1</v>
      </c>
      <c r="G24" s="41">
        <f t="shared" si="0"/>
        <v>246</v>
      </c>
    </row>
    <row r="25" spans="1:10" ht="15.75" thickBot="1" x14ac:dyDescent="0.3"/>
    <row r="26" spans="1:10" x14ac:dyDescent="0.25">
      <c r="B26" s="4" t="s">
        <v>21</v>
      </c>
      <c r="C26" s="78">
        <f ca="1">SUM(C16:C23)</f>
        <v>0</v>
      </c>
      <c r="D26" s="43">
        <f ca="1">SUM(E12:E23)</f>
        <v>0</v>
      </c>
      <c r="E26" s="44">
        <f>SUM(F16:F23)</f>
        <v>1</v>
      </c>
      <c r="F26" s="42"/>
    </row>
    <row r="27" spans="1:10" ht="15.75" thickBot="1" x14ac:dyDescent="0.3">
      <c r="B27" s="5" t="s">
        <v>22</v>
      </c>
      <c r="C27" s="45"/>
      <c r="D27" s="45"/>
      <c r="E27" s="46">
        <f>C4+C5-E26</f>
        <v>27</v>
      </c>
      <c r="F27" s="42"/>
    </row>
    <row r="28" spans="1:10" x14ac:dyDescent="0.25"/>
  </sheetData>
  <mergeCells count="3">
    <mergeCell ref="J16:J18"/>
    <mergeCell ref="J19:J21"/>
    <mergeCell ref="E3:G6"/>
  </mergeCells>
  <dataValidations count="1">
    <dataValidation type="list" allowBlank="1" showInputMessage="1" showErrorMessage="1" sqref="C9" xr:uid="{00000000-0002-0000-0000-000000000000}">
      <formula1>"Ja,Nein"</formula1>
    </dataValidation>
  </dataValidations>
  <pageMargins left="0.7" right="0.7" top="0.78740157499999996" bottom="0.78740157499999996" header="0.3" footer="0.3"/>
  <pageSetup paperSize="9" orientation="portrait" r:id="rId1"/>
  <customProperties>
    <customPr name="ORB_SHEETNAME" r:id="rId2"/>
    <customPr name="RB_CASE" r:id="rId3"/>
    <customPr name="RB_COMPANY" r:id="rId4"/>
    <customPr name="RB_DECIMAL_SEPARATOR" r:id="rId5"/>
    <customPr name="RB_PATH_SEPARATOR" r:id="rId6"/>
    <customPr name="RB_THOUSAND_SEPARATOR" r:id="rId7"/>
    <customPr name="RB_WORKBOOK_DATARECENCY_CURRENT" r:id="rId8"/>
    <customPr name="RB_WORKBOOK_VERSION" r:id="rId9"/>
  </customProperties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12" name="Button 2">
              <controlPr defaultSize="0" print="0" autoFill="0" autoPict="0" macro="[0]!ClearTimes">
                <anchor moveWithCells="1" sizeWithCells="1">
                  <from>
                    <xdr:col>3</xdr:col>
                    <xdr:colOff>790575</xdr:colOff>
                    <xdr:row>6</xdr:row>
                    <xdr:rowOff>85725</xdr:rowOff>
                  </from>
                  <to>
                    <xdr:col>5</xdr:col>
                    <xdr:colOff>876300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Verweise!$F$2:$F$20</xm:f>
          </x14:formula1>
          <xm:sqref>C7</xm:sqref>
        </x14:dataValidation>
        <x14:dataValidation type="list" allowBlank="1" showInputMessage="1" showErrorMessage="1" xr:uid="{B4154B06-48C6-496F-940D-3AFBED27B8EC}">
          <x14:formula1>
            <xm:f>Verweise!$F$24:$F$30</xm:f>
          </x14:formula1>
          <xm:sqref>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5"/>
  <dimension ref="A1:N4542"/>
  <sheetViews>
    <sheetView workbookViewId="0">
      <selection activeCell="F21" sqref="F21"/>
    </sheetView>
  </sheetViews>
  <sheetFormatPr defaultColWidth="0" defaultRowHeight="15" x14ac:dyDescent="0.25"/>
  <cols>
    <col min="1" max="1" width="26.85546875" bestFit="1" customWidth="1"/>
    <col min="2" max="2" width="9.85546875" style="48" bestFit="1" customWidth="1"/>
    <col min="3" max="3" width="17.7109375" bestFit="1" customWidth="1"/>
    <col min="4" max="4" width="26.42578125" customWidth="1"/>
    <col min="5" max="5" width="14.42578125" customWidth="1"/>
    <col min="6" max="6" width="27.140625" bestFit="1" customWidth="1"/>
    <col min="7" max="7" width="12.140625" hidden="1" customWidth="1"/>
    <col min="8" max="9" width="13.5703125" hidden="1" customWidth="1"/>
    <col min="10" max="10" width="14.28515625" hidden="1" customWidth="1"/>
    <col min="11" max="11" width="2.7109375" hidden="1" customWidth="1"/>
    <col min="12" max="13" width="11.42578125" hidden="1"/>
    <col min="14" max="14" width="2.7109375" hidden="1" customWidth="1"/>
  </cols>
  <sheetData>
    <row r="1" spans="1:6" x14ac:dyDescent="0.25">
      <c r="A1" s="47" t="s">
        <v>41</v>
      </c>
      <c r="B1" s="47" t="s">
        <v>0</v>
      </c>
      <c r="C1" s="47" t="s">
        <v>25</v>
      </c>
      <c r="F1" s="47" t="s">
        <v>94</v>
      </c>
    </row>
    <row r="2" spans="1:6" x14ac:dyDescent="0.25">
      <c r="A2" t="s">
        <v>42</v>
      </c>
      <c r="B2" s="48">
        <v>41274</v>
      </c>
      <c r="C2" t="s">
        <v>43</v>
      </c>
      <c r="D2" t="str">
        <f>IF(COUNTIFS(Verweise!$A$2:$A$4542,Übersicht!$C$7,Verweise!$B$2:$B$4542,B2)=1,"Feiertag",IF(C2="Samstag","",IF(C2="Sonntag","",Übersicht!$C$8)))</f>
        <v>Feiertag</v>
      </c>
      <c r="F2" t="s">
        <v>42</v>
      </c>
    </row>
    <row r="3" spans="1:6" x14ac:dyDescent="0.25">
      <c r="A3" t="s">
        <v>42</v>
      </c>
      <c r="B3" s="48">
        <v>41279</v>
      </c>
      <c r="C3" t="s">
        <v>44</v>
      </c>
      <c r="D3" t="str">
        <f>IF(COUNTIFS(Verweise!$A$2:$A$4542,Übersicht!$C$7,Verweise!$B$2:$B$4542,B3)=1,"Feiertag",IF(C3="Samstag","",IF(C3="Sonntag","",Übersicht!$C$8)))</f>
        <v>Büro</v>
      </c>
      <c r="F3" t="s">
        <v>57</v>
      </c>
    </row>
    <row r="4" spans="1:6" x14ac:dyDescent="0.25">
      <c r="A4" t="s">
        <v>42</v>
      </c>
      <c r="B4" s="48">
        <v>41377</v>
      </c>
      <c r="C4" t="s">
        <v>45</v>
      </c>
      <c r="D4" t="str">
        <f>IF(COUNTIFS(Verweise!$A$2:$A$4542,Übersicht!$C$7,Verweise!$B$2:$B$4542,B4)=1,"Feiertag",IF(C4="Samstag","",IF(C4="Sonntag","",Übersicht!$C$8)))</f>
        <v>Feiertag</v>
      </c>
      <c r="F4" t="s">
        <v>58</v>
      </c>
    </row>
    <row r="5" spans="1:6" x14ac:dyDescent="0.25">
      <c r="A5" t="s">
        <v>42</v>
      </c>
      <c r="B5" s="48">
        <v>41379</v>
      </c>
      <c r="C5" t="s">
        <v>46</v>
      </c>
      <c r="D5" t="str">
        <f>IF(COUNTIFS(Verweise!$A$2:$A$4542,Übersicht!$C$7,Verweise!$B$2:$B$4542,B5)=1,"Feiertag",IF(C5="Samstag","",IF(C5="Sonntag","",Übersicht!$C$8)))</f>
        <v>Feiertag</v>
      </c>
      <c r="F5" t="s">
        <v>60</v>
      </c>
    </row>
    <row r="6" spans="1:6" x14ac:dyDescent="0.25">
      <c r="A6" t="s">
        <v>42</v>
      </c>
      <c r="B6" s="48">
        <v>41380</v>
      </c>
      <c r="C6" t="s">
        <v>47</v>
      </c>
      <c r="D6" t="str">
        <f>IF(COUNTIFS(Verweise!$A$2:$A$4542,Übersicht!$C$7,Verweise!$B$2:$B$4542,B6)=1,"Feiertag",IF(C6="Samstag","",IF(C6="Sonntag","",Übersicht!$C$8)))</f>
        <v>Feiertag</v>
      </c>
      <c r="F6" t="s">
        <v>61</v>
      </c>
    </row>
    <row r="7" spans="1:6" x14ac:dyDescent="0.25">
      <c r="A7" t="s">
        <v>42</v>
      </c>
      <c r="B7" s="48">
        <v>41394</v>
      </c>
      <c r="C7" t="s">
        <v>48</v>
      </c>
      <c r="D7" t="str">
        <f>IF(COUNTIFS(Verweise!$A$2:$A$4542,Übersicht!$C$7,Verweise!$B$2:$B$4542,B7)=1,"Feiertag",IF(C7="Samstag","",IF(C7="Sonntag","",Übersicht!$C$8)))</f>
        <v>Feiertag</v>
      </c>
      <c r="F7" t="s">
        <v>63</v>
      </c>
    </row>
    <row r="8" spans="1:6" x14ac:dyDescent="0.25">
      <c r="A8" t="s">
        <v>42</v>
      </c>
      <c r="B8" s="48">
        <v>41418</v>
      </c>
      <c r="C8" t="s">
        <v>49</v>
      </c>
      <c r="D8" t="str">
        <f>IF(COUNTIFS(Verweise!$A$2:$A$4542,Übersicht!$C$7,Verweise!$B$2:$B$4542,B8)=1,"Feiertag",IF(C8="Samstag","",IF(C8="Sonntag","",Übersicht!$C$8)))</f>
        <v>Feiertag</v>
      </c>
      <c r="F8" t="s">
        <v>64</v>
      </c>
    </row>
    <row r="9" spans="1:6" x14ac:dyDescent="0.25">
      <c r="A9" t="s">
        <v>42</v>
      </c>
      <c r="B9" s="48">
        <v>41428</v>
      </c>
      <c r="C9" t="s">
        <v>50</v>
      </c>
      <c r="D9" t="str">
        <f>IF(COUNTIFS(Verweise!$A$2:$A$4542,Übersicht!$C$7,Verweise!$B$2:$B$4542,B9)=1,"Feiertag",IF(C9="Samstag","",IF(C9="Sonntag","",Übersicht!$C$8)))</f>
        <v>Feiertag</v>
      </c>
      <c r="F9" t="s">
        <v>65</v>
      </c>
    </row>
    <row r="10" spans="1:6" x14ac:dyDescent="0.25">
      <c r="A10" t="s">
        <v>42</v>
      </c>
      <c r="B10" s="48">
        <v>41429</v>
      </c>
      <c r="C10" t="s">
        <v>51</v>
      </c>
      <c r="D10" t="str">
        <f>IF(COUNTIFS(Verweise!$A$2:$A$4542,Übersicht!$C$7,Verweise!$B$2:$B$4542,B10)=1,"Feiertag",IF(C10="Samstag","",IF(C10="Sonntag","",Übersicht!$C$8)))</f>
        <v>Feiertag</v>
      </c>
      <c r="F10" t="s">
        <v>66</v>
      </c>
    </row>
    <row r="11" spans="1:6" x14ac:dyDescent="0.25">
      <c r="A11" t="s">
        <v>42</v>
      </c>
      <c r="B11" s="48">
        <v>41439</v>
      </c>
      <c r="C11" t="s">
        <v>52</v>
      </c>
      <c r="D11" t="str">
        <f>IF(COUNTIFS(Verweise!$A$2:$A$4542,Übersicht!$C$7,Verweise!$B$2:$B$4542,B11)=1,"Feiertag",IF(C11="Samstag","",IF(C11="Sonntag","",Übersicht!$C$8)))</f>
        <v>Feiertag</v>
      </c>
      <c r="F11" t="s">
        <v>67</v>
      </c>
    </row>
    <row r="12" spans="1:6" x14ac:dyDescent="0.25">
      <c r="A12" t="s">
        <v>42</v>
      </c>
      <c r="B12" s="48">
        <v>41549</v>
      </c>
      <c r="C12" t="s">
        <v>53</v>
      </c>
      <c r="D12" t="str">
        <f>IF(COUNTIFS(Verweise!$A$2:$A$4542,Übersicht!$C$7,Verweise!$B$2:$B$4542,B12)=1,"Feiertag",IF(C12="Samstag","",IF(C12="Sonntag","",Übersicht!$C$8)))</f>
        <v>Feiertag</v>
      </c>
      <c r="F12" t="s">
        <v>68</v>
      </c>
    </row>
    <row r="13" spans="1:6" x14ac:dyDescent="0.25">
      <c r="A13" t="s">
        <v>42</v>
      </c>
      <c r="B13" s="48">
        <v>41578</v>
      </c>
      <c r="C13" t="s">
        <v>54</v>
      </c>
      <c r="D13" t="str">
        <f>IF(COUNTIFS(Verweise!$A$2:$A$4542,Übersicht!$C$7,Verweise!$B$2:$B$4542,B13)=1,"Feiertag",IF(C13="Samstag","",IF(C13="Sonntag","",Übersicht!$C$8)))</f>
        <v>Feiertag</v>
      </c>
      <c r="F13" t="s">
        <v>69</v>
      </c>
    </row>
    <row r="14" spans="1:6" x14ac:dyDescent="0.25">
      <c r="A14" t="s">
        <v>42</v>
      </c>
      <c r="B14" s="48">
        <v>41632</v>
      </c>
      <c r="C14" t="s">
        <v>55</v>
      </c>
      <c r="D14" t="str">
        <f>IF(COUNTIFS(Verweise!$A$2:$A$4542,Übersicht!$C$7,Verweise!$B$2:$B$4542,B14)=1,"Feiertag",IF(C14="Samstag","",IF(C14="Sonntag","",Übersicht!$C$8)))</f>
        <v>Feiertag</v>
      </c>
      <c r="F14" t="s">
        <v>70</v>
      </c>
    </row>
    <row r="15" spans="1:6" x14ac:dyDescent="0.25">
      <c r="A15" t="s">
        <v>42</v>
      </c>
      <c r="B15" s="48">
        <v>41633</v>
      </c>
      <c r="C15" t="s">
        <v>56</v>
      </c>
      <c r="D15" t="str">
        <f>IF(COUNTIFS(Verweise!$A$2:$A$4542,Übersicht!$C$7,Verweise!$B$2:$B$4542,B15)=1,"Feiertag",IF(C15="Samstag","",IF(C15="Sonntag","",Übersicht!$C$8)))</f>
        <v>Feiertag</v>
      </c>
      <c r="F15" t="s">
        <v>71</v>
      </c>
    </row>
    <row r="16" spans="1:6" x14ac:dyDescent="0.25">
      <c r="A16" t="s">
        <v>57</v>
      </c>
      <c r="B16" s="48">
        <v>41274</v>
      </c>
      <c r="C16" t="s">
        <v>43</v>
      </c>
      <c r="D16" t="str">
        <f>IF(COUNTIFS(Verweise!$A$2:$A$4542,Übersicht!$C$7,Verweise!$B$2:$B$4542,B16)=1,"Feiertag",IF(C16="Samstag","",IF(C16="Sonntag","",Übersicht!$C$8)))</f>
        <v>Feiertag</v>
      </c>
      <c r="F16" t="s">
        <v>73</v>
      </c>
    </row>
    <row r="17" spans="1:6" x14ac:dyDescent="0.25">
      <c r="A17" t="s">
        <v>57</v>
      </c>
      <c r="B17" s="48">
        <v>41279</v>
      </c>
      <c r="C17" t="s">
        <v>44</v>
      </c>
      <c r="D17" t="str">
        <f>IF(COUNTIFS(Verweise!$A$2:$A$4542,Übersicht!$C$7,Verweise!$B$2:$B$4542,B17)=1,"Feiertag",IF(C17="Samstag","",IF(C17="Sonntag","",Übersicht!$C$8)))</f>
        <v>Büro</v>
      </c>
      <c r="F17" t="s">
        <v>74</v>
      </c>
    </row>
    <row r="18" spans="1:6" x14ac:dyDescent="0.25">
      <c r="A18" t="s">
        <v>57</v>
      </c>
      <c r="B18" s="48">
        <v>41377</v>
      </c>
      <c r="C18" t="s">
        <v>45</v>
      </c>
      <c r="D18" t="str">
        <f>IF(COUNTIFS(Verweise!$A$2:$A$4542,Übersicht!$C$7,Verweise!$B$2:$B$4542,B18)=1,"Feiertag",IF(C18="Samstag","",IF(C18="Sonntag","",Übersicht!$C$8)))</f>
        <v>Feiertag</v>
      </c>
      <c r="F18" t="s">
        <v>75</v>
      </c>
    </row>
    <row r="19" spans="1:6" x14ac:dyDescent="0.25">
      <c r="A19" t="s">
        <v>57</v>
      </c>
      <c r="B19" s="48">
        <v>41379</v>
      </c>
      <c r="C19" t="s">
        <v>46</v>
      </c>
      <c r="D19" t="str">
        <f>IF(COUNTIFS(Verweise!$A$2:$A$4542,Übersicht!$C$7,Verweise!$B$2:$B$4542,B19)=1,"Feiertag",IF(C19="Samstag","",IF(C19="Sonntag","",Übersicht!$C$8)))</f>
        <v>Feiertag</v>
      </c>
      <c r="F19" t="s">
        <v>76</v>
      </c>
    </row>
    <row r="20" spans="1:6" x14ac:dyDescent="0.25">
      <c r="A20" t="s">
        <v>57</v>
      </c>
      <c r="B20" s="48">
        <v>41380</v>
      </c>
      <c r="C20" t="s">
        <v>47</v>
      </c>
      <c r="D20" t="str">
        <f>IF(COUNTIFS(Verweise!$A$2:$A$4542,Übersicht!$C$7,Verweise!$B$2:$B$4542,B20)=1,"Feiertag",IF(C20="Samstag","",IF(C20="Sonntag","",Übersicht!$C$8)))</f>
        <v>Feiertag</v>
      </c>
      <c r="F20" t="s">
        <v>77</v>
      </c>
    </row>
    <row r="21" spans="1:6" x14ac:dyDescent="0.25">
      <c r="A21" t="s">
        <v>57</v>
      </c>
      <c r="B21" s="48">
        <v>41394</v>
      </c>
      <c r="C21" t="s">
        <v>48</v>
      </c>
      <c r="D21" t="str">
        <f>IF(COUNTIFS(Verweise!$A$2:$A$4542,Übersicht!$C$7,Verweise!$B$2:$B$4542,B21)=1,"Feiertag",IF(C21="Samstag","",IF(C21="Sonntag","",Übersicht!$C$8)))</f>
        <v>Feiertag</v>
      </c>
    </row>
    <row r="22" spans="1:6" x14ac:dyDescent="0.25">
      <c r="A22" t="s">
        <v>57</v>
      </c>
      <c r="B22" s="48">
        <v>41418</v>
      </c>
      <c r="C22" t="s">
        <v>49</v>
      </c>
      <c r="D22" t="str">
        <f>IF(COUNTIFS(Verweise!$A$2:$A$4542,Übersicht!$C$7,Verweise!$B$2:$B$4542,B22)=1,"Feiertag",IF(C22="Samstag","",IF(C22="Sonntag","",Übersicht!$C$8)))</f>
        <v>Feiertag</v>
      </c>
    </row>
    <row r="23" spans="1:6" x14ac:dyDescent="0.25">
      <c r="A23" t="s">
        <v>57</v>
      </c>
      <c r="B23" s="48">
        <v>41428</v>
      </c>
      <c r="C23" t="s">
        <v>50</v>
      </c>
      <c r="D23" t="str">
        <f>IF(COUNTIFS(Verweise!$A$2:$A$4542,Übersicht!$C$7,Verweise!$B$2:$B$4542,B23)=1,"Feiertag",IF(C23="Samstag","",IF(C23="Sonntag","",Übersicht!$C$8)))</f>
        <v>Feiertag</v>
      </c>
      <c r="F23" s="47" t="s">
        <v>95</v>
      </c>
    </row>
    <row r="24" spans="1:6" x14ac:dyDescent="0.25">
      <c r="A24" t="s">
        <v>57</v>
      </c>
      <c r="B24" s="48">
        <v>41429</v>
      </c>
      <c r="C24" t="s">
        <v>51</v>
      </c>
      <c r="D24" t="str">
        <f>IF(COUNTIFS(Verweise!$A$2:$A$4542,Übersicht!$C$7,Verweise!$B$2:$B$4542,B24)=1,"Feiertag",IF(C24="Samstag","",IF(C24="Sonntag","",Übersicht!$C$8)))</f>
        <v>Feiertag</v>
      </c>
      <c r="F24" t="s">
        <v>91</v>
      </c>
    </row>
    <row r="25" spans="1:6" x14ac:dyDescent="0.25">
      <c r="A25" t="s">
        <v>57</v>
      </c>
      <c r="B25" s="48">
        <v>41439</v>
      </c>
      <c r="C25" t="s">
        <v>52</v>
      </c>
      <c r="D25" t="str">
        <f>IF(COUNTIFS(Verweise!$A$2:$A$4542,Übersicht!$C$7,Verweise!$B$2:$B$4542,B25)=1,"Feiertag",IF(C25="Samstag","",IF(C25="Sonntag","",Übersicht!$C$8)))</f>
        <v>Feiertag</v>
      </c>
      <c r="F25" t="s">
        <v>33</v>
      </c>
    </row>
    <row r="26" spans="1:6" x14ac:dyDescent="0.25">
      <c r="A26" t="s">
        <v>57</v>
      </c>
      <c r="B26" s="48">
        <v>41549</v>
      </c>
      <c r="C26" t="s">
        <v>53</v>
      </c>
      <c r="D26" t="str">
        <f>IF(COUNTIFS(Verweise!$A$2:$A$4542,Übersicht!$C$7,Verweise!$B$2:$B$4542,B26)=1,"Feiertag",IF(C26="Samstag","",IF(C26="Sonntag","",Übersicht!$C$8)))</f>
        <v>Feiertag</v>
      </c>
      <c r="F26" t="s">
        <v>25</v>
      </c>
    </row>
    <row r="27" spans="1:6" x14ac:dyDescent="0.25">
      <c r="A27" t="s">
        <v>57</v>
      </c>
      <c r="B27" s="48">
        <v>41578</v>
      </c>
      <c r="C27" t="s">
        <v>54</v>
      </c>
      <c r="D27" t="str">
        <f>IF(COUNTIFS(Verweise!$A$2:$A$4542,Übersicht!$C$7,Verweise!$B$2:$B$4542,B27)=1,"Feiertag",IF(C27="Samstag","",IF(C27="Sonntag","",Übersicht!$C$8)))</f>
        <v>Feiertag</v>
      </c>
      <c r="F27" t="s">
        <v>89</v>
      </c>
    </row>
    <row r="28" spans="1:6" x14ac:dyDescent="0.25">
      <c r="A28" t="s">
        <v>57</v>
      </c>
      <c r="B28" s="48">
        <v>41632</v>
      </c>
      <c r="C28" t="s">
        <v>55</v>
      </c>
      <c r="D28" t="str">
        <f>IF(COUNTIFS(Verweise!$A$2:$A$4542,Übersicht!$C$7,Verweise!$B$2:$B$4542,B28)=1,"Feiertag",IF(C28="Samstag","",IF(C28="Sonntag","",Übersicht!$C$8)))</f>
        <v>Feiertag</v>
      </c>
      <c r="F28" t="s">
        <v>27</v>
      </c>
    </row>
    <row r="29" spans="1:6" x14ac:dyDescent="0.25">
      <c r="A29" t="s">
        <v>57</v>
      </c>
      <c r="B29" s="48">
        <v>41633</v>
      </c>
      <c r="C29" t="s">
        <v>56</v>
      </c>
      <c r="D29" t="str">
        <f>IF(COUNTIFS(Verweise!$A$2:$A$4542,Übersicht!$C$7,Verweise!$B$2:$B$4542,B29)=1,"Feiertag",IF(C29="Samstag","",IF(C29="Sonntag","",Übersicht!$C$8)))</f>
        <v>Feiertag</v>
      </c>
      <c r="F29" t="s">
        <v>28</v>
      </c>
    </row>
    <row r="30" spans="1:6" x14ac:dyDescent="0.25">
      <c r="A30" t="s">
        <v>58</v>
      </c>
      <c r="B30" s="48">
        <v>41274</v>
      </c>
      <c r="C30" t="s">
        <v>43</v>
      </c>
      <c r="D30" t="str">
        <f>IF(COUNTIFS(Verweise!$A$2:$A$4542,Übersicht!$C$7,Verweise!$B$2:$B$4542,B30)=1,"Feiertag",IF(C30="Samstag","",IF(C30="Sonntag","",Übersicht!$C$8)))</f>
        <v>Feiertag</v>
      </c>
      <c r="F30" t="s">
        <v>29</v>
      </c>
    </row>
    <row r="31" spans="1:6" x14ac:dyDescent="0.25">
      <c r="A31" t="s">
        <v>58</v>
      </c>
      <c r="B31" s="48">
        <v>41279</v>
      </c>
      <c r="C31" t="s">
        <v>44</v>
      </c>
      <c r="D31" t="str">
        <f>IF(COUNTIFS(Verweise!$A$2:$A$4542,Übersicht!$C$7,Verweise!$B$2:$B$4542,B31)=1,"Feiertag",IF(C31="Samstag","",IF(C31="Sonntag","",Übersicht!$C$8)))</f>
        <v>Büro</v>
      </c>
    </row>
    <row r="32" spans="1:6" x14ac:dyDescent="0.25">
      <c r="A32" t="s">
        <v>58</v>
      </c>
      <c r="B32" s="48">
        <v>41377</v>
      </c>
      <c r="C32" t="s">
        <v>45</v>
      </c>
      <c r="D32" t="str">
        <f>IF(COUNTIFS(Verweise!$A$2:$A$4542,Übersicht!$C$7,Verweise!$B$2:$B$4542,B32)=1,"Feiertag",IF(C32="Samstag","",IF(C32="Sonntag","",Übersicht!$C$8)))</f>
        <v>Feiertag</v>
      </c>
    </row>
    <row r="33" spans="1:4" x14ac:dyDescent="0.25">
      <c r="A33" t="s">
        <v>58</v>
      </c>
      <c r="B33" s="48">
        <v>41379</v>
      </c>
      <c r="C33" t="s">
        <v>46</v>
      </c>
      <c r="D33" t="str">
        <f>IF(COUNTIFS(Verweise!$A$2:$A$4542,Übersicht!$C$7,Verweise!$B$2:$B$4542,B33)=1,"Feiertag",IF(C33="Samstag","",IF(C33="Sonntag","",Übersicht!$C$8)))</f>
        <v>Feiertag</v>
      </c>
    </row>
    <row r="34" spans="1:4" x14ac:dyDescent="0.25">
      <c r="A34" t="s">
        <v>58</v>
      </c>
      <c r="B34" s="48">
        <v>41380</v>
      </c>
      <c r="C34" t="s">
        <v>47</v>
      </c>
      <c r="D34" t="str">
        <f>IF(COUNTIFS(Verweise!$A$2:$A$4542,Übersicht!$C$7,Verweise!$B$2:$B$4542,B34)=1,"Feiertag",IF(C34="Samstag","",IF(C34="Sonntag","",Übersicht!$C$8)))</f>
        <v>Feiertag</v>
      </c>
    </row>
    <row r="35" spans="1:4" x14ac:dyDescent="0.25">
      <c r="A35" t="s">
        <v>58</v>
      </c>
      <c r="B35" s="48">
        <v>41394</v>
      </c>
      <c r="C35" t="s">
        <v>48</v>
      </c>
      <c r="D35" t="str">
        <f>IF(COUNTIFS(Verweise!$A$2:$A$4542,Übersicht!$C$7,Verweise!$B$2:$B$4542,B35)=1,"Feiertag",IF(C35="Samstag","",IF(C35="Sonntag","",Übersicht!$C$8)))</f>
        <v>Feiertag</v>
      </c>
    </row>
    <row r="36" spans="1:4" x14ac:dyDescent="0.25">
      <c r="A36" t="s">
        <v>58</v>
      </c>
      <c r="B36" s="48">
        <v>41418</v>
      </c>
      <c r="C36" t="s">
        <v>49</v>
      </c>
      <c r="D36" t="str">
        <f>IF(COUNTIFS(Verweise!$A$2:$A$4542,Übersicht!$C$7,Verweise!$B$2:$B$4542,B36)=1,"Feiertag",IF(C36="Samstag","",IF(C36="Sonntag","",Übersicht!$C$8)))</f>
        <v>Feiertag</v>
      </c>
    </row>
    <row r="37" spans="1:4" x14ac:dyDescent="0.25">
      <c r="A37" t="s">
        <v>58</v>
      </c>
      <c r="B37" s="48">
        <v>41428</v>
      </c>
      <c r="C37" t="s">
        <v>50</v>
      </c>
      <c r="D37" t="str">
        <f>IF(COUNTIFS(Verweise!$A$2:$A$4542,Übersicht!$C$7,Verweise!$B$2:$B$4542,B37)=1,"Feiertag",IF(C37="Samstag","",IF(C37="Sonntag","",Übersicht!$C$8)))</f>
        <v>Feiertag</v>
      </c>
    </row>
    <row r="38" spans="1:4" x14ac:dyDescent="0.25">
      <c r="A38" t="s">
        <v>58</v>
      </c>
      <c r="B38" s="48">
        <v>41429</v>
      </c>
      <c r="C38" t="s">
        <v>51</v>
      </c>
      <c r="D38" t="str">
        <f>IF(COUNTIFS(Verweise!$A$2:$A$4542,Übersicht!$C$7,Verweise!$B$2:$B$4542,B38)=1,"Feiertag",IF(C38="Samstag","",IF(C38="Sonntag","",Übersicht!$C$8)))</f>
        <v>Feiertag</v>
      </c>
    </row>
    <row r="39" spans="1:4" x14ac:dyDescent="0.25">
      <c r="A39" t="s">
        <v>58</v>
      </c>
      <c r="B39" s="48">
        <v>41439</v>
      </c>
      <c r="C39" t="s">
        <v>52</v>
      </c>
      <c r="D39" t="str">
        <f>IF(COUNTIFS(Verweise!$A$2:$A$4542,Übersicht!$C$7,Verweise!$B$2:$B$4542,B39)=1,"Feiertag",IF(C39="Samstag","",IF(C39="Sonntag","",Übersicht!$C$8)))</f>
        <v>Feiertag</v>
      </c>
    </row>
    <row r="40" spans="1:4" x14ac:dyDescent="0.25">
      <c r="A40" t="s">
        <v>58</v>
      </c>
      <c r="B40" s="48">
        <v>41500</v>
      </c>
      <c r="C40" t="s">
        <v>59</v>
      </c>
      <c r="D40" t="str">
        <f>IF(COUNTIFS(Verweise!$A$2:$A$4542,Übersicht!$C$7,Verweise!$B$2:$B$4542,B40)=1,"Feiertag",IF(C40="Samstag","",IF(C40="Sonntag","",Übersicht!$C$8)))</f>
        <v>Büro</v>
      </c>
    </row>
    <row r="41" spans="1:4" x14ac:dyDescent="0.25">
      <c r="A41" t="s">
        <v>58</v>
      </c>
      <c r="B41" s="48">
        <v>41549</v>
      </c>
      <c r="C41" t="s">
        <v>53</v>
      </c>
      <c r="D41" t="str">
        <f>IF(COUNTIFS(Verweise!$A$2:$A$4542,Übersicht!$C$7,Verweise!$B$2:$B$4542,B41)=1,"Feiertag",IF(C41="Samstag","",IF(C41="Sonntag","",Übersicht!$C$8)))</f>
        <v>Feiertag</v>
      </c>
    </row>
    <row r="42" spans="1:4" x14ac:dyDescent="0.25">
      <c r="A42" t="s">
        <v>58</v>
      </c>
      <c r="B42" s="48">
        <v>41578</v>
      </c>
      <c r="C42" t="s">
        <v>54</v>
      </c>
      <c r="D42" t="str">
        <f>IF(COUNTIFS(Verweise!$A$2:$A$4542,Übersicht!$C$7,Verweise!$B$2:$B$4542,B42)=1,"Feiertag",IF(C42="Samstag","",IF(C42="Sonntag","",Übersicht!$C$8)))</f>
        <v>Feiertag</v>
      </c>
    </row>
    <row r="43" spans="1:4" x14ac:dyDescent="0.25">
      <c r="A43" t="s">
        <v>58</v>
      </c>
      <c r="B43" s="48">
        <v>41632</v>
      </c>
      <c r="C43" t="s">
        <v>55</v>
      </c>
      <c r="D43" t="str">
        <f>IF(COUNTIFS(Verweise!$A$2:$A$4542,Übersicht!$C$7,Verweise!$B$2:$B$4542,B43)=1,"Feiertag",IF(C43="Samstag","",IF(C43="Sonntag","",Übersicht!$C$8)))</f>
        <v>Feiertag</v>
      </c>
    </row>
    <row r="44" spans="1:4" x14ac:dyDescent="0.25">
      <c r="A44" t="s">
        <v>58</v>
      </c>
      <c r="B44" s="48">
        <v>41633</v>
      </c>
      <c r="C44" t="s">
        <v>56</v>
      </c>
      <c r="D44" t="str">
        <f>IF(COUNTIFS(Verweise!$A$2:$A$4542,Übersicht!$C$7,Verweise!$B$2:$B$4542,B44)=1,"Feiertag",IF(C44="Samstag","",IF(C44="Sonntag","",Übersicht!$C$8)))</f>
        <v>Feiertag</v>
      </c>
    </row>
    <row r="45" spans="1:4" x14ac:dyDescent="0.25">
      <c r="A45" t="s">
        <v>60</v>
      </c>
      <c r="B45" s="48">
        <v>41274</v>
      </c>
      <c r="C45" t="s">
        <v>43</v>
      </c>
      <c r="D45" t="str">
        <f>IF(COUNTIFS(Verweise!$A$2:$A$4542,Übersicht!$C$7,Verweise!$B$2:$B$4542,B45)=1,"Feiertag",IF(C45="Samstag","",IF(C45="Sonntag","",Übersicht!$C$8)))</f>
        <v>Feiertag</v>
      </c>
    </row>
    <row r="46" spans="1:4" x14ac:dyDescent="0.25">
      <c r="A46" t="s">
        <v>60</v>
      </c>
      <c r="B46" s="48">
        <v>41377</v>
      </c>
      <c r="C46" t="s">
        <v>45</v>
      </c>
      <c r="D46" t="str">
        <f>IF(COUNTIFS(Verweise!$A$2:$A$4542,Übersicht!$C$7,Verweise!$B$2:$B$4542,B46)=1,"Feiertag",IF(C46="Samstag","",IF(C46="Sonntag","",Übersicht!$C$8)))</f>
        <v>Feiertag</v>
      </c>
    </row>
    <row r="47" spans="1:4" x14ac:dyDescent="0.25">
      <c r="A47" t="s">
        <v>60</v>
      </c>
      <c r="B47" s="48">
        <v>41379</v>
      </c>
      <c r="C47" t="s">
        <v>46</v>
      </c>
      <c r="D47" t="str">
        <f>IF(COUNTIFS(Verweise!$A$2:$A$4542,Übersicht!$C$7,Verweise!$B$2:$B$4542,B47)=1,"Feiertag",IF(C47="Samstag","",IF(C47="Sonntag","",Übersicht!$C$8)))</f>
        <v>Feiertag</v>
      </c>
    </row>
    <row r="48" spans="1:4" x14ac:dyDescent="0.25">
      <c r="A48" t="s">
        <v>60</v>
      </c>
      <c r="B48" s="48">
        <v>41380</v>
      </c>
      <c r="C48" t="s">
        <v>47</v>
      </c>
      <c r="D48" t="str">
        <f>IF(COUNTIFS(Verweise!$A$2:$A$4542,Übersicht!$C$7,Verweise!$B$2:$B$4542,B48)=1,"Feiertag",IF(C48="Samstag","",IF(C48="Sonntag","",Übersicht!$C$8)))</f>
        <v>Feiertag</v>
      </c>
    </row>
    <row r="49" spans="1:4" x14ac:dyDescent="0.25">
      <c r="A49" t="s">
        <v>60</v>
      </c>
      <c r="B49" s="48">
        <v>41394</v>
      </c>
      <c r="C49" t="s">
        <v>48</v>
      </c>
      <c r="D49" t="str">
        <f>IF(COUNTIFS(Verweise!$A$2:$A$4542,Übersicht!$C$7,Verweise!$B$2:$B$4542,B49)=1,"Feiertag",IF(C49="Samstag","",IF(C49="Sonntag","",Übersicht!$C$8)))</f>
        <v>Feiertag</v>
      </c>
    </row>
    <row r="50" spans="1:4" x14ac:dyDescent="0.25">
      <c r="A50" t="s">
        <v>60</v>
      </c>
      <c r="B50" s="48">
        <v>41418</v>
      </c>
      <c r="C50" t="s">
        <v>49</v>
      </c>
      <c r="D50" t="str">
        <f>IF(COUNTIFS(Verweise!$A$2:$A$4542,Übersicht!$C$7,Verweise!$B$2:$B$4542,B50)=1,"Feiertag",IF(C50="Samstag","",IF(C50="Sonntag","",Übersicht!$C$8)))</f>
        <v>Feiertag</v>
      </c>
    </row>
    <row r="51" spans="1:4" x14ac:dyDescent="0.25">
      <c r="A51" t="s">
        <v>60</v>
      </c>
      <c r="B51" s="48">
        <v>41428</v>
      </c>
      <c r="C51" t="s">
        <v>50</v>
      </c>
      <c r="D51" t="str">
        <f>IF(COUNTIFS(Verweise!$A$2:$A$4542,Übersicht!$C$7,Verweise!$B$2:$B$4542,B51)=1,"Feiertag",IF(C51="Samstag","",IF(C51="Sonntag","",Übersicht!$C$8)))</f>
        <v>Feiertag</v>
      </c>
    </row>
    <row r="52" spans="1:4" x14ac:dyDescent="0.25">
      <c r="A52" t="s">
        <v>60</v>
      </c>
      <c r="B52" s="48">
        <v>41429</v>
      </c>
      <c r="C52" t="s">
        <v>51</v>
      </c>
      <c r="D52" t="str">
        <f>IF(COUNTIFS(Verweise!$A$2:$A$4542,Übersicht!$C$7,Verweise!$B$2:$B$4542,B52)=1,"Feiertag",IF(C52="Samstag","",IF(C52="Sonntag","",Übersicht!$C$8)))</f>
        <v>Feiertag</v>
      </c>
    </row>
    <row r="53" spans="1:4" x14ac:dyDescent="0.25">
      <c r="A53" t="s">
        <v>60</v>
      </c>
      <c r="B53" s="48">
        <v>41549</v>
      </c>
      <c r="C53" t="s">
        <v>53</v>
      </c>
      <c r="D53" t="str">
        <f>IF(COUNTIFS(Verweise!$A$2:$A$4542,Übersicht!$C$7,Verweise!$B$2:$B$4542,B53)=1,"Feiertag",IF(C53="Samstag","",IF(C53="Sonntag","",Übersicht!$C$8)))</f>
        <v>Feiertag</v>
      </c>
    </row>
    <row r="54" spans="1:4" x14ac:dyDescent="0.25">
      <c r="A54" t="s">
        <v>60</v>
      </c>
      <c r="B54" s="48">
        <v>41632</v>
      </c>
      <c r="C54" t="s">
        <v>55</v>
      </c>
      <c r="D54" t="str">
        <f>IF(COUNTIFS(Verweise!$A$2:$A$4542,Übersicht!$C$7,Verweise!$B$2:$B$4542,B54)=1,"Feiertag",IF(C54="Samstag","",IF(C54="Sonntag","",Übersicht!$C$8)))</f>
        <v>Feiertag</v>
      </c>
    </row>
    <row r="55" spans="1:4" x14ac:dyDescent="0.25">
      <c r="A55" t="s">
        <v>60</v>
      </c>
      <c r="B55" s="48">
        <v>41633</v>
      </c>
      <c r="C55" t="s">
        <v>56</v>
      </c>
      <c r="D55" t="str">
        <f>IF(COUNTIFS(Verweise!$A$2:$A$4542,Übersicht!$C$7,Verweise!$B$2:$B$4542,B55)=1,"Feiertag",IF(C55="Samstag","",IF(C55="Sonntag","",Übersicht!$C$8)))</f>
        <v>Feiertag</v>
      </c>
    </row>
    <row r="56" spans="1:4" x14ac:dyDescent="0.25">
      <c r="A56" t="s">
        <v>61</v>
      </c>
      <c r="B56" s="48">
        <v>41274</v>
      </c>
      <c r="C56" t="s">
        <v>43</v>
      </c>
      <c r="D56" t="str">
        <f>IF(COUNTIFS(Verweise!$A$2:$A$4542,Übersicht!$C$7,Verweise!$B$2:$B$4542,B56)=1,"Feiertag",IF(C56="Samstag","",IF(C56="Sonntag","",Übersicht!$C$8)))</f>
        <v>Feiertag</v>
      </c>
    </row>
    <row r="57" spans="1:4" x14ac:dyDescent="0.25">
      <c r="A57" t="s">
        <v>61</v>
      </c>
      <c r="B57" s="48">
        <v>41377</v>
      </c>
      <c r="C57" t="s">
        <v>45</v>
      </c>
      <c r="D57" t="str">
        <f>IF(COUNTIFS(Verweise!$A$2:$A$4542,Übersicht!$C$7,Verweise!$B$2:$B$4542,B57)=1,"Feiertag",IF(C57="Samstag","",IF(C57="Sonntag","",Übersicht!$C$8)))</f>
        <v>Feiertag</v>
      </c>
    </row>
    <row r="58" spans="1:4" x14ac:dyDescent="0.25">
      <c r="A58" t="s">
        <v>61</v>
      </c>
      <c r="B58" s="48">
        <v>41379</v>
      </c>
      <c r="C58" t="s">
        <v>46</v>
      </c>
      <c r="D58" t="str">
        <f>IF(COUNTIFS(Verweise!$A$2:$A$4542,Übersicht!$C$7,Verweise!$B$2:$B$4542,B58)=1,"Feiertag",IF(C58="Samstag","",IF(C58="Sonntag","",Übersicht!$C$8)))</f>
        <v>Feiertag</v>
      </c>
    </row>
    <row r="59" spans="1:4" x14ac:dyDescent="0.25">
      <c r="A59" t="s">
        <v>61</v>
      </c>
      <c r="B59" s="48">
        <v>41380</v>
      </c>
      <c r="C59" t="s">
        <v>47</v>
      </c>
      <c r="D59" t="str">
        <f>IF(COUNTIFS(Verweise!$A$2:$A$4542,Übersicht!$C$7,Verweise!$B$2:$B$4542,B59)=1,"Feiertag",IF(C59="Samstag","",IF(C59="Sonntag","",Übersicht!$C$8)))</f>
        <v>Feiertag</v>
      </c>
    </row>
    <row r="60" spans="1:4" x14ac:dyDescent="0.25">
      <c r="A60" t="s">
        <v>61</v>
      </c>
      <c r="B60" s="48">
        <v>41394</v>
      </c>
      <c r="C60" t="s">
        <v>48</v>
      </c>
      <c r="D60" t="str">
        <f>IF(COUNTIFS(Verweise!$A$2:$A$4542,Übersicht!$C$7,Verweise!$B$2:$B$4542,B60)=1,"Feiertag",IF(C60="Samstag","",IF(C60="Sonntag","",Übersicht!$C$8)))</f>
        <v>Feiertag</v>
      </c>
    </row>
    <row r="61" spans="1:4" x14ac:dyDescent="0.25">
      <c r="A61" t="s">
        <v>61</v>
      </c>
      <c r="B61" s="48">
        <v>41418</v>
      </c>
      <c r="C61" t="s">
        <v>49</v>
      </c>
      <c r="D61" t="str">
        <f>IF(COUNTIFS(Verweise!$A$2:$A$4542,Übersicht!$C$7,Verweise!$B$2:$B$4542,B61)=1,"Feiertag",IF(C61="Samstag","",IF(C61="Sonntag","",Übersicht!$C$8)))</f>
        <v>Feiertag</v>
      </c>
    </row>
    <row r="62" spans="1:4" x14ac:dyDescent="0.25">
      <c r="A62" t="s">
        <v>61</v>
      </c>
      <c r="B62" s="48">
        <v>41428</v>
      </c>
      <c r="C62" t="s">
        <v>50</v>
      </c>
      <c r="D62" t="str">
        <f>IF(COUNTIFS(Verweise!$A$2:$A$4542,Übersicht!$C$7,Verweise!$B$2:$B$4542,B62)=1,"Feiertag",IF(C62="Samstag","",IF(C62="Sonntag","",Übersicht!$C$8)))</f>
        <v>Feiertag</v>
      </c>
    </row>
    <row r="63" spans="1:4" x14ac:dyDescent="0.25">
      <c r="A63" t="s">
        <v>61</v>
      </c>
      <c r="B63" s="48">
        <v>41429</v>
      </c>
      <c r="C63" t="s">
        <v>51</v>
      </c>
      <c r="D63" t="str">
        <f>IF(COUNTIFS(Verweise!$A$2:$A$4542,Übersicht!$C$7,Verweise!$B$2:$B$4542,B63)=1,"Feiertag",IF(C63="Samstag","",IF(C63="Sonntag","",Übersicht!$C$8)))</f>
        <v>Feiertag</v>
      </c>
    </row>
    <row r="64" spans="1:4" x14ac:dyDescent="0.25">
      <c r="A64" t="s">
        <v>61</v>
      </c>
      <c r="B64" s="48">
        <v>41549</v>
      </c>
      <c r="C64" t="s">
        <v>53</v>
      </c>
      <c r="D64" t="str">
        <f>IF(COUNTIFS(Verweise!$A$2:$A$4542,Übersicht!$C$7,Verweise!$B$2:$B$4542,B64)=1,"Feiertag",IF(C64="Samstag","",IF(C64="Sonntag","",Übersicht!$C$8)))</f>
        <v>Feiertag</v>
      </c>
    </row>
    <row r="65" spans="1:4" x14ac:dyDescent="0.25">
      <c r="A65" t="s">
        <v>61</v>
      </c>
      <c r="B65" s="48">
        <v>41577</v>
      </c>
      <c r="C65" t="s">
        <v>62</v>
      </c>
      <c r="D65" t="str">
        <f>IF(COUNTIFS(Verweise!$A$2:$A$4542,Übersicht!$C$7,Verweise!$B$2:$B$4542,B65)=1,"Feiertag",IF(C65="Samstag","",IF(C65="Sonntag","",Übersicht!$C$8)))</f>
        <v>Büro</v>
      </c>
    </row>
    <row r="66" spans="1:4" x14ac:dyDescent="0.25">
      <c r="A66" t="s">
        <v>61</v>
      </c>
      <c r="B66" s="48">
        <v>41632</v>
      </c>
      <c r="C66" t="s">
        <v>55</v>
      </c>
      <c r="D66" t="str">
        <f>IF(COUNTIFS(Verweise!$A$2:$A$4542,Übersicht!$C$7,Verweise!$B$2:$B$4542,B66)=1,"Feiertag",IF(C66="Samstag","",IF(C66="Sonntag","",Übersicht!$C$8)))</f>
        <v>Feiertag</v>
      </c>
    </row>
    <row r="67" spans="1:4" x14ac:dyDescent="0.25">
      <c r="A67" t="s">
        <v>61</v>
      </c>
      <c r="B67" s="48">
        <v>41633</v>
      </c>
      <c r="C67" t="s">
        <v>56</v>
      </c>
      <c r="D67" t="str">
        <f>IF(COUNTIFS(Verweise!$A$2:$A$4542,Übersicht!$C$7,Verweise!$B$2:$B$4542,B67)=1,"Feiertag",IF(C67="Samstag","",IF(C67="Sonntag","",Übersicht!$C$8)))</f>
        <v>Feiertag</v>
      </c>
    </row>
    <row r="68" spans="1:4" x14ac:dyDescent="0.25">
      <c r="A68" t="s">
        <v>63</v>
      </c>
      <c r="B68" s="48">
        <v>41274</v>
      </c>
      <c r="C68" t="s">
        <v>43</v>
      </c>
      <c r="D68" t="str">
        <f>IF(COUNTIFS(Verweise!$A$2:$A$4542,Übersicht!$C$7,Verweise!$B$2:$B$4542,B68)=1,"Feiertag",IF(C68="Samstag","",IF(C68="Sonntag","",Übersicht!$C$8)))</f>
        <v>Feiertag</v>
      </c>
    </row>
    <row r="69" spans="1:4" x14ac:dyDescent="0.25">
      <c r="A69" t="s">
        <v>63</v>
      </c>
      <c r="B69" s="48">
        <v>41377</v>
      </c>
      <c r="C69" t="s">
        <v>45</v>
      </c>
      <c r="D69" t="str">
        <f>IF(COUNTIFS(Verweise!$A$2:$A$4542,Übersicht!$C$7,Verweise!$B$2:$B$4542,B69)=1,"Feiertag",IF(C69="Samstag","",IF(C69="Sonntag","",Übersicht!$C$8)))</f>
        <v>Feiertag</v>
      </c>
    </row>
    <row r="70" spans="1:4" x14ac:dyDescent="0.25">
      <c r="A70" t="s">
        <v>63</v>
      </c>
      <c r="B70" s="48">
        <v>41379</v>
      </c>
      <c r="C70" t="s">
        <v>46</v>
      </c>
      <c r="D70" t="str">
        <f>IF(COUNTIFS(Verweise!$A$2:$A$4542,Übersicht!$C$7,Verweise!$B$2:$B$4542,B70)=1,"Feiertag",IF(C70="Samstag","",IF(C70="Sonntag","",Übersicht!$C$8)))</f>
        <v>Feiertag</v>
      </c>
    </row>
    <row r="71" spans="1:4" x14ac:dyDescent="0.25">
      <c r="A71" t="s">
        <v>63</v>
      </c>
      <c r="B71" s="48">
        <v>41380</v>
      </c>
      <c r="C71" t="s">
        <v>47</v>
      </c>
      <c r="D71" t="str">
        <f>IF(COUNTIFS(Verweise!$A$2:$A$4542,Übersicht!$C$7,Verweise!$B$2:$B$4542,B71)=1,"Feiertag",IF(C71="Samstag","",IF(C71="Sonntag","",Übersicht!$C$8)))</f>
        <v>Feiertag</v>
      </c>
    </row>
    <row r="72" spans="1:4" x14ac:dyDescent="0.25">
      <c r="A72" t="s">
        <v>63</v>
      </c>
      <c r="B72" s="48">
        <v>41394</v>
      </c>
      <c r="C72" t="s">
        <v>48</v>
      </c>
      <c r="D72" t="str">
        <f>IF(COUNTIFS(Verweise!$A$2:$A$4542,Übersicht!$C$7,Verweise!$B$2:$B$4542,B72)=1,"Feiertag",IF(C72="Samstag","",IF(C72="Sonntag","",Übersicht!$C$8)))</f>
        <v>Feiertag</v>
      </c>
    </row>
    <row r="73" spans="1:4" x14ac:dyDescent="0.25">
      <c r="A73" t="s">
        <v>63</v>
      </c>
      <c r="B73" s="48">
        <v>41418</v>
      </c>
      <c r="C73" t="s">
        <v>49</v>
      </c>
      <c r="D73" t="str">
        <f>IF(COUNTIFS(Verweise!$A$2:$A$4542,Übersicht!$C$7,Verweise!$B$2:$B$4542,B73)=1,"Feiertag",IF(C73="Samstag","",IF(C73="Sonntag","",Übersicht!$C$8)))</f>
        <v>Feiertag</v>
      </c>
    </row>
    <row r="74" spans="1:4" x14ac:dyDescent="0.25">
      <c r="A74" t="s">
        <v>63</v>
      </c>
      <c r="B74" s="48">
        <v>41428</v>
      </c>
      <c r="C74" t="s">
        <v>50</v>
      </c>
      <c r="D74" t="str">
        <f>IF(COUNTIFS(Verweise!$A$2:$A$4542,Übersicht!$C$7,Verweise!$B$2:$B$4542,B74)=1,"Feiertag",IF(C74="Samstag","",IF(C74="Sonntag","",Übersicht!$C$8)))</f>
        <v>Feiertag</v>
      </c>
    </row>
    <row r="75" spans="1:4" x14ac:dyDescent="0.25">
      <c r="A75" t="s">
        <v>63</v>
      </c>
      <c r="B75" s="48">
        <v>41429</v>
      </c>
      <c r="C75" t="s">
        <v>51</v>
      </c>
      <c r="D75" t="str">
        <f>IF(COUNTIFS(Verweise!$A$2:$A$4542,Übersicht!$C$7,Verweise!$B$2:$B$4542,B75)=1,"Feiertag",IF(C75="Samstag","",IF(C75="Sonntag","",Übersicht!$C$8)))</f>
        <v>Feiertag</v>
      </c>
    </row>
    <row r="76" spans="1:4" x14ac:dyDescent="0.25">
      <c r="A76" t="s">
        <v>63</v>
      </c>
      <c r="B76" s="48">
        <v>41549</v>
      </c>
      <c r="C76" t="s">
        <v>53</v>
      </c>
      <c r="D76" t="str">
        <f>IF(COUNTIFS(Verweise!$A$2:$A$4542,Übersicht!$C$7,Verweise!$B$2:$B$4542,B76)=1,"Feiertag",IF(C76="Samstag","",IF(C76="Sonntag","",Übersicht!$C$8)))</f>
        <v>Feiertag</v>
      </c>
    </row>
    <row r="77" spans="1:4" x14ac:dyDescent="0.25">
      <c r="A77" t="s">
        <v>63</v>
      </c>
      <c r="B77" s="48">
        <v>41632</v>
      </c>
      <c r="C77" t="s">
        <v>55</v>
      </c>
      <c r="D77" t="str">
        <f>IF(COUNTIFS(Verweise!$A$2:$A$4542,Übersicht!$C$7,Verweise!$B$2:$B$4542,B77)=1,"Feiertag",IF(C77="Samstag","",IF(C77="Sonntag","",Übersicht!$C$8)))</f>
        <v>Feiertag</v>
      </c>
    </row>
    <row r="78" spans="1:4" x14ac:dyDescent="0.25">
      <c r="A78" t="s">
        <v>63</v>
      </c>
      <c r="B78" s="48">
        <v>41633</v>
      </c>
      <c r="C78" t="s">
        <v>56</v>
      </c>
      <c r="D78" t="str">
        <f>IF(COUNTIFS(Verweise!$A$2:$A$4542,Übersicht!$C$7,Verweise!$B$2:$B$4542,B78)=1,"Feiertag",IF(C78="Samstag","",IF(C78="Sonntag","",Übersicht!$C$8)))</f>
        <v>Feiertag</v>
      </c>
    </row>
    <row r="79" spans="1:4" x14ac:dyDescent="0.25">
      <c r="A79" t="s">
        <v>64</v>
      </c>
      <c r="B79" s="48">
        <v>41274</v>
      </c>
      <c r="C79" t="s">
        <v>43</v>
      </c>
      <c r="D79" t="str">
        <f>IF(COUNTIFS(Verweise!$A$2:$A$4542,Übersicht!$C$7,Verweise!$B$2:$B$4542,B79)=1,"Feiertag",IF(C79="Samstag","",IF(C79="Sonntag","",Übersicht!$C$8)))</f>
        <v>Feiertag</v>
      </c>
    </row>
    <row r="80" spans="1:4" x14ac:dyDescent="0.25">
      <c r="A80" t="s">
        <v>64</v>
      </c>
      <c r="B80" s="48">
        <v>41377</v>
      </c>
      <c r="C80" t="s">
        <v>45</v>
      </c>
      <c r="D80" t="str">
        <f>IF(COUNTIFS(Verweise!$A$2:$A$4542,Übersicht!$C$7,Verweise!$B$2:$B$4542,B80)=1,"Feiertag",IF(C80="Samstag","",IF(C80="Sonntag","",Übersicht!$C$8)))</f>
        <v>Feiertag</v>
      </c>
    </row>
    <row r="81" spans="1:4" x14ac:dyDescent="0.25">
      <c r="A81" t="s">
        <v>64</v>
      </c>
      <c r="B81" s="48">
        <v>41379</v>
      </c>
      <c r="C81" t="s">
        <v>46</v>
      </c>
      <c r="D81" t="str">
        <f>IF(COUNTIFS(Verweise!$A$2:$A$4542,Übersicht!$C$7,Verweise!$B$2:$B$4542,B81)=1,"Feiertag",IF(C81="Samstag","",IF(C81="Sonntag","",Übersicht!$C$8)))</f>
        <v>Feiertag</v>
      </c>
    </row>
    <row r="82" spans="1:4" x14ac:dyDescent="0.25">
      <c r="A82" t="s">
        <v>64</v>
      </c>
      <c r="B82" s="48">
        <v>41380</v>
      </c>
      <c r="C82" t="s">
        <v>47</v>
      </c>
      <c r="D82" t="str">
        <f>IF(COUNTIFS(Verweise!$A$2:$A$4542,Übersicht!$C$7,Verweise!$B$2:$B$4542,B82)=1,"Feiertag",IF(C82="Samstag","",IF(C82="Sonntag","",Übersicht!$C$8)))</f>
        <v>Feiertag</v>
      </c>
    </row>
    <row r="83" spans="1:4" x14ac:dyDescent="0.25">
      <c r="A83" t="s">
        <v>64</v>
      </c>
      <c r="B83" s="48">
        <v>41394</v>
      </c>
      <c r="C83" t="s">
        <v>48</v>
      </c>
      <c r="D83" t="str">
        <f>IF(COUNTIFS(Verweise!$A$2:$A$4542,Übersicht!$C$7,Verweise!$B$2:$B$4542,B83)=1,"Feiertag",IF(C83="Samstag","",IF(C83="Sonntag","",Übersicht!$C$8)))</f>
        <v>Feiertag</v>
      </c>
    </row>
    <row r="84" spans="1:4" x14ac:dyDescent="0.25">
      <c r="A84" t="s">
        <v>64</v>
      </c>
      <c r="B84" s="48">
        <v>41418</v>
      </c>
      <c r="C84" t="s">
        <v>49</v>
      </c>
      <c r="D84" t="str">
        <f>IF(COUNTIFS(Verweise!$A$2:$A$4542,Übersicht!$C$7,Verweise!$B$2:$B$4542,B84)=1,"Feiertag",IF(C84="Samstag","",IF(C84="Sonntag","",Übersicht!$C$8)))</f>
        <v>Feiertag</v>
      </c>
    </row>
    <row r="85" spans="1:4" x14ac:dyDescent="0.25">
      <c r="A85" t="s">
        <v>64</v>
      </c>
      <c r="B85" s="48">
        <v>41428</v>
      </c>
      <c r="C85" t="s">
        <v>50</v>
      </c>
      <c r="D85" t="str">
        <f>IF(COUNTIFS(Verweise!$A$2:$A$4542,Übersicht!$C$7,Verweise!$B$2:$B$4542,B85)=1,"Feiertag",IF(C85="Samstag","",IF(C85="Sonntag","",Übersicht!$C$8)))</f>
        <v>Feiertag</v>
      </c>
    </row>
    <row r="86" spans="1:4" x14ac:dyDescent="0.25">
      <c r="A86" t="s">
        <v>64</v>
      </c>
      <c r="B86" s="48">
        <v>41429</v>
      </c>
      <c r="C86" t="s">
        <v>51</v>
      </c>
      <c r="D86" t="str">
        <f>IF(COUNTIFS(Verweise!$A$2:$A$4542,Übersicht!$C$7,Verweise!$B$2:$B$4542,B86)=1,"Feiertag",IF(C86="Samstag","",IF(C86="Sonntag","",Übersicht!$C$8)))</f>
        <v>Feiertag</v>
      </c>
    </row>
    <row r="87" spans="1:4" x14ac:dyDescent="0.25">
      <c r="A87" t="s">
        <v>64</v>
      </c>
      <c r="B87" s="48">
        <v>41549</v>
      </c>
      <c r="C87" t="s">
        <v>53</v>
      </c>
      <c r="D87" t="str">
        <f>IF(COUNTIFS(Verweise!$A$2:$A$4542,Übersicht!$C$7,Verweise!$B$2:$B$4542,B87)=1,"Feiertag",IF(C87="Samstag","",IF(C87="Sonntag","",Übersicht!$C$8)))</f>
        <v>Feiertag</v>
      </c>
    </row>
    <row r="88" spans="1:4" x14ac:dyDescent="0.25">
      <c r="A88" t="s">
        <v>64</v>
      </c>
      <c r="B88" s="48">
        <v>41632</v>
      </c>
      <c r="C88" t="s">
        <v>55</v>
      </c>
      <c r="D88" t="str">
        <f>IF(COUNTIFS(Verweise!$A$2:$A$4542,Übersicht!$C$7,Verweise!$B$2:$B$4542,B88)=1,"Feiertag",IF(C88="Samstag","",IF(C88="Sonntag","",Übersicht!$C$8)))</f>
        <v>Feiertag</v>
      </c>
    </row>
    <row r="89" spans="1:4" x14ac:dyDescent="0.25">
      <c r="A89" t="s">
        <v>64</v>
      </c>
      <c r="B89" s="48">
        <v>41633</v>
      </c>
      <c r="C89" t="s">
        <v>56</v>
      </c>
      <c r="D89" t="str">
        <f>IF(COUNTIFS(Verweise!$A$2:$A$4542,Übersicht!$C$7,Verweise!$B$2:$B$4542,B89)=1,"Feiertag",IF(C89="Samstag","",IF(C89="Sonntag","",Übersicht!$C$8)))</f>
        <v>Feiertag</v>
      </c>
    </row>
    <row r="90" spans="1:4" x14ac:dyDescent="0.25">
      <c r="A90" t="s">
        <v>65</v>
      </c>
      <c r="B90" s="48">
        <v>41274</v>
      </c>
      <c r="C90" t="s">
        <v>43</v>
      </c>
      <c r="D90" t="str">
        <f>IF(COUNTIFS(Verweise!$A$2:$A$4542,Übersicht!$C$7,Verweise!$B$2:$B$4542,B90)=1,"Feiertag",IF(C90="Samstag","",IF(C90="Sonntag","",Übersicht!$C$8)))</f>
        <v>Feiertag</v>
      </c>
    </row>
    <row r="91" spans="1:4" x14ac:dyDescent="0.25">
      <c r="A91" t="s">
        <v>65</v>
      </c>
      <c r="B91" s="48">
        <v>41377</v>
      </c>
      <c r="C91" t="s">
        <v>45</v>
      </c>
      <c r="D91" t="str">
        <f>IF(COUNTIFS(Verweise!$A$2:$A$4542,Übersicht!$C$7,Verweise!$B$2:$B$4542,B91)=1,"Feiertag",IF(C91="Samstag","",IF(C91="Sonntag","",Übersicht!$C$8)))</f>
        <v>Feiertag</v>
      </c>
    </row>
    <row r="92" spans="1:4" x14ac:dyDescent="0.25">
      <c r="A92" t="s">
        <v>65</v>
      </c>
      <c r="B92" s="48">
        <v>41379</v>
      </c>
      <c r="C92" t="s">
        <v>46</v>
      </c>
      <c r="D92" t="str">
        <f>IF(COUNTIFS(Verweise!$A$2:$A$4542,Übersicht!$C$7,Verweise!$B$2:$B$4542,B92)=1,"Feiertag",IF(C92="Samstag","",IF(C92="Sonntag","",Übersicht!$C$8)))</f>
        <v>Feiertag</v>
      </c>
    </row>
    <row r="93" spans="1:4" x14ac:dyDescent="0.25">
      <c r="A93" t="s">
        <v>65</v>
      </c>
      <c r="B93" s="48">
        <v>41380</v>
      </c>
      <c r="C93" t="s">
        <v>47</v>
      </c>
      <c r="D93" t="str">
        <f>IF(COUNTIFS(Verweise!$A$2:$A$4542,Übersicht!$C$7,Verweise!$B$2:$B$4542,B93)=1,"Feiertag",IF(C93="Samstag","",IF(C93="Sonntag","",Übersicht!$C$8)))</f>
        <v>Feiertag</v>
      </c>
    </row>
    <row r="94" spans="1:4" x14ac:dyDescent="0.25">
      <c r="A94" t="s">
        <v>65</v>
      </c>
      <c r="B94" s="48">
        <v>41394</v>
      </c>
      <c r="C94" t="s">
        <v>48</v>
      </c>
      <c r="D94" t="str">
        <f>IF(COUNTIFS(Verweise!$A$2:$A$4542,Übersicht!$C$7,Verweise!$B$2:$B$4542,B94)=1,"Feiertag",IF(C94="Samstag","",IF(C94="Sonntag","",Übersicht!$C$8)))</f>
        <v>Feiertag</v>
      </c>
    </row>
    <row r="95" spans="1:4" x14ac:dyDescent="0.25">
      <c r="A95" t="s">
        <v>65</v>
      </c>
      <c r="B95" s="48">
        <v>41418</v>
      </c>
      <c r="C95" t="s">
        <v>49</v>
      </c>
      <c r="D95" t="str">
        <f>IF(COUNTIFS(Verweise!$A$2:$A$4542,Übersicht!$C$7,Verweise!$B$2:$B$4542,B95)=1,"Feiertag",IF(C95="Samstag","",IF(C95="Sonntag","",Übersicht!$C$8)))</f>
        <v>Feiertag</v>
      </c>
    </row>
    <row r="96" spans="1:4" x14ac:dyDescent="0.25">
      <c r="A96" t="s">
        <v>65</v>
      </c>
      <c r="B96" s="48">
        <v>41428</v>
      </c>
      <c r="C96" t="s">
        <v>50</v>
      </c>
      <c r="D96" t="str">
        <f>IF(COUNTIFS(Verweise!$A$2:$A$4542,Übersicht!$C$7,Verweise!$B$2:$B$4542,B96)=1,"Feiertag",IF(C96="Samstag","",IF(C96="Sonntag","",Übersicht!$C$8)))</f>
        <v>Feiertag</v>
      </c>
    </row>
    <row r="97" spans="1:4" x14ac:dyDescent="0.25">
      <c r="A97" t="s">
        <v>65</v>
      </c>
      <c r="B97" s="48">
        <v>41429</v>
      </c>
      <c r="C97" t="s">
        <v>51</v>
      </c>
      <c r="D97" t="str">
        <f>IF(COUNTIFS(Verweise!$A$2:$A$4542,Übersicht!$C$7,Verweise!$B$2:$B$4542,B97)=1,"Feiertag",IF(C97="Samstag","",IF(C97="Sonntag","",Übersicht!$C$8)))</f>
        <v>Feiertag</v>
      </c>
    </row>
    <row r="98" spans="1:4" x14ac:dyDescent="0.25">
      <c r="A98" t="s">
        <v>65</v>
      </c>
      <c r="B98" s="48">
        <v>41439</v>
      </c>
      <c r="C98" t="s">
        <v>52</v>
      </c>
      <c r="D98" t="str">
        <f>IF(COUNTIFS(Verweise!$A$2:$A$4542,Übersicht!$C$7,Verweise!$B$2:$B$4542,B98)=1,"Feiertag",IF(C98="Samstag","",IF(C98="Sonntag","",Übersicht!$C$8)))</f>
        <v>Feiertag</v>
      </c>
    </row>
    <row r="99" spans="1:4" x14ac:dyDescent="0.25">
      <c r="A99" t="s">
        <v>65</v>
      </c>
      <c r="B99" s="48">
        <v>41549</v>
      </c>
      <c r="C99" t="s">
        <v>53</v>
      </c>
      <c r="D99" t="str">
        <f>IF(COUNTIFS(Verweise!$A$2:$A$4542,Übersicht!$C$7,Verweise!$B$2:$B$4542,B99)=1,"Feiertag",IF(C99="Samstag","",IF(C99="Sonntag","",Übersicht!$C$8)))</f>
        <v>Feiertag</v>
      </c>
    </row>
    <row r="100" spans="1:4" x14ac:dyDescent="0.25">
      <c r="A100" t="s">
        <v>65</v>
      </c>
      <c r="B100" s="48">
        <v>41632</v>
      </c>
      <c r="C100" t="s">
        <v>55</v>
      </c>
      <c r="D100" t="str">
        <f>IF(COUNTIFS(Verweise!$A$2:$A$4542,Übersicht!$C$7,Verweise!$B$2:$B$4542,B100)=1,"Feiertag",IF(C100="Samstag","",IF(C100="Sonntag","",Übersicht!$C$8)))</f>
        <v>Feiertag</v>
      </c>
    </row>
    <row r="101" spans="1:4" x14ac:dyDescent="0.25">
      <c r="A101" t="s">
        <v>65</v>
      </c>
      <c r="B101" s="48">
        <v>41633</v>
      </c>
      <c r="C101" t="s">
        <v>56</v>
      </c>
      <c r="D101" t="str">
        <f>IF(COUNTIFS(Verweise!$A$2:$A$4542,Übersicht!$C$7,Verweise!$B$2:$B$4542,B101)=1,"Feiertag",IF(C101="Samstag","",IF(C101="Sonntag","",Übersicht!$C$8)))</f>
        <v>Feiertag</v>
      </c>
    </row>
    <row r="102" spans="1:4" x14ac:dyDescent="0.25">
      <c r="A102" t="s">
        <v>66</v>
      </c>
      <c r="B102" s="48">
        <v>41274</v>
      </c>
      <c r="C102" t="s">
        <v>43</v>
      </c>
      <c r="D102" t="str">
        <f>IF(COUNTIFS(Verweise!$A$2:$A$4542,Übersicht!$C$7,Verweise!$B$2:$B$4542,B102)=1,"Feiertag",IF(C102="Samstag","",IF(C102="Sonntag","",Übersicht!$C$8)))</f>
        <v>Feiertag</v>
      </c>
    </row>
    <row r="103" spans="1:4" x14ac:dyDescent="0.25">
      <c r="A103" t="s">
        <v>66</v>
      </c>
      <c r="B103" s="48">
        <v>41377</v>
      </c>
      <c r="C103" t="s">
        <v>45</v>
      </c>
      <c r="D103" t="str">
        <f>IF(COUNTIFS(Verweise!$A$2:$A$4542,Übersicht!$C$7,Verweise!$B$2:$B$4542,B103)=1,"Feiertag",IF(C103="Samstag","",IF(C103="Sonntag","",Übersicht!$C$8)))</f>
        <v>Feiertag</v>
      </c>
    </row>
    <row r="104" spans="1:4" x14ac:dyDescent="0.25">
      <c r="A104" t="s">
        <v>66</v>
      </c>
      <c r="B104" s="48">
        <v>41379</v>
      </c>
      <c r="C104" t="s">
        <v>46</v>
      </c>
      <c r="D104" t="str">
        <f>IF(COUNTIFS(Verweise!$A$2:$A$4542,Übersicht!$C$7,Verweise!$B$2:$B$4542,B104)=1,"Feiertag",IF(C104="Samstag","",IF(C104="Sonntag","",Übersicht!$C$8)))</f>
        <v>Feiertag</v>
      </c>
    </row>
    <row r="105" spans="1:4" x14ac:dyDescent="0.25">
      <c r="A105" t="s">
        <v>66</v>
      </c>
      <c r="B105" s="48">
        <v>41380</v>
      </c>
      <c r="C105" t="s">
        <v>47</v>
      </c>
      <c r="D105" t="str">
        <f>IF(COUNTIFS(Verweise!$A$2:$A$4542,Übersicht!$C$7,Verweise!$B$2:$B$4542,B105)=1,"Feiertag",IF(C105="Samstag","",IF(C105="Sonntag","",Übersicht!$C$8)))</f>
        <v>Feiertag</v>
      </c>
    </row>
    <row r="106" spans="1:4" x14ac:dyDescent="0.25">
      <c r="A106" t="s">
        <v>66</v>
      </c>
      <c r="B106" s="48">
        <v>41394</v>
      </c>
      <c r="C106" t="s">
        <v>48</v>
      </c>
      <c r="D106" t="str">
        <f>IF(COUNTIFS(Verweise!$A$2:$A$4542,Übersicht!$C$7,Verweise!$B$2:$B$4542,B106)=1,"Feiertag",IF(C106="Samstag","",IF(C106="Sonntag","",Übersicht!$C$8)))</f>
        <v>Feiertag</v>
      </c>
    </row>
    <row r="107" spans="1:4" x14ac:dyDescent="0.25">
      <c r="A107" t="s">
        <v>66</v>
      </c>
      <c r="B107" s="48">
        <v>41418</v>
      </c>
      <c r="C107" t="s">
        <v>49</v>
      </c>
      <c r="D107" t="str">
        <f>IF(COUNTIFS(Verweise!$A$2:$A$4542,Übersicht!$C$7,Verweise!$B$2:$B$4542,B107)=1,"Feiertag",IF(C107="Samstag","",IF(C107="Sonntag","",Übersicht!$C$8)))</f>
        <v>Feiertag</v>
      </c>
    </row>
    <row r="108" spans="1:4" x14ac:dyDescent="0.25">
      <c r="A108" t="s">
        <v>66</v>
      </c>
      <c r="B108" s="48">
        <v>41428</v>
      </c>
      <c r="C108" t="s">
        <v>50</v>
      </c>
      <c r="D108" t="str">
        <f>IF(COUNTIFS(Verweise!$A$2:$A$4542,Übersicht!$C$7,Verweise!$B$2:$B$4542,B108)=1,"Feiertag",IF(C108="Samstag","",IF(C108="Sonntag","",Übersicht!$C$8)))</f>
        <v>Feiertag</v>
      </c>
    </row>
    <row r="109" spans="1:4" x14ac:dyDescent="0.25">
      <c r="A109" t="s">
        <v>66</v>
      </c>
      <c r="B109" s="48">
        <v>41429</v>
      </c>
      <c r="C109" t="s">
        <v>51</v>
      </c>
      <c r="D109" t="str">
        <f>IF(COUNTIFS(Verweise!$A$2:$A$4542,Übersicht!$C$7,Verweise!$B$2:$B$4542,B109)=1,"Feiertag",IF(C109="Samstag","",IF(C109="Sonntag","",Übersicht!$C$8)))</f>
        <v>Feiertag</v>
      </c>
    </row>
    <row r="110" spans="1:4" x14ac:dyDescent="0.25">
      <c r="A110" t="s">
        <v>66</v>
      </c>
      <c r="B110" s="48">
        <v>41549</v>
      </c>
      <c r="C110" t="s">
        <v>53</v>
      </c>
      <c r="D110" t="str">
        <f>IF(COUNTIFS(Verweise!$A$2:$A$4542,Übersicht!$C$7,Verweise!$B$2:$B$4542,B110)=1,"Feiertag",IF(C110="Samstag","",IF(C110="Sonntag","",Übersicht!$C$8)))</f>
        <v>Feiertag</v>
      </c>
    </row>
    <row r="111" spans="1:4" x14ac:dyDescent="0.25">
      <c r="A111" t="s">
        <v>66</v>
      </c>
      <c r="B111" s="48">
        <v>41577</v>
      </c>
      <c r="C111" t="s">
        <v>62</v>
      </c>
      <c r="D111" t="str">
        <f>IF(COUNTIFS(Verweise!$A$2:$A$4542,Übersicht!$C$7,Verweise!$B$2:$B$4542,B111)=1,"Feiertag",IF(C111="Samstag","",IF(C111="Sonntag","",Übersicht!$C$8)))</f>
        <v>Büro</v>
      </c>
    </row>
    <row r="112" spans="1:4" x14ac:dyDescent="0.25">
      <c r="A112" t="s">
        <v>66</v>
      </c>
      <c r="B112" s="48">
        <v>41632</v>
      </c>
      <c r="C112" t="s">
        <v>55</v>
      </c>
      <c r="D112" t="str">
        <f>IF(COUNTIFS(Verweise!$A$2:$A$4542,Übersicht!$C$7,Verweise!$B$2:$B$4542,B112)=1,"Feiertag",IF(C112="Samstag","",IF(C112="Sonntag","",Übersicht!$C$8)))</f>
        <v>Feiertag</v>
      </c>
    </row>
    <row r="113" spans="1:4" x14ac:dyDescent="0.25">
      <c r="A113" t="s">
        <v>66</v>
      </c>
      <c r="B113" s="48">
        <v>41633</v>
      </c>
      <c r="C113" t="s">
        <v>56</v>
      </c>
      <c r="D113" t="str">
        <f>IF(COUNTIFS(Verweise!$A$2:$A$4542,Übersicht!$C$7,Verweise!$B$2:$B$4542,B113)=1,"Feiertag",IF(C113="Samstag","",IF(C113="Sonntag","",Übersicht!$C$8)))</f>
        <v>Feiertag</v>
      </c>
    </row>
    <row r="114" spans="1:4" x14ac:dyDescent="0.25">
      <c r="A114" t="s">
        <v>67</v>
      </c>
      <c r="B114" s="48">
        <v>41274</v>
      </c>
      <c r="C114" t="s">
        <v>43</v>
      </c>
      <c r="D114" t="str">
        <f>IF(COUNTIFS(Verweise!$A$2:$A$4542,Übersicht!$C$7,Verweise!$B$2:$B$4542,B114)=1,"Feiertag",IF(C114="Samstag","",IF(C114="Sonntag","",Übersicht!$C$8)))</f>
        <v>Feiertag</v>
      </c>
    </row>
    <row r="115" spans="1:4" x14ac:dyDescent="0.25">
      <c r="A115" t="s">
        <v>67</v>
      </c>
      <c r="B115" s="48">
        <v>41377</v>
      </c>
      <c r="C115" t="s">
        <v>45</v>
      </c>
      <c r="D115" t="str">
        <f>IF(COUNTIFS(Verweise!$A$2:$A$4542,Übersicht!$C$7,Verweise!$B$2:$B$4542,B115)=1,"Feiertag",IF(C115="Samstag","",IF(C115="Sonntag","",Übersicht!$C$8)))</f>
        <v>Feiertag</v>
      </c>
    </row>
    <row r="116" spans="1:4" x14ac:dyDescent="0.25">
      <c r="A116" t="s">
        <v>67</v>
      </c>
      <c r="B116" s="48">
        <v>41379</v>
      </c>
      <c r="C116" t="s">
        <v>46</v>
      </c>
      <c r="D116" t="str">
        <f>IF(COUNTIFS(Verweise!$A$2:$A$4542,Übersicht!$C$7,Verweise!$B$2:$B$4542,B116)=1,"Feiertag",IF(C116="Samstag","",IF(C116="Sonntag","",Übersicht!$C$8)))</f>
        <v>Feiertag</v>
      </c>
    </row>
    <row r="117" spans="1:4" x14ac:dyDescent="0.25">
      <c r="A117" t="s">
        <v>67</v>
      </c>
      <c r="B117" s="48">
        <v>41380</v>
      </c>
      <c r="C117" t="s">
        <v>47</v>
      </c>
      <c r="D117" t="str">
        <f>IF(COUNTIFS(Verweise!$A$2:$A$4542,Übersicht!$C$7,Verweise!$B$2:$B$4542,B117)=1,"Feiertag",IF(C117="Samstag","",IF(C117="Sonntag","",Übersicht!$C$8)))</f>
        <v>Feiertag</v>
      </c>
    </row>
    <row r="118" spans="1:4" x14ac:dyDescent="0.25">
      <c r="A118" t="s">
        <v>67</v>
      </c>
      <c r="B118" s="48">
        <v>41394</v>
      </c>
      <c r="C118" t="s">
        <v>48</v>
      </c>
      <c r="D118" t="str">
        <f>IF(COUNTIFS(Verweise!$A$2:$A$4542,Übersicht!$C$7,Verweise!$B$2:$B$4542,B118)=1,"Feiertag",IF(C118="Samstag","",IF(C118="Sonntag","",Übersicht!$C$8)))</f>
        <v>Feiertag</v>
      </c>
    </row>
    <row r="119" spans="1:4" x14ac:dyDescent="0.25">
      <c r="A119" t="s">
        <v>67</v>
      </c>
      <c r="B119" s="48">
        <v>41418</v>
      </c>
      <c r="C119" t="s">
        <v>49</v>
      </c>
      <c r="D119" t="str">
        <f>IF(COUNTIFS(Verweise!$A$2:$A$4542,Übersicht!$C$7,Verweise!$B$2:$B$4542,B119)=1,"Feiertag",IF(C119="Samstag","",IF(C119="Sonntag","",Übersicht!$C$8)))</f>
        <v>Feiertag</v>
      </c>
    </row>
    <row r="120" spans="1:4" x14ac:dyDescent="0.25">
      <c r="A120" t="s">
        <v>67</v>
      </c>
      <c r="B120" s="48">
        <v>41428</v>
      </c>
      <c r="C120" t="s">
        <v>50</v>
      </c>
      <c r="D120" t="str">
        <f>IF(COUNTIFS(Verweise!$A$2:$A$4542,Übersicht!$C$7,Verweise!$B$2:$B$4542,B120)=1,"Feiertag",IF(C120="Samstag","",IF(C120="Sonntag","",Übersicht!$C$8)))</f>
        <v>Feiertag</v>
      </c>
    </row>
    <row r="121" spans="1:4" x14ac:dyDescent="0.25">
      <c r="A121" t="s">
        <v>67</v>
      </c>
      <c r="B121" s="48">
        <v>41429</v>
      </c>
      <c r="C121" t="s">
        <v>51</v>
      </c>
      <c r="D121" t="str">
        <f>IF(COUNTIFS(Verweise!$A$2:$A$4542,Übersicht!$C$7,Verweise!$B$2:$B$4542,B121)=1,"Feiertag",IF(C121="Samstag","",IF(C121="Sonntag","",Übersicht!$C$8)))</f>
        <v>Feiertag</v>
      </c>
    </row>
    <row r="122" spans="1:4" x14ac:dyDescent="0.25">
      <c r="A122" t="s">
        <v>67</v>
      </c>
      <c r="B122" s="48">
        <v>41549</v>
      </c>
      <c r="C122" t="s">
        <v>53</v>
      </c>
      <c r="D122" t="str">
        <f>IF(COUNTIFS(Verweise!$A$2:$A$4542,Übersicht!$C$7,Verweise!$B$2:$B$4542,B122)=1,"Feiertag",IF(C122="Samstag","",IF(C122="Sonntag","",Übersicht!$C$8)))</f>
        <v>Feiertag</v>
      </c>
    </row>
    <row r="123" spans="1:4" x14ac:dyDescent="0.25">
      <c r="A123" t="s">
        <v>67</v>
      </c>
      <c r="B123" s="48">
        <v>41632</v>
      </c>
      <c r="C123" t="s">
        <v>55</v>
      </c>
      <c r="D123" t="str">
        <f>IF(COUNTIFS(Verweise!$A$2:$A$4542,Übersicht!$C$7,Verweise!$B$2:$B$4542,B123)=1,"Feiertag",IF(C123="Samstag","",IF(C123="Sonntag","",Übersicht!$C$8)))</f>
        <v>Feiertag</v>
      </c>
    </row>
    <row r="124" spans="1:4" x14ac:dyDescent="0.25">
      <c r="A124" t="s">
        <v>67</v>
      </c>
      <c r="B124" s="48">
        <v>41633</v>
      </c>
      <c r="C124" t="s">
        <v>56</v>
      </c>
      <c r="D124" t="str">
        <f>IF(COUNTIFS(Verweise!$A$2:$A$4542,Übersicht!$C$7,Verweise!$B$2:$B$4542,B124)=1,"Feiertag",IF(C124="Samstag","",IF(C124="Sonntag","",Übersicht!$C$8)))</f>
        <v>Feiertag</v>
      </c>
    </row>
    <row r="125" spans="1:4" x14ac:dyDescent="0.25">
      <c r="A125" t="s">
        <v>68</v>
      </c>
      <c r="B125" s="48">
        <v>41274</v>
      </c>
      <c r="C125" t="s">
        <v>43</v>
      </c>
      <c r="D125" t="str">
        <f>IF(COUNTIFS(Verweise!$A$2:$A$4542,Übersicht!$C$7,Verweise!$B$2:$B$4542,B125)=1,"Feiertag",IF(C125="Samstag","",IF(C125="Sonntag","",Übersicht!$C$8)))</f>
        <v>Feiertag</v>
      </c>
    </row>
    <row r="126" spans="1:4" x14ac:dyDescent="0.25">
      <c r="A126" t="s">
        <v>68</v>
      </c>
      <c r="B126" s="48">
        <v>41377</v>
      </c>
      <c r="C126" t="s">
        <v>45</v>
      </c>
      <c r="D126" t="str">
        <f>IF(COUNTIFS(Verweise!$A$2:$A$4542,Übersicht!$C$7,Verweise!$B$2:$B$4542,B126)=1,"Feiertag",IF(C126="Samstag","",IF(C126="Sonntag","",Übersicht!$C$8)))</f>
        <v>Feiertag</v>
      </c>
    </row>
    <row r="127" spans="1:4" x14ac:dyDescent="0.25">
      <c r="A127" t="s">
        <v>68</v>
      </c>
      <c r="B127" s="48">
        <v>41379</v>
      </c>
      <c r="C127" t="s">
        <v>46</v>
      </c>
      <c r="D127" t="str">
        <f>IF(COUNTIFS(Verweise!$A$2:$A$4542,Übersicht!$C$7,Verweise!$B$2:$B$4542,B127)=1,"Feiertag",IF(C127="Samstag","",IF(C127="Sonntag","",Übersicht!$C$8)))</f>
        <v>Feiertag</v>
      </c>
    </row>
    <row r="128" spans="1:4" x14ac:dyDescent="0.25">
      <c r="A128" t="s">
        <v>68</v>
      </c>
      <c r="B128" s="48">
        <v>41380</v>
      </c>
      <c r="C128" t="s">
        <v>47</v>
      </c>
      <c r="D128" t="str">
        <f>IF(COUNTIFS(Verweise!$A$2:$A$4542,Übersicht!$C$7,Verweise!$B$2:$B$4542,B128)=1,"Feiertag",IF(C128="Samstag","",IF(C128="Sonntag","",Übersicht!$C$8)))</f>
        <v>Feiertag</v>
      </c>
    </row>
    <row r="129" spans="1:4" x14ac:dyDescent="0.25">
      <c r="A129" t="s">
        <v>68</v>
      </c>
      <c r="B129" s="48">
        <v>41394</v>
      </c>
      <c r="C129" t="s">
        <v>48</v>
      </c>
      <c r="D129" t="str">
        <f>IF(COUNTIFS(Verweise!$A$2:$A$4542,Übersicht!$C$7,Verweise!$B$2:$B$4542,B129)=1,"Feiertag",IF(C129="Samstag","",IF(C129="Sonntag","",Übersicht!$C$8)))</f>
        <v>Feiertag</v>
      </c>
    </row>
    <row r="130" spans="1:4" x14ac:dyDescent="0.25">
      <c r="A130" t="s">
        <v>68</v>
      </c>
      <c r="B130" s="48">
        <v>41418</v>
      </c>
      <c r="C130" t="s">
        <v>49</v>
      </c>
      <c r="D130" t="str">
        <f>IF(COUNTIFS(Verweise!$A$2:$A$4542,Übersicht!$C$7,Verweise!$B$2:$B$4542,B130)=1,"Feiertag",IF(C130="Samstag","",IF(C130="Sonntag","",Übersicht!$C$8)))</f>
        <v>Feiertag</v>
      </c>
    </row>
    <row r="131" spans="1:4" x14ac:dyDescent="0.25">
      <c r="A131" t="s">
        <v>68</v>
      </c>
      <c r="B131" s="48">
        <v>41428</v>
      </c>
      <c r="C131" t="s">
        <v>50</v>
      </c>
      <c r="D131" t="str">
        <f>IF(COUNTIFS(Verweise!$A$2:$A$4542,Übersicht!$C$7,Verweise!$B$2:$B$4542,B131)=1,"Feiertag",IF(C131="Samstag","",IF(C131="Sonntag","",Übersicht!$C$8)))</f>
        <v>Feiertag</v>
      </c>
    </row>
    <row r="132" spans="1:4" x14ac:dyDescent="0.25">
      <c r="A132" t="s">
        <v>68</v>
      </c>
      <c r="B132" s="48">
        <v>41429</v>
      </c>
      <c r="C132" t="s">
        <v>51</v>
      </c>
      <c r="D132" t="str">
        <f>IF(COUNTIFS(Verweise!$A$2:$A$4542,Übersicht!$C$7,Verweise!$B$2:$B$4542,B132)=1,"Feiertag",IF(C132="Samstag","",IF(C132="Sonntag","",Übersicht!$C$8)))</f>
        <v>Feiertag</v>
      </c>
    </row>
    <row r="133" spans="1:4" x14ac:dyDescent="0.25">
      <c r="A133" t="s">
        <v>68</v>
      </c>
      <c r="B133" s="48">
        <v>41439</v>
      </c>
      <c r="C133" t="s">
        <v>52</v>
      </c>
      <c r="D133" t="str">
        <f>IF(COUNTIFS(Verweise!$A$2:$A$4542,Übersicht!$C$7,Verweise!$B$2:$B$4542,B133)=1,"Feiertag",IF(C133="Samstag","",IF(C133="Sonntag","",Übersicht!$C$8)))</f>
        <v>Feiertag</v>
      </c>
    </row>
    <row r="134" spans="1:4" x14ac:dyDescent="0.25">
      <c r="A134" t="s">
        <v>68</v>
      </c>
      <c r="B134" s="48">
        <v>41549</v>
      </c>
      <c r="C134" t="s">
        <v>53</v>
      </c>
      <c r="D134" t="str">
        <f>IF(COUNTIFS(Verweise!$A$2:$A$4542,Übersicht!$C$7,Verweise!$B$2:$B$4542,B134)=1,"Feiertag",IF(C134="Samstag","",IF(C134="Sonntag","",Übersicht!$C$8)))</f>
        <v>Feiertag</v>
      </c>
    </row>
    <row r="135" spans="1:4" x14ac:dyDescent="0.25">
      <c r="A135" t="s">
        <v>68</v>
      </c>
      <c r="B135" s="48">
        <v>41578</v>
      </c>
      <c r="C135" t="s">
        <v>54</v>
      </c>
      <c r="D135" t="str">
        <f>IF(COUNTIFS(Verweise!$A$2:$A$4542,Übersicht!$C$7,Verweise!$B$2:$B$4542,B135)=1,"Feiertag",IF(C135="Samstag","",IF(C135="Sonntag","",Übersicht!$C$8)))</f>
        <v>Feiertag</v>
      </c>
    </row>
    <row r="136" spans="1:4" x14ac:dyDescent="0.25">
      <c r="A136" t="s">
        <v>68</v>
      </c>
      <c r="B136" s="48">
        <v>41632</v>
      </c>
      <c r="C136" t="s">
        <v>55</v>
      </c>
      <c r="D136" t="str">
        <f>IF(COUNTIFS(Verweise!$A$2:$A$4542,Übersicht!$C$7,Verweise!$B$2:$B$4542,B136)=1,"Feiertag",IF(C136="Samstag","",IF(C136="Sonntag","",Übersicht!$C$8)))</f>
        <v>Feiertag</v>
      </c>
    </row>
    <row r="137" spans="1:4" x14ac:dyDescent="0.25">
      <c r="A137" t="s">
        <v>68</v>
      </c>
      <c r="B137" s="48">
        <v>41633</v>
      </c>
      <c r="C137" t="s">
        <v>56</v>
      </c>
      <c r="D137" t="str">
        <f>IF(COUNTIFS(Verweise!$A$2:$A$4542,Übersicht!$C$7,Verweise!$B$2:$B$4542,B137)=1,"Feiertag",IF(C137="Samstag","",IF(C137="Sonntag","",Übersicht!$C$8)))</f>
        <v>Feiertag</v>
      </c>
    </row>
    <row r="138" spans="1:4" x14ac:dyDescent="0.25">
      <c r="A138" t="s">
        <v>69</v>
      </c>
      <c r="B138" s="48">
        <v>41274</v>
      </c>
      <c r="C138" t="s">
        <v>43</v>
      </c>
      <c r="D138" t="str">
        <f>IF(COUNTIFS(Verweise!$A$2:$A$4542,Übersicht!$C$7,Verweise!$B$2:$B$4542,B138)=1,"Feiertag",IF(C138="Samstag","",IF(C138="Sonntag","",Übersicht!$C$8)))</f>
        <v>Feiertag</v>
      </c>
    </row>
    <row r="139" spans="1:4" x14ac:dyDescent="0.25">
      <c r="A139" t="s">
        <v>69</v>
      </c>
      <c r="B139" s="48">
        <v>41377</v>
      </c>
      <c r="C139" t="s">
        <v>45</v>
      </c>
      <c r="D139" t="str">
        <f>IF(COUNTIFS(Verweise!$A$2:$A$4542,Übersicht!$C$7,Verweise!$B$2:$B$4542,B139)=1,"Feiertag",IF(C139="Samstag","",IF(C139="Sonntag","",Übersicht!$C$8)))</f>
        <v>Feiertag</v>
      </c>
    </row>
    <row r="140" spans="1:4" x14ac:dyDescent="0.25">
      <c r="A140" t="s">
        <v>69</v>
      </c>
      <c r="B140" s="48">
        <v>41379</v>
      </c>
      <c r="C140" t="s">
        <v>46</v>
      </c>
      <c r="D140" t="str">
        <f>IF(COUNTIFS(Verweise!$A$2:$A$4542,Übersicht!$C$7,Verweise!$B$2:$B$4542,B140)=1,"Feiertag",IF(C140="Samstag","",IF(C140="Sonntag","",Übersicht!$C$8)))</f>
        <v>Feiertag</v>
      </c>
    </row>
    <row r="141" spans="1:4" x14ac:dyDescent="0.25">
      <c r="A141" t="s">
        <v>69</v>
      </c>
      <c r="B141" s="48">
        <v>41380</v>
      </c>
      <c r="C141" t="s">
        <v>47</v>
      </c>
      <c r="D141" t="str">
        <f>IF(COUNTIFS(Verweise!$A$2:$A$4542,Übersicht!$C$7,Verweise!$B$2:$B$4542,B141)=1,"Feiertag",IF(C141="Samstag","",IF(C141="Sonntag","",Übersicht!$C$8)))</f>
        <v>Feiertag</v>
      </c>
    </row>
    <row r="142" spans="1:4" x14ac:dyDescent="0.25">
      <c r="A142" t="s">
        <v>69</v>
      </c>
      <c r="B142" s="48">
        <v>41394</v>
      </c>
      <c r="C142" t="s">
        <v>48</v>
      </c>
      <c r="D142" t="str">
        <f>IF(COUNTIFS(Verweise!$A$2:$A$4542,Übersicht!$C$7,Verweise!$B$2:$B$4542,B142)=1,"Feiertag",IF(C142="Samstag","",IF(C142="Sonntag","",Übersicht!$C$8)))</f>
        <v>Feiertag</v>
      </c>
    </row>
    <row r="143" spans="1:4" x14ac:dyDescent="0.25">
      <c r="A143" t="s">
        <v>69</v>
      </c>
      <c r="B143" s="48">
        <v>41418</v>
      </c>
      <c r="C143" t="s">
        <v>49</v>
      </c>
      <c r="D143" t="str">
        <f>IF(COUNTIFS(Verweise!$A$2:$A$4542,Übersicht!$C$7,Verweise!$B$2:$B$4542,B143)=1,"Feiertag",IF(C143="Samstag","",IF(C143="Sonntag","",Übersicht!$C$8)))</f>
        <v>Feiertag</v>
      </c>
    </row>
    <row r="144" spans="1:4" x14ac:dyDescent="0.25">
      <c r="A144" t="s">
        <v>69</v>
      </c>
      <c r="B144" s="48">
        <v>41428</v>
      </c>
      <c r="C144" t="s">
        <v>50</v>
      </c>
      <c r="D144" t="str">
        <f>IF(COUNTIFS(Verweise!$A$2:$A$4542,Übersicht!$C$7,Verweise!$B$2:$B$4542,B144)=1,"Feiertag",IF(C144="Samstag","",IF(C144="Sonntag","",Übersicht!$C$8)))</f>
        <v>Feiertag</v>
      </c>
    </row>
    <row r="145" spans="1:4" x14ac:dyDescent="0.25">
      <c r="A145" t="s">
        <v>69</v>
      </c>
      <c r="B145" s="48">
        <v>41429</v>
      </c>
      <c r="C145" t="s">
        <v>51</v>
      </c>
      <c r="D145" t="str">
        <f>IF(COUNTIFS(Verweise!$A$2:$A$4542,Übersicht!$C$7,Verweise!$B$2:$B$4542,B145)=1,"Feiertag",IF(C145="Samstag","",IF(C145="Sonntag","",Übersicht!$C$8)))</f>
        <v>Feiertag</v>
      </c>
    </row>
    <row r="146" spans="1:4" x14ac:dyDescent="0.25">
      <c r="A146" t="s">
        <v>69</v>
      </c>
      <c r="B146" s="48">
        <v>41439</v>
      </c>
      <c r="C146" t="s">
        <v>52</v>
      </c>
      <c r="D146" t="str">
        <f>IF(COUNTIFS(Verweise!$A$2:$A$4542,Übersicht!$C$7,Verweise!$B$2:$B$4542,B146)=1,"Feiertag",IF(C146="Samstag","",IF(C146="Sonntag","",Übersicht!$C$8)))</f>
        <v>Feiertag</v>
      </c>
    </row>
    <row r="147" spans="1:4" x14ac:dyDescent="0.25">
      <c r="A147" t="s">
        <v>69</v>
      </c>
      <c r="B147" s="48">
        <v>41549</v>
      </c>
      <c r="C147" t="s">
        <v>53</v>
      </c>
      <c r="D147" t="str">
        <f>IF(COUNTIFS(Verweise!$A$2:$A$4542,Übersicht!$C$7,Verweise!$B$2:$B$4542,B147)=1,"Feiertag",IF(C147="Samstag","",IF(C147="Sonntag","",Übersicht!$C$8)))</f>
        <v>Feiertag</v>
      </c>
    </row>
    <row r="148" spans="1:4" x14ac:dyDescent="0.25">
      <c r="A148" t="s">
        <v>69</v>
      </c>
      <c r="B148" s="48">
        <v>41578</v>
      </c>
      <c r="C148" t="s">
        <v>54</v>
      </c>
      <c r="D148" t="str">
        <f>IF(COUNTIFS(Verweise!$A$2:$A$4542,Übersicht!$C$7,Verweise!$B$2:$B$4542,B148)=1,"Feiertag",IF(C148="Samstag","",IF(C148="Sonntag","",Übersicht!$C$8)))</f>
        <v>Feiertag</v>
      </c>
    </row>
    <row r="149" spans="1:4" x14ac:dyDescent="0.25">
      <c r="A149" t="s">
        <v>69</v>
      </c>
      <c r="B149" s="48">
        <v>41632</v>
      </c>
      <c r="C149" t="s">
        <v>55</v>
      </c>
      <c r="D149" t="str">
        <f>IF(COUNTIFS(Verweise!$A$2:$A$4542,Übersicht!$C$7,Verweise!$B$2:$B$4542,B149)=1,"Feiertag",IF(C149="Samstag","",IF(C149="Sonntag","",Übersicht!$C$8)))</f>
        <v>Feiertag</v>
      </c>
    </row>
    <row r="150" spans="1:4" x14ac:dyDescent="0.25">
      <c r="A150" t="s">
        <v>69</v>
      </c>
      <c r="B150" s="48">
        <v>41633</v>
      </c>
      <c r="C150" t="s">
        <v>56</v>
      </c>
      <c r="D150" t="str">
        <f>IF(COUNTIFS(Verweise!$A$2:$A$4542,Übersicht!$C$7,Verweise!$B$2:$B$4542,B150)=1,"Feiertag",IF(C150="Samstag","",IF(C150="Sonntag","",Übersicht!$C$8)))</f>
        <v>Feiertag</v>
      </c>
    </row>
    <row r="151" spans="1:4" x14ac:dyDescent="0.25">
      <c r="A151" t="s">
        <v>70</v>
      </c>
      <c r="B151" s="48">
        <v>41274</v>
      </c>
      <c r="C151" t="s">
        <v>43</v>
      </c>
      <c r="D151" t="str">
        <f>IF(COUNTIFS(Verweise!$A$2:$A$4542,Übersicht!$C$7,Verweise!$B$2:$B$4542,B151)=1,"Feiertag",IF(C151="Samstag","",IF(C151="Sonntag","",Übersicht!$C$8)))</f>
        <v>Feiertag</v>
      </c>
    </row>
    <row r="152" spans="1:4" x14ac:dyDescent="0.25">
      <c r="A152" t="s">
        <v>70</v>
      </c>
      <c r="B152" s="48">
        <v>41377</v>
      </c>
      <c r="C152" t="s">
        <v>45</v>
      </c>
      <c r="D152" t="str">
        <f>IF(COUNTIFS(Verweise!$A$2:$A$4542,Übersicht!$C$7,Verweise!$B$2:$B$4542,B152)=1,"Feiertag",IF(C152="Samstag","",IF(C152="Sonntag","",Übersicht!$C$8)))</f>
        <v>Feiertag</v>
      </c>
    </row>
    <row r="153" spans="1:4" x14ac:dyDescent="0.25">
      <c r="A153" t="s">
        <v>70</v>
      </c>
      <c r="B153" s="48">
        <v>41379</v>
      </c>
      <c r="C153" t="s">
        <v>46</v>
      </c>
      <c r="D153" t="str">
        <f>IF(COUNTIFS(Verweise!$A$2:$A$4542,Übersicht!$C$7,Verweise!$B$2:$B$4542,B153)=1,"Feiertag",IF(C153="Samstag","",IF(C153="Sonntag","",Übersicht!$C$8)))</f>
        <v>Feiertag</v>
      </c>
    </row>
    <row r="154" spans="1:4" x14ac:dyDescent="0.25">
      <c r="A154" t="s">
        <v>70</v>
      </c>
      <c r="B154" s="48">
        <v>41380</v>
      </c>
      <c r="C154" t="s">
        <v>47</v>
      </c>
      <c r="D154" t="str">
        <f>IF(COUNTIFS(Verweise!$A$2:$A$4542,Übersicht!$C$7,Verweise!$B$2:$B$4542,B154)=1,"Feiertag",IF(C154="Samstag","",IF(C154="Sonntag","",Übersicht!$C$8)))</f>
        <v>Feiertag</v>
      </c>
    </row>
    <row r="155" spans="1:4" x14ac:dyDescent="0.25">
      <c r="A155" t="s">
        <v>70</v>
      </c>
      <c r="B155" s="48">
        <v>41394</v>
      </c>
      <c r="C155" t="s">
        <v>48</v>
      </c>
      <c r="D155" t="str">
        <f>IF(COUNTIFS(Verweise!$A$2:$A$4542,Übersicht!$C$7,Verweise!$B$2:$B$4542,B155)=1,"Feiertag",IF(C155="Samstag","",IF(C155="Sonntag","",Übersicht!$C$8)))</f>
        <v>Feiertag</v>
      </c>
    </row>
    <row r="156" spans="1:4" x14ac:dyDescent="0.25">
      <c r="A156" t="s">
        <v>70</v>
      </c>
      <c r="B156" s="48">
        <v>41418</v>
      </c>
      <c r="C156" t="s">
        <v>49</v>
      </c>
      <c r="D156" t="str">
        <f>IF(COUNTIFS(Verweise!$A$2:$A$4542,Übersicht!$C$7,Verweise!$B$2:$B$4542,B156)=1,"Feiertag",IF(C156="Samstag","",IF(C156="Sonntag","",Übersicht!$C$8)))</f>
        <v>Feiertag</v>
      </c>
    </row>
    <row r="157" spans="1:4" x14ac:dyDescent="0.25">
      <c r="A157" t="s">
        <v>70</v>
      </c>
      <c r="B157" s="48">
        <v>41428</v>
      </c>
      <c r="C157" t="s">
        <v>50</v>
      </c>
      <c r="D157" t="str">
        <f>IF(COUNTIFS(Verweise!$A$2:$A$4542,Übersicht!$C$7,Verweise!$B$2:$B$4542,B157)=1,"Feiertag",IF(C157="Samstag","",IF(C157="Sonntag","",Übersicht!$C$8)))</f>
        <v>Feiertag</v>
      </c>
    </row>
    <row r="158" spans="1:4" x14ac:dyDescent="0.25">
      <c r="A158" t="s">
        <v>70</v>
      </c>
      <c r="B158" s="48">
        <v>41429</v>
      </c>
      <c r="C158" t="s">
        <v>51</v>
      </c>
      <c r="D158" t="str">
        <f>IF(COUNTIFS(Verweise!$A$2:$A$4542,Übersicht!$C$7,Verweise!$B$2:$B$4542,B158)=1,"Feiertag",IF(C158="Samstag","",IF(C158="Sonntag","",Übersicht!$C$8)))</f>
        <v>Feiertag</v>
      </c>
    </row>
    <row r="159" spans="1:4" x14ac:dyDescent="0.25">
      <c r="A159" t="s">
        <v>70</v>
      </c>
      <c r="B159" s="48">
        <v>41439</v>
      </c>
      <c r="C159" t="s">
        <v>52</v>
      </c>
      <c r="D159" t="str">
        <f>IF(COUNTIFS(Verweise!$A$2:$A$4542,Übersicht!$C$7,Verweise!$B$2:$B$4542,B159)=1,"Feiertag",IF(C159="Samstag","",IF(C159="Sonntag","",Übersicht!$C$8)))</f>
        <v>Feiertag</v>
      </c>
    </row>
    <row r="160" spans="1:4" x14ac:dyDescent="0.25">
      <c r="A160" t="s">
        <v>70</v>
      </c>
      <c r="B160" s="48">
        <v>41500</v>
      </c>
      <c r="C160" t="s">
        <v>59</v>
      </c>
      <c r="D160" t="str">
        <f>IF(COUNTIFS(Verweise!$A$2:$A$4542,Übersicht!$C$7,Verweise!$B$2:$B$4542,B160)=1,"Feiertag",IF(C160="Samstag","",IF(C160="Sonntag","",Übersicht!$C$8)))</f>
        <v>Büro</v>
      </c>
    </row>
    <row r="161" spans="1:4" x14ac:dyDescent="0.25">
      <c r="A161" t="s">
        <v>70</v>
      </c>
      <c r="B161" s="48">
        <v>41549</v>
      </c>
      <c r="C161" t="s">
        <v>53</v>
      </c>
      <c r="D161" t="str">
        <f>IF(COUNTIFS(Verweise!$A$2:$A$4542,Übersicht!$C$7,Verweise!$B$2:$B$4542,B161)=1,"Feiertag",IF(C161="Samstag","",IF(C161="Sonntag","",Übersicht!$C$8)))</f>
        <v>Feiertag</v>
      </c>
    </row>
    <row r="162" spans="1:4" x14ac:dyDescent="0.25">
      <c r="A162" t="s">
        <v>70</v>
      </c>
      <c r="B162" s="48">
        <v>41578</v>
      </c>
      <c r="C162" t="s">
        <v>54</v>
      </c>
      <c r="D162" t="str">
        <f>IF(COUNTIFS(Verweise!$A$2:$A$4542,Übersicht!$C$7,Verweise!$B$2:$B$4542,B162)=1,"Feiertag",IF(C162="Samstag","",IF(C162="Sonntag","",Übersicht!$C$8)))</f>
        <v>Feiertag</v>
      </c>
    </row>
    <row r="163" spans="1:4" x14ac:dyDescent="0.25">
      <c r="A163" t="s">
        <v>70</v>
      </c>
      <c r="B163" s="48">
        <v>41632</v>
      </c>
      <c r="C163" t="s">
        <v>55</v>
      </c>
      <c r="D163" t="str">
        <f>IF(COUNTIFS(Verweise!$A$2:$A$4542,Übersicht!$C$7,Verweise!$B$2:$B$4542,B163)=1,"Feiertag",IF(C163="Samstag","",IF(C163="Sonntag","",Übersicht!$C$8)))</f>
        <v>Feiertag</v>
      </c>
    </row>
    <row r="164" spans="1:4" x14ac:dyDescent="0.25">
      <c r="A164" t="s">
        <v>70</v>
      </c>
      <c r="B164" s="48">
        <v>41633</v>
      </c>
      <c r="C164" t="s">
        <v>56</v>
      </c>
      <c r="D164" t="str">
        <f>IF(COUNTIFS(Verweise!$A$2:$A$4542,Übersicht!$C$7,Verweise!$B$2:$B$4542,B164)=1,"Feiertag",IF(C164="Samstag","",IF(C164="Sonntag","",Übersicht!$C$8)))</f>
        <v>Feiertag</v>
      </c>
    </row>
    <row r="165" spans="1:4" x14ac:dyDescent="0.25">
      <c r="A165" t="s">
        <v>71</v>
      </c>
      <c r="B165" s="48">
        <v>41274</v>
      </c>
      <c r="C165" t="s">
        <v>43</v>
      </c>
      <c r="D165" t="str">
        <f>IF(COUNTIFS(Verweise!$A$2:$A$4542,Übersicht!$C$7,Verweise!$B$2:$B$4542,B165)=1,"Feiertag",IF(C165="Samstag","",IF(C165="Sonntag","",Übersicht!$C$8)))</f>
        <v>Feiertag</v>
      </c>
    </row>
    <row r="166" spans="1:4" x14ac:dyDescent="0.25">
      <c r="A166" t="s">
        <v>71</v>
      </c>
      <c r="B166" s="48">
        <v>41377</v>
      </c>
      <c r="C166" t="s">
        <v>45</v>
      </c>
      <c r="D166" t="str">
        <f>IF(COUNTIFS(Verweise!$A$2:$A$4542,Übersicht!$C$7,Verweise!$B$2:$B$4542,B166)=1,"Feiertag",IF(C166="Samstag","",IF(C166="Sonntag","",Übersicht!$C$8)))</f>
        <v>Feiertag</v>
      </c>
    </row>
    <row r="167" spans="1:4" x14ac:dyDescent="0.25">
      <c r="A167" t="s">
        <v>71</v>
      </c>
      <c r="B167" s="48">
        <v>41379</v>
      </c>
      <c r="C167" t="s">
        <v>46</v>
      </c>
      <c r="D167" t="str">
        <f>IF(COUNTIFS(Verweise!$A$2:$A$4542,Übersicht!$C$7,Verweise!$B$2:$B$4542,B167)=1,"Feiertag",IF(C167="Samstag","",IF(C167="Sonntag","",Übersicht!$C$8)))</f>
        <v>Feiertag</v>
      </c>
    </row>
    <row r="168" spans="1:4" x14ac:dyDescent="0.25">
      <c r="A168" t="s">
        <v>71</v>
      </c>
      <c r="B168" s="48">
        <v>41380</v>
      </c>
      <c r="C168" t="s">
        <v>47</v>
      </c>
      <c r="D168" t="str">
        <f>IF(COUNTIFS(Verweise!$A$2:$A$4542,Übersicht!$C$7,Verweise!$B$2:$B$4542,B168)=1,"Feiertag",IF(C168="Samstag","",IF(C168="Sonntag","",Übersicht!$C$8)))</f>
        <v>Feiertag</v>
      </c>
    </row>
    <row r="169" spans="1:4" x14ac:dyDescent="0.25">
      <c r="A169" t="s">
        <v>71</v>
      </c>
      <c r="B169" s="48">
        <v>41394</v>
      </c>
      <c r="C169" t="s">
        <v>48</v>
      </c>
      <c r="D169" t="str">
        <f>IF(COUNTIFS(Verweise!$A$2:$A$4542,Übersicht!$C$7,Verweise!$B$2:$B$4542,B169)=1,"Feiertag",IF(C169="Samstag","",IF(C169="Sonntag","",Übersicht!$C$8)))</f>
        <v>Feiertag</v>
      </c>
    </row>
    <row r="170" spans="1:4" x14ac:dyDescent="0.25">
      <c r="A170" t="s">
        <v>71</v>
      </c>
      <c r="B170" s="48">
        <v>41418</v>
      </c>
      <c r="C170" t="s">
        <v>49</v>
      </c>
      <c r="D170" t="str">
        <f>IF(COUNTIFS(Verweise!$A$2:$A$4542,Übersicht!$C$7,Verweise!$B$2:$B$4542,B170)=1,"Feiertag",IF(C170="Samstag","",IF(C170="Sonntag","",Übersicht!$C$8)))</f>
        <v>Feiertag</v>
      </c>
    </row>
    <row r="171" spans="1:4" x14ac:dyDescent="0.25">
      <c r="A171" t="s">
        <v>71</v>
      </c>
      <c r="B171" s="48">
        <v>41428</v>
      </c>
      <c r="C171" t="s">
        <v>50</v>
      </c>
      <c r="D171" t="str">
        <f>IF(COUNTIFS(Verweise!$A$2:$A$4542,Übersicht!$C$7,Verweise!$B$2:$B$4542,B171)=1,"Feiertag",IF(C171="Samstag","",IF(C171="Sonntag","",Übersicht!$C$8)))</f>
        <v>Feiertag</v>
      </c>
    </row>
    <row r="172" spans="1:4" x14ac:dyDescent="0.25">
      <c r="A172" t="s">
        <v>71</v>
      </c>
      <c r="B172" s="48">
        <v>41429</v>
      </c>
      <c r="C172" t="s">
        <v>51</v>
      </c>
      <c r="D172" t="str">
        <f>IF(COUNTIFS(Verweise!$A$2:$A$4542,Übersicht!$C$7,Verweise!$B$2:$B$4542,B172)=1,"Feiertag",IF(C172="Samstag","",IF(C172="Sonntag","",Übersicht!$C$8)))</f>
        <v>Feiertag</v>
      </c>
    </row>
    <row r="173" spans="1:4" x14ac:dyDescent="0.25">
      <c r="A173" t="s">
        <v>71</v>
      </c>
      <c r="B173" s="48">
        <v>41549</v>
      </c>
      <c r="C173" t="s">
        <v>53</v>
      </c>
      <c r="D173" t="str">
        <f>IF(COUNTIFS(Verweise!$A$2:$A$4542,Übersicht!$C$7,Verweise!$B$2:$B$4542,B173)=1,"Feiertag",IF(C173="Samstag","",IF(C173="Sonntag","",Übersicht!$C$8)))</f>
        <v>Feiertag</v>
      </c>
    </row>
    <row r="174" spans="1:4" x14ac:dyDescent="0.25">
      <c r="A174" t="s">
        <v>71</v>
      </c>
      <c r="B174" s="48">
        <v>41577</v>
      </c>
      <c r="C174" t="s">
        <v>62</v>
      </c>
      <c r="D174" t="str">
        <f>IF(COUNTIFS(Verweise!$A$2:$A$4542,Übersicht!$C$7,Verweise!$B$2:$B$4542,B174)=1,"Feiertag",IF(C174="Samstag","",IF(C174="Sonntag","",Übersicht!$C$8)))</f>
        <v>Büro</v>
      </c>
    </row>
    <row r="175" spans="1:4" x14ac:dyDescent="0.25">
      <c r="A175" t="s">
        <v>71</v>
      </c>
      <c r="B175" s="48">
        <v>41599</v>
      </c>
      <c r="C175" t="s">
        <v>72</v>
      </c>
      <c r="D175" t="str">
        <f>IF(COUNTIFS(Verweise!$A$2:$A$4542,Übersicht!$C$7,Verweise!$B$2:$B$4542,B175)=1,"Feiertag",IF(C175="Samstag","",IF(C175="Sonntag","",Übersicht!$C$8)))</f>
        <v>Büro</v>
      </c>
    </row>
    <row r="176" spans="1:4" x14ac:dyDescent="0.25">
      <c r="A176" t="s">
        <v>71</v>
      </c>
      <c r="B176" s="48">
        <v>41632</v>
      </c>
      <c r="C176" t="s">
        <v>55</v>
      </c>
      <c r="D176" t="str">
        <f>IF(COUNTIFS(Verweise!$A$2:$A$4542,Übersicht!$C$7,Verweise!$B$2:$B$4542,B176)=1,"Feiertag",IF(C176="Samstag","",IF(C176="Sonntag","",Übersicht!$C$8)))</f>
        <v>Feiertag</v>
      </c>
    </row>
    <row r="177" spans="1:4" x14ac:dyDescent="0.25">
      <c r="A177" t="s">
        <v>71</v>
      </c>
      <c r="B177" s="48">
        <v>41633</v>
      </c>
      <c r="C177" t="s">
        <v>56</v>
      </c>
      <c r="D177" t="str">
        <f>IF(COUNTIFS(Verweise!$A$2:$A$4542,Übersicht!$C$7,Verweise!$B$2:$B$4542,B177)=1,"Feiertag",IF(C177="Samstag","",IF(C177="Sonntag","",Übersicht!$C$8)))</f>
        <v>Feiertag</v>
      </c>
    </row>
    <row r="178" spans="1:4" x14ac:dyDescent="0.25">
      <c r="A178" t="s">
        <v>73</v>
      </c>
      <c r="B178" s="48">
        <v>41274</v>
      </c>
      <c r="C178" t="s">
        <v>43</v>
      </c>
      <c r="D178" t="str">
        <f>IF(COUNTIFS(Verweise!$A$2:$A$4542,Übersicht!$C$7,Verweise!$B$2:$B$4542,B178)=1,"Feiertag",IF(C178="Samstag","",IF(C178="Sonntag","",Übersicht!$C$8)))</f>
        <v>Feiertag</v>
      </c>
    </row>
    <row r="179" spans="1:4" x14ac:dyDescent="0.25">
      <c r="A179" t="s">
        <v>73</v>
      </c>
      <c r="B179" s="48">
        <v>41377</v>
      </c>
      <c r="C179" t="s">
        <v>45</v>
      </c>
      <c r="D179" t="str">
        <f>IF(COUNTIFS(Verweise!$A$2:$A$4542,Übersicht!$C$7,Verweise!$B$2:$B$4542,B179)=1,"Feiertag",IF(C179="Samstag","",IF(C179="Sonntag","",Übersicht!$C$8)))</f>
        <v>Feiertag</v>
      </c>
    </row>
    <row r="180" spans="1:4" x14ac:dyDescent="0.25">
      <c r="A180" t="s">
        <v>73</v>
      </c>
      <c r="B180" s="48">
        <v>41379</v>
      </c>
      <c r="C180" t="s">
        <v>46</v>
      </c>
      <c r="D180" t="str">
        <f>IF(COUNTIFS(Verweise!$A$2:$A$4542,Übersicht!$C$7,Verweise!$B$2:$B$4542,B180)=1,"Feiertag",IF(C180="Samstag","",IF(C180="Sonntag","",Übersicht!$C$8)))</f>
        <v>Feiertag</v>
      </c>
    </row>
    <row r="181" spans="1:4" x14ac:dyDescent="0.25">
      <c r="A181" t="s">
        <v>73</v>
      </c>
      <c r="B181" s="48">
        <v>41380</v>
      </c>
      <c r="C181" t="s">
        <v>47</v>
      </c>
      <c r="D181" t="str">
        <f>IF(COUNTIFS(Verweise!$A$2:$A$4542,Übersicht!$C$7,Verweise!$B$2:$B$4542,B181)=1,"Feiertag",IF(C181="Samstag","",IF(C181="Sonntag","",Übersicht!$C$8)))</f>
        <v>Feiertag</v>
      </c>
    </row>
    <row r="182" spans="1:4" x14ac:dyDescent="0.25">
      <c r="A182" t="s">
        <v>73</v>
      </c>
      <c r="B182" s="48">
        <v>41394</v>
      </c>
      <c r="C182" t="s">
        <v>48</v>
      </c>
      <c r="D182" t="str">
        <f>IF(COUNTIFS(Verweise!$A$2:$A$4542,Übersicht!$C$7,Verweise!$B$2:$B$4542,B182)=1,"Feiertag",IF(C182="Samstag","",IF(C182="Sonntag","",Übersicht!$C$8)))</f>
        <v>Feiertag</v>
      </c>
    </row>
    <row r="183" spans="1:4" x14ac:dyDescent="0.25">
      <c r="A183" t="s">
        <v>73</v>
      </c>
      <c r="B183" s="48">
        <v>41418</v>
      </c>
      <c r="C183" t="s">
        <v>49</v>
      </c>
      <c r="D183" t="str">
        <f>IF(COUNTIFS(Verweise!$A$2:$A$4542,Übersicht!$C$7,Verweise!$B$2:$B$4542,B183)=1,"Feiertag",IF(C183="Samstag","",IF(C183="Sonntag","",Übersicht!$C$8)))</f>
        <v>Feiertag</v>
      </c>
    </row>
    <row r="184" spans="1:4" x14ac:dyDescent="0.25">
      <c r="A184" t="s">
        <v>73</v>
      </c>
      <c r="B184" s="48">
        <v>41428</v>
      </c>
      <c r="C184" t="s">
        <v>50</v>
      </c>
      <c r="D184" t="str">
        <f>IF(COUNTIFS(Verweise!$A$2:$A$4542,Übersicht!$C$7,Verweise!$B$2:$B$4542,B184)=1,"Feiertag",IF(C184="Samstag","",IF(C184="Sonntag","",Übersicht!$C$8)))</f>
        <v>Feiertag</v>
      </c>
    </row>
    <row r="185" spans="1:4" x14ac:dyDescent="0.25">
      <c r="A185" t="s">
        <v>73</v>
      </c>
      <c r="B185" s="48">
        <v>41429</v>
      </c>
      <c r="C185" t="s">
        <v>51</v>
      </c>
      <c r="D185" t="str">
        <f>IF(COUNTIFS(Verweise!$A$2:$A$4542,Übersicht!$C$7,Verweise!$B$2:$B$4542,B185)=1,"Feiertag",IF(C185="Samstag","",IF(C185="Sonntag","",Übersicht!$C$8)))</f>
        <v>Feiertag</v>
      </c>
    </row>
    <row r="186" spans="1:4" x14ac:dyDescent="0.25">
      <c r="A186" t="s">
        <v>73</v>
      </c>
      <c r="B186" s="48">
        <v>41439</v>
      </c>
      <c r="C186" t="s">
        <v>52</v>
      </c>
      <c r="D186" t="str">
        <f>IF(COUNTIFS(Verweise!$A$2:$A$4542,Übersicht!$C$7,Verweise!$B$2:$B$4542,B186)=1,"Feiertag",IF(C186="Samstag","",IF(C186="Sonntag","",Übersicht!$C$8)))</f>
        <v>Feiertag</v>
      </c>
    </row>
    <row r="187" spans="1:4" x14ac:dyDescent="0.25">
      <c r="A187" t="s">
        <v>73</v>
      </c>
      <c r="B187" s="48">
        <v>41549</v>
      </c>
      <c r="C187" t="s">
        <v>53</v>
      </c>
      <c r="D187" t="str">
        <f>IF(COUNTIFS(Verweise!$A$2:$A$4542,Übersicht!$C$7,Verweise!$B$2:$B$4542,B187)=1,"Feiertag",IF(C187="Samstag","",IF(C187="Sonntag","",Übersicht!$C$8)))</f>
        <v>Feiertag</v>
      </c>
    </row>
    <row r="188" spans="1:4" x14ac:dyDescent="0.25">
      <c r="A188" t="s">
        <v>73</v>
      </c>
      <c r="B188" s="48">
        <v>41577</v>
      </c>
      <c r="C188" t="s">
        <v>62</v>
      </c>
      <c r="D188" t="str">
        <f>IF(COUNTIFS(Verweise!$A$2:$A$4542,Übersicht!$C$7,Verweise!$B$2:$B$4542,B188)=1,"Feiertag",IF(C188="Samstag","",IF(C188="Sonntag","",Übersicht!$C$8)))</f>
        <v>Büro</v>
      </c>
    </row>
    <row r="189" spans="1:4" x14ac:dyDescent="0.25">
      <c r="A189" t="s">
        <v>73</v>
      </c>
      <c r="B189" s="48">
        <v>41599</v>
      </c>
      <c r="C189" t="s">
        <v>72</v>
      </c>
      <c r="D189" t="str">
        <f>IF(COUNTIFS(Verweise!$A$2:$A$4542,Übersicht!$C$7,Verweise!$B$2:$B$4542,B189)=1,"Feiertag",IF(C189="Samstag","",IF(C189="Sonntag","",Übersicht!$C$8)))</f>
        <v>Büro</v>
      </c>
    </row>
    <row r="190" spans="1:4" x14ac:dyDescent="0.25">
      <c r="A190" t="s">
        <v>73</v>
      </c>
      <c r="B190" s="48">
        <v>41632</v>
      </c>
      <c r="C190" t="s">
        <v>55</v>
      </c>
      <c r="D190" t="str">
        <f>IF(COUNTIFS(Verweise!$A$2:$A$4542,Übersicht!$C$7,Verweise!$B$2:$B$4542,B190)=1,"Feiertag",IF(C190="Samstag","",IF(C190="Sonntag","",Übersicht!$C$8)))</f>
        <v>Feiertag</v>
      </c>
    </row>
    <row r="191" spans="1:4" x14ac:dyDescent="0.25">
      <c r="A191" t="s">
        <v>73</v>
      </c>
      <c r="B191" s="48">
        <v>41633</v>
      </c>
      <c r="C191" t="s">
        <v>56</v>
      </c>
      <c r="D191" t="str">
        <f>IF(COUNTIFS(Verweise!$A$2:$A$4542,Übersicht!$C$7,Verweise!$B$2:$B$4542,B191)=1,"Feiertag",IF(C191="Samstag","",IF(C191="Sonntag","",Übersicht!$C$8)))</f>
        <v>Feiertag</v>
      </c>
    </row>
    <row r="192" spans="1:4" x14ac:dyDescent="0.25">
      <c r="A192" t="s">
        <v>74</v>
      </c>
      <c r="B192" s="48">
        <v>41274</v>
      </c>
      <c r="C192" t="s">
        <v>43</v>
      </c>
      <c r="D192" t="str">
        <f>IF(COUNTIFS(Verweise!$A$2:$A$4542,Übersicht!$C$7,Verweise!$B$2:$B$4542,B192)=1,"Feiertag",IF(C192="Samstag","",IF(C192="Sonntag","",Übersicht!$C$8)))</f>
        <v>Feiertag</v>
      </c>
    </row>
    <row r="193" spans="1:4" x14ac:dyDescent="0.25">
      <c r="A193" t="s">
        <v>74</v>
      </c>
      <c r="B193" s="48">
        <v>41279</v>
      </c>
      <c r="C193" t="s">
        <v>44</v>
      </c>
      <c r="D193" t="str">
        <f>IF(COUNTIFS(Verweise!$A$2:$A$4542,Übersicht!$C$7,Verweise!$B$2:$B$4542,B193)=1,"Feiertag",IF(C193="Samstag","",IF(C193="Sonntag","",Übersicht!$C$8)))</f>
        <v>Büro</v>
      </c>
    </row>
    <row r="194" spans="1:4" x14ac:dyDescent="0.25">
      <c r="A194" t="s">
        <v>74</v>
      </c>
      <c r="B194" s="48">
        <v>41377</v>
      </c>
      <c r="C194" t="s">
        <v>45</v>
      </c>
      <c r="D194" t="str">
        <f>IF(COUNTIFS(Verweise!$A$2:$A$4542,Übersicht!$C$7,Verweise!$B$2:$B$4542,B194)=1,"Feiertag",IF(C194="Samstag","",IF(C194="Sonntag","",Übersicht!$C$8)))</f>
        <v>Feiertag</v>
      </c>
    </row>
    <row r="195" spans="1:4" x14ac:dyDescent="0.25">
      <c r="A195" t="s">
        <v>74</v>
      </c>
      <c r="B195" s="48">
        <v>41379</v>
      </c>
      <c r="C195" t="s">
        <v>46</v>
      </c>
      <c r="D195" t="str">
        <f>IF(COUNTIFS(Verweise!$A$2:$A$4542,Übersicht!$C$7,Verweise!$B$2:$B$4542,B195)=1,"Feiertag",IF(C195="Samstag","",IF(C195="Sonntag","",Übersicht!$C$8)))</f>
        <v>Feiertag</v>
      </c>
    </row>
    <row r="196" spans="1:4" x14ac:dyDescent="0.25">
      <c r="A196" t="s">
        <v>74</v>
      </c>
      <c r="B196" s="48">
        <v>41380</v>
      </c>
      <c r="C196" t="s">
        <v>47</v>
      </c>
      <c r="D196" t="str">
        <f>IF(COUNTIFS(Verweise!$A$2:$A$4542,Übersicht!$C$7,Verweise!$B$2:$B$4542,B196)=1,"Feiertag",IF(C196="Samstag","",IF(C196="Sonntag","",Übersicht!$C$8)))</f>
        <v>Feiertag</v>
      </c>
    </row>
    <row r="197" spans="1:4" x14ac:dyDescent="0.25">
      <c r="A197" t="s">
        <v>74</v>
      </c>
      <c r="B197" s="48">
        <v>41394</v>
      </c>
      <c r="C197" t="s">
        <v>48</v>
      </c>
      <c r="D197" t="str">
        <f>IF(COUNTIFS(Verweise!$A$2:$A$4542,Übersicht!$C$7,Verweise!$B$2:$B$4542,B197)=1,"Feiertag",IF(C197="Samstag","",IF(C197="Sonntag","",Übersicht!$C$8)))</f>
        <v>Feiertag</v>
      </c>
    </row>
    <row r="198" spans="1:4" x14ac:dyDescent="0.25">
      <c r="A198" t="s">
        <v>74</v>
      </c>
      <c r="B198" s="48">
        <v>41418</v>
      </c>
      <c r="C198" t="s">
        <v>49</v>
      </c>
      <c r="D198" t="str">
        <f>IF(COUNTIFS(Verweise!$A$2:$A$4542,Übersicht!$C$7,Verweise!$B$2:$B$4542,B198)=1,"Feiertag",IF(C198="Samstag","",IF(C198="Sonntag","",Übersicht!$C$8)))</f>
        <v>Feiertag</v>
      </c>
    </row>
    <row r="199" spans="1:4" x14ac:dyDescent="0.25">
      <c r="A199" t="s">
        <v>74</v>
      </c>
      <c r="B199" s="48">
        <v>41428</v>
      </c>
      <c r="C199" t="s">
        <v>50</v>
      </c>
      <c r="D199" t="str">
        <f>IF(COUNTIFS(Verweise!$A$2:$A$4542,Übersicht!$C$7,Verweise!$B$2:$B$4542,B199)=1,"Feiertag",IF(C199="Samstag","",IF(C199="Sonntag","",Übersicht!$C$8)))</f>
        <v>Feiertag</v>
      </c>
    </row>
    <row r="200" spans="1:4" x14ac:dyDescent="0.25">
      <c r="A200" t="s">
        <v>74</v>
      </c>
      <c r="B200" s="48">
        <v>41429</v>
      </c>
      <c r="C200" t="s">
        <v>51</v>
      </c>
      <c r="D200" t="str">
        <f>IF(COUNTIFS(Verweise!$A$2:$A$4542,Übersicht!$C$7,Verweise!$B$2:$B$4542,B200)=1,"Feiertag",IF(C200="Samstag","",IF(C200="Sonntag","",Übersicht!$C$8)))</f>
        <v>Feiertag</v>
      </c>
    </row>
    <row r="201" spans="1:4" x14ac:dyDescent="0.25">
      <c r="A201" t="s">
        <v>74</v>
      </c>
      <c r="B201" s="48">
        <v>41549</v>
      </c>
      <c r="C201" t="s">
        <v>53</v>
      </c>
      <c r="D201" t="str">
        <f>IF(COUNTIFS(Verweise!$A$2:$A$4542,Übersicht!$C$7,Verweise!$B$2:$B$4542,B201)=1,"Feiertag",IF(C201="Samstag","",IF(C201="Sonntag","",Übersicht!$C$8)))</f>
        <v>Feiertag</v>
      </c>
    </row>
    <row r="202" spans="1:4" x14ac:dyDescent="0.25">
      <c r="A202" t="s">
        <v>74</v>
      </c>
      <c r="B202" s="48">
        <v>41577</v>
      </c>
      <c r="C202" t="s">
        <v>62</v>
      </c>
      <c r="D202" t="str">
        <f>IF(COUNTIFS(Verweise!$A$2:$A$4542,Übersicht!$C$7,Verweise!$B$2:$B$4542,B202)=1,"Feiertag",IF(C202="Samstag","",IF(C202="Sonntag","",Übersicht!$C$8)))</f>
        <v>Büro</v>
      </c>
    </row>
    <row r="203" spans="1:4" x14ac:dyDescent="0.25">
      <c r="A203" t="s">
        <v>74</v>
      </c>
      <c r="B203" s="48">
        <v>41632</v>
      </c>
      <c r="C203" t="s">
        <v>55</v>
      </c>
      <c r="D203" t="str">
        <f>IF(COUNTIFS(Verweise!$A$2:$A$4542,Übersicht!$C$7,Verweise!$B$2:$B$4542,B203)=1,"Feiertag",IF(C203="Samstag","",IF(C203="Sonntag","",Übersicht!$C$8)))</f>
        <v>Feiertag</v>
      </c>
    </row>
    <row r="204" spans="1:4" x14ac:dyDescent="0.25">
      <c r="A204" t="s">
        <v>74</v>
      </c>
      <c r="B204" s="48">
        <v>41633</v>
      </c>
      <c r="C204" t="s">
        <v>56</v>
      </c>
      <c r="D204" t="str">
        <f>IF(COUNTIFS(Verweise!$A$2:$A$4542,Übersicht!$C$7,Verweise!$B$2:$B$4542,B204)=1,"Feiertag",IF(C204="Samstag","",IF(C204="Sonntag","",Übersicht!$C$8)))</f>
        <v>Feiertag</v>
      </c>
    </row>
    <row r="205" spans="1:4" x14ac:dyDescent="0.25">
      <c r="A205" t="s">
        <v>75</v>
      </c>
      <c r="B205" s="48">
        <v>41274</v>
      </c>
      <c r="C205" t="s">
        <v>43</v>
      </c>
      <c r="D205" t="str">
        <f>IF(COUNTIFS(Verweise!$A$2:$A$4542,Übersicht!$C$7,Verweise!$B$2:$B$4542,B205)=1,"Feiertag",IF(C205="Samstag","",IF(C205="Sonntag","",Übersicht!$C$8)))</f>
        <v>Feiertag</v>
      </c>
    </row>
    <row r="206" spans="1:4" x14ac:dyDescent="0.25">
      <c r="A206" t="s">
        <v>75</v>
      </c>
      <c r="B206" s="48">
        <v>41377</v>
      </c>
      <c r="C206" t="s">
        <v>45</v>
      </c>
      <c r="D206" t="str">
        <f>IF(COUNTIFS(Verweise!$A$2:$A$4542,Übersicht!$C$7,Verweise!$B$2:$B$4542,B206)=1,"Feiertag",IF(C206="Samstag","",IF(C206="Sonntag","",Übersicht!$C$8)))</f>
        <v>Feiertag</v>
      </c>
    </row>
    <row r="207" spans="1:4" x14ac:dyDescent="0.25">
      <c r="A207" t="s">
        <v>75</v>
      </c>
      <c r="B207" s="48">
        <v>41379</v>
      </c>
      <c r="C207" t="s">
        <v>46</v>
      </c>
      <c r="D207" t="str">
        <f>IF(COUNTIFS(Verweise!$A$2:$A$4542,Übersicht!$C$7,Verweise!$B$2:$B$4542,B207)=1,"Feiertag",IF(C207="Samstag","",IF(C207="Sonntag","",Übersicht!$C$8)))</f>
        <v>Feiertag</v>
      </c>
    </row>
    <row r="208" spans="1:4" x14ac:dyDescent="0.25">
      <c r="A208" t="s">
        <v>75</v>
      </c>
      <c r="B208" s="48">
        <v>41380</v>
      </c>
      <c r="C208" t="s">
        <v>47</v>
      </c>
      <c r="D208" t="str">
        <f>IF(COUNTIFS(Verweise!$A$2:$A$4542,Übersicht!$C$7,Verweise!$B$2:$B$4542,B208)=1,"Feiertag",IF(C208="Samstag","",IF(C208="Sonntag","",Übersicht!$C$8)))</f>
        <v>Feiertag</v>
      </c>
    </row>
    <row r="209" spans="1:4" x14ac:dyDescent="0.25">
      <c r="A209" t="s">
        <v>75</v>
      </c>
      <c r="B209" s="48">
        <v>41394</v>
      </c>
      <c r="C209" t="s">
        <v>48</v>
      </c>
      <c r="D209" t="str">
        <f>IF(COUNTIFS(Verweise!$A$2:$A$4542,Übersicht!$C$7,Verweise!$B$2:$B$4542,B209)=1,"Feiertag",IF(C209="Samstag","",IF(C209="Sonntag","",Übersicht!$C$8)))</f>
        <v>Feiertag</v>
      </c>
    </row>
    <row r="210" spans="1:4" x14ac:dyDescent="0.25">
      <c r="A210" t="s">
        <v>75</v>
      </c>
      <c r="B210" s="48">
        <v>41418</v>
      </c>
      <c r="C210" t="s">
        <v>49</v>
      </c>
      <c r="D210" t="str">
        <f>IF(COUNTIFS(Verweise!$A$2:$A$4542,Übersicht!$C$7,Verweise!$B$2:$B$4542,B210)=1,"Feiertag",IF(C210="Samstag","",IF(C210="Sonntag","",Übersicht!$C$8)))</f>
        <v>Feiertag</v>
      </c>
    </row>
    <row r="211" spans="1:4" x14ac:dyDescent="0.25">
      <c r="A211" t="s">
        <v>75</v>
      </c>
      <c r="B211" s="48">
        <v>41428</v>
      </c>
      <c r="C211" t="s">
        <v>50</v>
      </c>
      <c r="D211" t="str">
        <f>IF(COUNTIFS(Verweise!$A$2:$A$4542,Übersicht!$C$7,Verweise!$B$2:$B$4542,B211)=1,"Feiertag",IF(C211="Samstag","",IF(C211="Sonntag","",Übersicht!$C$8)))</f>
        <v>Feiertag</v>
      </c>
    </row>
    <row r="212" spans="1:4" x14ac:dyDescent="0.25">
      <c r="A212" t="s">
        <v>75</v>
      </c>
      <c r="B212" s="48">
        <v>41429</v>
      </c>
      <c r="C212" t="s">
        <v>51</v>
      </c>
      <c r="D212" t="str">
        <f>IF(COUNTIFS(Verweise!$A$2:$A$4542,Übersicht!$C$7,Verweise!$B$2:$B$4542,B212)=1,"Feiertag",IF(C212="Samstag","",IF(C212="Sonntag","",Übersicht!$C$8)))</f>
        <v>Feiertag</v>
      </c>
    </row>
    <row r="213" spans="1:4" x14ac:dyDescent="0.25">
      <c r="A213" t="s">
        <v>75</v>
      </c>
      <c r="B213" s="48">
        <v>41549</v>
      </c>
      <c r="C213" t="s">
        <v>53</v>
      </c>
      <c r="D213" t="str">
        <f>IF(COUNTIFS(Verweise!$A$2:$A$4542,Übersicht!$C$7,Verweise!$B$2:$B$4542,B213)=1,"Feiertag",IF(C213="Samstag","",IF(C213="Sonntag","",Übersicht!$C$8)))</f>
        <v>Feiertag</v>
      </c>
    </row>
    <row r="214" spans="1:4" x14ac:dyDescent="0.25">
      <c r="A214" t="s">
        <v>75</v>
      </c>
      <c r="B214" s="48">
        <v>41632</v>
      </c>
      <c r="C214" t="s">
        <v>55</v>
      </c>
      <c r="D214" t="str">
        <f>IF(COUNTIFS(Verweise!$A$2:$A$4542,Übersicht!$C$7,Verweise!$B$2:$B$4542,B214)=1,"Feiertag",IF(C214="Samstag","",IF(C214="Sonntag","",Übersicht!$C$8)))</f>
        <v>Feiertag</v>
      </c>
    </row>
    <row r="215" spans="1:4" x14ac:dyDescent="0.25">
      <c r="A215" t="s">
        <v>75</v>
      </c>
      <c r="B215" s="48">
        <v>41633</v>
      </c>
      <c r="C215" t="s">
        <v>56</v>
      </c>
      <c r="D215" t="str">
        <f>IF(COUNTIFS(Verweise!$A$2:$A$4542,Übersicht!$C$7,Verweise!$B$2:$B$4542,B215)=1,"Feiertag",IF(C215="Samstag","",IF(C215="Sonntag","",Übersicht!$C$8)))</f>
        <v>Feiertag</v>
      </c>
    </row>
    <row r="216" spans="1:4" x14ac:dyDescent="0.25">
      <c r="A216" t="s">
        <v>76</v>
      </c>
      <c r="B216" s="48">
        <v>41274</v>
      </c>
      <c r="C216" t="s">
        <v>43</v>
      </c>
      <c r="D216" t="str">
        <f>IF(COUNTIFS(Verweise!$A$2:$A$4542,Übersicht!$C$7,Verweise!$B$2:$B$4542,B216)=1,"Feiertag",IF(C216="Samstag","",IF(C216="Sonntag","",Übersicht!$C$8)))</f>
        <v>Feiertag</v>
      </c>
    </row>
    <row r="217" spans="1:4" x14ac:dyDescent="0.25">
      <c r="A217" t="s">
        <v>76</v>
      </c>
      <c r="B217" s="48">
        <v>41377</v>
      </c>
      <c r="C217" t="s">
        <v>45</v>
      </c>
      <c r="D217" t="str">
        <f>IF(COUNTIFS(Verweise!$A$2:$A$4542,Übersicht!$C$7,Verweise!$B$2:$B$4542,B217)=1,"Feiertag",IF(C217="Samstag","",IF(C217="Sonntag","",Übersicht!$C$8)))</f>
        <v>Feiertag</v>
      </c>
    </row>
    <row r="218" spans="1:4" x14ac:dyDescent="0.25">
      <c r="A218" t="s">
        <v>76</v>
      </c>
      <c r="B218" s="48">
        <v>41379</v>
      </c>
      <c r="C218" t="s">
        <v>46</v>
      </c>
      <c r="D218" t="str">
        <f>IF(COUNTIFS(Verweise!$A$2:$A$4542,Übersicht!$C$7,Verweise!$B$2:$B$4542,B218)=1,"Feiertag",IF(C218="Samstag","",IF(C218="Sonntag","",Übersicht!$C$8)))</f>
        <v>Feiertag</v>
      </c>
    </row>
    <row r="219" spans="1:4" x14ac:dyDescent="0.25">
      <c r="A219" t="s">
        <v>76</v>
      </c>
      <c r="B219" s="48">
        <v>41380</v>
      </c>
      <c r="C219" t="s">
        <v>47</v>
      </c>
      <c r="D219" t="str">
        <f>IF(COUNTIFS(Verweise!$A$2:$A$4542,Übersicht!$C$7,Verweise!$B$2:$B$4542,B219)=1,"Feiertag",IF(C219="Samstag","",IF(C219="Sonntag","",Übersicht!$C$8)))</f>
        <v>Feiertag</v>
      </c>
    </row>
    <row r="220" spans="1:4" x14ac:dyDescent="0.25">
      <c r="A220" t="s">
        <v>76</v>
      </c>
      <c r="B220" s="48">
        <v>41394</v>
      </c>
      <c r="C220" t="s">
        <v>48</v>
      </c>
      <c r="D220" t="str">
        <f>IF(COUNTIFS(Verweise!$A$2:$A$4542,Übersicht!$C$7,Verweise!$B$2:$B$4542,B220)=1,"Feiertag",IF(C220="Samstag","",IF(C220="Sonntag","",Übersicht!$C$8)))</f>
        <v>Feiertag</v>
      </c>
    </row>
    <row r="221" spans="1:4" x14ac:dyDescent="0.25">
      <c r="A221" t="s">
        <v>76</v>
      </c>
      <c r="B221" s="48">
        <v>41418</v>
      </c>
      <c r="C221" t="s">
        <v>49</v>
      </c>
      <c r="D221" t="str">
        <f>IF(COUNTIFS(Verweise!$A$2:$A$4542,Übersicht!$C$7,Verweise!$B$2:$B$4542,B221)=1,"Feiertag",IF(C221="Samstag","",IF(C221="Sonntag","",Übersicht!$C$8)))</f>
        <v>Feiertag</v>
      </c>
    </row>
    <row r="222" spans="1:4" x14ac:dyDescent="0.25">
      <c r="A222" t="s">
        <v>76</v>
      </c>
      <c r="B222" s="48">
        <v>41428</v>
      </c>
      <c r="C222" t="s">
        <v>50</v>
      </c>
      <c r="D222" t="str">
        <f>IF(COUNTIFS(Verweise!$A$2:$A$4542,Übersicht!$C$7,Verweise!$B$2:$B$4542,B222)=1,"Feiertag",IF(C222="Samstag","",IF(C222="Sonntag","",Übersicht!$C$8)))</f>
        <v>Feiertag</v>
      </c>
    </row>
    <row r="223" spans="1:4" x14ac:dyDescent="0.25">
      <c r="A223" t="s">
        <v>76</v>
      </c>
      <c r="B223" s="48">
        <v>41429</v>
      </c>
      <c r="C223" t="s">
        <v>51</v>
      </c>
      <c r="D223" t="str">
        <f>IF(COUNTIFS(Verweise!$A$2:$A$4542,Übersicht!$C$7,Verweise!$B$2:$B$4542,B223)=1,"Feiertag",IF(C223="Samstag","",IF(C223="Sonntag","",Übersicht!$C$8)))</f>
        <v>Feiertag</v>
      </c>
    </row>
    <row r="224" spans="1:4" x14ac:dyDescent="0.25">
      <c r="A224" t="s">
        <v>76</v>
      </c>
      <c r="B224" s="48">
        <v>41549</v>
      </c>
      <c r="C224" t="s">
        <v>53</v>
      </c>
      <c r="D224" t="str">
        <f>IF(COUNTIFS(Verweise!$A$2:$A$4542,Übersicht!$C$7,Verweise!$B$2:$B$4542,B224)=1,"Feiertag",IF(C224="Samstag","",IF(C224="Sonntag","",Übersicht!$C$8)))</f>
        <v>Feiertag</v>
      </c>
    </row>
    <row r="225" spans="1:4" x14ac:dyDescent="0.25">
      <c r="A225" t="s">
        <v>76</v>
      </c>
      <c r="B225" s="48">
        <v>41577</v>
      </c>
      <c r="C225" t="s">
        <v>62</v>
      </c>
      <c r="D225" t="str">
        <f>IF(COUNTIFS(Verweise!$A$2:$A$4542,Übersicht!$C$7,Verweise!$B$2:$B$4542,B225)=1,"Feiertag",IF(C225="Samstag","",IF(C225="Sonntag","",Übersicht!$C$8)))</f>
        <v>Büro</v>
      </c>
    </row>
    <row r="226" spans="1:4" x14ac:dyDescent="0.25">
      <c r="A226" t="s">
        <v>76</v>
      </c>
      <c r="B226" s="48">
        <v>41632</v>
      </c>
      <c r="C226" t="s">
        <v>55</v>
      </c>
      <c r="D226" t="str">
        <f>IF(COUNTIFS(Verweise!$A$2:$A$4542,Übersicht!$C$7,Verweise!$B$2:$B$4542,B226)=1,"Feiertag",IF(C226="Samstag","",IF(C226="Sonntag","",Übersicht!$C$8)))</f>
        <v>Feiertag</v>
      </c>
    </row>
    <row r="227" spans="1:4" x14ac:dyDescent="0.25">
      <c r="A227" t="s">
        <v>76</v>
      </c>
      <c r="B227" s="48">
        <v>41633</v>
      </c>
      <c r="C227" t="s">
        <v>56</v>
      </c>
      <c r="D227" t="str">
        <f>IF(COUNTIFS(Verweise!$A$2:$A$4542,Übersicht!$C$7,Verweise!$B$2:$B$4542,B227)=1,"Feiertag",IF(C227="Samstag","",IF(C227="Sonntag","",Übersicht!$C$8)))</f>
        <v>Feiertag</v>
      </c>
    </row>
    <row r="228" spans="1:4" x14ac:dyDescent="0.25">
      <c r="A228" t="s">
        <v>77</v>
      </c>
      <c r="B228" s="48">
        <v>41274</v>
      </c>
      <c r="C228" t="s">
        <v>43</v>
      </c>
      <c r="D228" t="str">
        <f>IF(COUNTIFS(Verweise!$A$2:$A$4542,Übersicht!$C$7,Verweise!$B$2:$B$4542,B228)=1,"Feiertag",IF(C228="Samstag","",IF(C228="Sonntag","",Übersicht!$C$8)))</f>
        <v>Feiertag</v>
      </c>
    </row>
    <row r="229" spans="1:4" x14ac:dyDescent="0.25">
      <c r="A229" t="s">
        <v>77</v>
      </c>
      <c r="B229" s="48">
        <v>41377</v>
      </c>
      <c r="C229" t="s">
        <v>45</v>
      </c>
      <c r="D229" t="str">
        <f>IF(COUNTIFS(Verweise!$A$2:$A$4542,Übersicht!$C$7,Verweise!$B$2:$B$4542,B229)=1,"Feiertag",IF(C229="Samstag","",IF(C229="Sonntag","",Übersicht!$C$8)))</f>
        <v>Feiertag</v>
      </c>
    </row>
    <row r="230" spans="1:4" x14ac:dyDescent="0.25">
      <c r="A230" t="s">
        <v>77</v>
      </c>
      <c r="B230" s="48">
        <v>41379</v>
      </c>
      <c r="C230" t="s">
        <v>46</v>
      </c>
      <c r="D230" t="str">
        <f>IF(COUNTIFS(Verweise!$A$2:$A$4542,Übersicht!$C$7,Verweise!$B$2:$B$4542,B230)=1,"Feiertag",IF(C230="Samstag","",IF(C230="Sonntag","",Übersicht!$C$8)))</f>
        <v>Feiertag</v>
      </c>
    </row>
    <row r="231" spans="1:4" x14ac:dyDescent="0.25">
      <c r="A231" t="s">
        <v>77</v>
      </c>
      <c r="B231" s="48">
        <v>41380</v>
      </c>
      <c r="C231" t="s">
        <v>47</v>
      </c>
      <c r="D231" t="str">
        <f>IF(COUNTIFS(Verweise!$A$2:$A$4542,Übersicht!$C$7,Verweise!$B$2:$B$4542,B231)=1,"Feiertag",IF(C231="Samstag","",IF(C231="Sonntag","",Übersicht!$C$8)))</f>
        <v>Feiertag</v>
      </c>
    </row>
    <row r="232" spans="1:4" x14ac:dyDescent="0.25">
      <c r="A232" t="s">
        <v>77</v>
      </c>
      <c r="B232" s="48">
        <v>41394</v>
      </c>
      <c r="C232" t="s">
        <v>48</v>
      </c>
      <c r="D232" t="str">
        <f>IF(COUNTIFS(Verweise!$A$2:$A$4542,Übersicht!$C$7,Verweise!$B$2:$B$4542,B232)=1,"Feiertag",IF(C232="Samstag","",IF(C232="Sonntag","",Übersicht!$C$8)))</f>
        <v>Feiertag</v>
      </c>
    </row>
    <row r="233" spans="1:4" x14ac:dyDescent="0.25">
      <c r="A233" t="s">
        <v>77</v>
      </c>
      <c r="B233" s="48">
        <v>41418</v>
      </c>
      <c r="C233" t="s">
        <v>49</v>
      </c>
      <c r="D233" t="str">
        <f>IF(COUNTIFS(Verweise!$A$2:$A$4542,Übersicht!$C$7,Verweise!$B$2:$B$4542,B233)=1,"Feiertag",IF(C233="Samstag","",IF(C233="Sonntag","",Übersicht!$C$8)))</f>
        <v>Feiertag</v>
      </c>
    </row>
    <row r="234" spans="1:4" x14ac:dyDescent="0.25">
      <c r="A234" t="s">
        <v>77</v>
      </c>
      <c r="B234" s="48">
        <v>41428</v>
      </c>
      <c r="C234" t="s">
        <v>50</v>
      </c>
      <c r="D234" t="str">
        <f>IF(COUNTIFS(Verweise!$A$2:$A$4542,Übersicht!$C$7,Verweise!$B$2:$B$4542,B234)=1,"Feiertag",IF(C234="Samstag","",IF(C234="Sonntag","",Übersicht!$C$8)))</f>
        <v>Feiertag</v>
      </c>
    </row>
    <row r="235" spans="1:4" x14ac:dyDescent="0.25">
      <c r="A235" t="s">
        <v>77</v>
      </c>
      <c r="B235" s="48">
        <v>41429</v>
      </c>
      <c r="C235" t="s">
        <v>51</v>
      </c>
      <c r="D235" t="str">
        <f>IF(COUNTIFS(Verweise!$A$2:$A$4542,Übersicht!$C$7,Verweise!$B$2:$B$4542,B235)=1,"Feiertag",IF(C235="Samstag","",IF(C235="Sonntag","",Übersicht!$C$8)))</f>
        <v>Feiertag</v>
      </c>
    </row>
    <row r="236" spans="1:4" x14ac:dyDescent="0.25">
      <c r="A236" t="s">
        <v>77</v>
      </c>
      <c r="B236" s="48">
        <v>41439</v>
      </c>
      <c r="C236" t="s">
        <v>52</v>
      </c>
      <c r="D236" t="str">
        <f>IF(COUNTIFS(Verweise!$A$2:$A$4542,Übersicht!$C$7,Verweise!$B$2:$B$4542,B236)=1,"Feiertag",IF(C236="Samstag","",IF(C236="Sonntag","",Übersicht!$C$8)))</f>
        <v>Feiertag</v>
      </c>
    </row>
    <row r="237" spans="1:4" x14ac:dyDescent="0.25">
      <c r="A237" t="s">
        <v>77</v>
      </c>
      <c r="B237" s="48">
        <v>41549</v>
      </c>
      <c r="C237" t="s">
        <v>53</v>
      </c>
      <c r="D237" t="str">
        <f>IF(COUNTIFS(Verweise!$A$2:$A$4542,Übersicht!$C$7,Verweise!$B$2:$B$4542,B237)=1,"Feiertag",IF(C237="Samstag","",IF(C237="Sonntag","",Übersicht!$C$8)))</f>
        <v>Feiertag</v>
      </c>
    </row>
    <row r="238" spans="1:4" x14ac:dyDescent="0.25">
      <c r="A238" t="s">
        <v>77</v>
      </c>
      <c r="B238" s="48">
        <v>41577</v>
      </c>
      <c r="C238" t="s">
        <v>62</v>
      </c>
      <c r="D238" t="str">
        <f>IF(COUNTIFS(Verweise!$A$2:$A$4542,Übersicht!$C$7,Verweise!$B$2:$B$4542,B238)=1,"Feiertag",IF(C238="Samstag","",IF(C238="Sonntag","",Übersicht!$C$8)))</f>
        <v>Büro</v>
      </c>
    </row>
    <row r="239" spans="1:4" x14ac:dyDescent="0.25">
      <c r="A239" t="s">
        <v>77</v>
      </c>
      <c r="B239" s="48">
        <v>41632</v>
      </c>
      <c r="C239" t="s">
        <v>55</v>
      </c>
      <c r="D239" t="str">
        <f>IF(COUNTIFS(Verweise!$A$2:$A$4542,Übersicht!$C$7,Verweise!$B$2:$B$4542,B239)=1,"Feiertag",IF(C239="Samstag","",IF(C239="Sonntag","",Übersicht!$C$8)))</f>
        <v>Feiertag</v>
      </c>
    </row>
    <row r="240" spans="1:4" x14ac:dyDescent="0.25">
      <c r="A240" t="s">
        <v>77</v>
      </c>
      <c r="B240" s="48">
        <v>41633</v>
      </c>
      <c r="C240" t="s">
        <v>56</v>
      </c>
      <c r="D240" t="str">
        <f>IF(COUNTIFS(Verweise!$A$2:$A$4542,Übersicht!$C$7,Verweise!$B$2:$B$4542,B240)=1,"Feiertag",IF(C240="Samstag","",IF(C240="Sonntag","",Übersicht!$C$8)))</f>
        <v>Feiertag</v>
      </c>
    </row>
    <row r="241" spans="1:4" x14ac:dyDescent="0.25">
      <c r="A241" t="s">
        <v>42</v>
      </c>
      <c r="B241" s="48">
        <v>41639</v>
      </c>
      <c r="C241" t="s">
        <v>43</v>
      </c>
      <c r="D241" t="str">
        <f>IF(COUNTIFS(Verweise!$A$2:$A$4542,Übersicht!$C$7,Verweise!$B$2:$B$4542,B241)=1,"Feiertag",IF(C241="Samstag","",IF(C241="Sonntag","",Übersicht!$C$8)))</f>
        <v>Feiertag</v>
      </c>
    </row>
    <row r="242" spans="1:4" x14ac:dyDescent="0.25">
      <c r="A242" t="s">
        <v>42</v>
      </c>
      <c r="B242" s="48">
        <v>41644</v>
      </c>
      <c r="C242" t="s">
        <v>44</v>
      </c>
      <c r="D242" t="str">
        <f>IF(COUNTIFS(Verweise!$A$2:$A$4542,Übersicht!$C$7,Verweise!$B$2:$B$4542,B242)=1,"Feiertag",IF(C242="Samstag","",IF(C242="Sonntag","",Übersicht!$C$8)))</f>
        <v>Büro</v>
      </c>
    </row>
    <row r="243" spans="1:4" x14ac:dyDescent="0.25">
      <c r="A243" t="s">
        <v>42</v>
      </c>
      <c r="B243" s="48">
        <v>41727</v>
      </c>
      <c r="C243" t="s">
        <v>45</v>
      </c>
      <c r="D243" t="str">
        <f>IF(COUNTIFS(Verweise!$A$2:$A$4542,Übersicht!$C$7,Verweise!$B$2:$B$4542,B243)=1,"Feiertag",IF(C243="Samstag","",IF(C243="Sonntag","",Übersicht!$C$8)))</f>
        <v>Feiertag</v>
      </c>
    </row>
    <row r="244" spans="1:4" x14ac:dyDescent="0.25">
      <c r="A244" t="s">
        <v>42</v>
      </c>
      <c r="B244" s="48">
        <v>41729</v>
      </c>
      <c r="C244" t="s">
        <v>46</v>
      </c>
      <c r="D244" t="str">
        <f>IF(COUNTIFS(Verweise!$A$2:$A$4542,Übersicht!$C$7,Verweise!$B$2:$B$4542,B244)=1,"Feiertag",IF(C244="Samstag","",IF(C244="Sonntag","",Übersicht!$C$8)))</f>
        <v>Feiertag</v>
      </c>
    </row>
    <row r="245" spans="1:4" x14ac:dyDescent="0.25">
      <c r="A245" t="s">
        <v>42</v>
      </c>
      <c r="B245" s="48">
        <v>41730</v>
      </c>
      <c r="C245" t="s">
        <v>47</v>
      </c>
      <c r="D245" t="str">
        <f>IF(COUNTIFS(Verweise!$A$2:$A$4542,Übersicht!$C$7,Verweise!$B$2:$B$4542,B245)=1,"Feiertag",IF(C245="Samstag","",IF(C245="Sonntag","",Übersicht!$C$8)))</f>
        <v>Feiertag</v>
      </c>
    </row>
    <row r="246" spans="1:4" x14ac:dyDescent="0.25">
      <c r="A246" t="s">
        <v>42</v>
      </c>
      <c r="B246" s="48">
        <v>41759</v>
      </c>
      <c r="C246" t="s">
        <v>48</v>
      </c>
      <c r="D246" t="str">
        <f>IF(COUNTIFS(Verweise!$A$2:$A$4542,Übersicht!$C$7,Verweise!$B$2:$B$4542,B246)=1,"Feiertag",IF(C246="Samstag","",IF(C246="Sonntag","",Übersicht!$C$8)))</f>
        <v>Feiertag</v>
      </c>
    </row>
    <row r="247" spans="1:4" x14ac:dyDescent="0.25">
      <c r="A247" t="s">
        <v>42</v>
      </c>
      <c r="B247" s="48">
        <v>41768</v>
      </c>
      <c r="C247" t="s">
        <v>49</v>
      </c>
      <c r="D247" t="str">
        <f>IF(COUNTIFS(Verweise!$A$2:$A$4542,Übersicht!$C$7,Verweise!$B$2:$B$4542,B247)=1,"Feiertag",IF(C247="Samstag","",IF(C247="Sonntag","",Übersicht!$C$8)))</f>
        <v>Feiertag</v>
      </c>
    </row>
    <row r="248" spans="1:4" x14ac:dyDescent="0.25">
      <c r="A248" t="s">
        <v>42</v>
      </c>
      <c r="B248" s="48">
        <v>41778</v>
      </c>
      <c r="C248" t="s">
        <v>50</v>
      </c>
      <c r="D248" t="str">
        <f>IF(COUNTIFS(Verweise!$A$2:$A$4542,Übersicht!$C$7,Verweise!$B$2:$B$4542,B248)=1,"Feiertag",IF(C248="Samstag","",IF(C248="Sonntag","",Übersicht!$C$8)))</f>
        <v>Feiertag</v>
      </c>
    </row>
    <row r="249" spans="1:4" x14ac:dyDescent="0.25">
      <c r="A249" t="s">
        <v>42</v>
      </c>
      <c r="B249" s="48">
        <v>41779</v>
      </c>
      <c r="C249" t="s">
        <v>51</v>
      </c>
      <c r="D249" t="str">
        <f>IF(COUNTIFS(Verweise!$A$2:$A$4542,Übersicht!$C$7,Verweise!$B$2:$B$4542,B249)=1,"Feiertag",IF(C249="Samstag","",IF(C249="Sonntag","",Übersicht!$C$8)))</f>
        <v>Feiertag</v>
      </c>
    </row>
    <row r="250" spans="1:4" x14ac:dyDescent="0.25">
      <c r="A250" t="s">
        <v>42</v>
      </c>
      <c r="B250" s="48">
        <v>41789</v>
      </c>
      <c r="C250" t="s">
        <v>52</v>
      </c>
      <c r="D250" t="str">
        <f>IF(COUNTIFS(Verweise!$A$2:$A$4542,Übersicht!$C$7,Verweise!$B$2:$B$4542,B250)=1,"Feiertag",IF(C250="Samstag","",IF(C250="Sonntag","",Übersicht!$C$8)))</f>
        <v>Feiertag</v>
      </c>
    </row>
    <row r="251" spans="1:4" x14ac:dyDescent="0.25">
      <c r="A251" t="s">
        <v>42</v>
      </c>
      <c r="B251" s="48">
        <v>41914</v>
      </c>
      <c r="C251" t="s">
        <v>53</v>
      </c>
      <c r="D251" t="str">
        <f>IF(COUNTIFS(Verweise!$A$2:$A$4542,Übersicht!$C$7,Verweise!$B$2:$B$4542,B251)=1,"Feiertag",IF(C251="Samstag","",IF(C251="Sonntag","",Übersicht!$C$8)))</f>
        <v>Feiertag</v>
      </c>
    </row>
    <row r="252" spans="1:4" x14ac:dyDescent="0.25">
      <c r="A252" t="s">
        <v>42</v>
      </c>
      <c r="B252" s="48">
        <v>41943</v>
      </c>
      <c r="C252" t="s">
        <v>54</v>
      </c>
      <c r="D252" t="str">
        <f>IF(COUNTIFS(Verweise!$A$2:$A$4542,Übersicht!$C$7,Verweise!$B$2:$B$4542,B252)=1,"Feiertag",IF(C252="Samstag","",IF(C252="Sonntag","",Übersicht!$C$8)))</f>
        <v>Feiertag</v>
      </c>
    </row>
    <row r="253" spans="1:4" x14ac:dyDescent="0.25">
      <c r="A253" t="s">
        <v>42</v>
      </c>
      <c r="B253" s="48">
        <v>41997</v>
      </c>
      <c r="C253" t="s">
        <v>55</v>
      </c>
      <c r="D253" t="str">
        <f>IF(COUNTIFS(Verweise!$A$2:$A$4542,Übersicht!$C$7,Verweise!$B$2:$B$4542,B253)=1,"Feiertag",IF(C253="Samstag","",IF(C253="Sonntag","",Übersicht!$C$8)))</f>
        <v>Feiertag</v>
      </c>
    </row>
    <row r="254" spans="1:4" x14ac:dyDescent="0.25">
      <c r="A254" t="s">
        <v>42</v>
      </c>
      <c r="B254" s="48">
        <v>41998</v>
      </c>
      <c r="C254" t="s">
        <v>56</v>
      </c>
      <c r="D254" t="str">
        <f>IF(COUNTIFS(Verweise!$A$2:$A$4542,Übersicht!$C$7,Verweise!$B$2:$B$4542,B254)=1,"Feiertag",IF(C254="Samstag","",IF(C254="Sonntag","",Übersicht!$C$8)))</f>
        <v>Feiertag</v>
      </c>
    </row>
    <row r="255" spans="1:4" x14ac:dyDescent="0.25">
      <c r="A255" t="s">
        <v>57</v>
      </c>
      <c r="B255" s="48">
        <v>41639</v>
      </c>
      <c r="C255" t="s">
        <v>43</v>
      </c>
      <c r="D255" t="str">
        <f>IF(COUNTIFS(Verweise!$A$2:$A$4542,Übersicht!$C$7,Verweise!$B$2:$B$4542,B255)=1,"Feiertag",IF(C255="Samstag","",IF(C255="Sonntag","",Übersicht!$C$8)))</f>
        <v>Feiertag</v>
      </c>
    </row>
    <row r="256" spans="1:4" x14ac:dyDescent="0.25">
      <c r="A256" t="s">
        <v>57</v>
      </c>
      <c r="B256" s="48">
        <v>41644</v>
      </c>
      <c r="C256" t="s">
        <v>44</v>
      </c>
      <c r="D256" t="str">
        <f>IF(COUNTIFS(Verweise!$A$2:$A$4542,Übersicht!$C$7,Verweise!$B$2:$B$4542,B256)=1,"Feiertag",IF(C256="Samstag","",IF(C256="Sonntag","",Übersicht!$C$8)))</f>
        <v>Büro</v>
      </c>
    </row>
    <row r="257" spans="1:4" x14ac:dyDescent="0.25">
      <c r="A257" t="s">
        <v>57</v>
      </c>
      <c r="B257" s="48">
        <v>41727</v>
      </c>
      <c r="C257" t="s">
        <v>45</v>
      </c>
      <c r="D257" t="str">
        <f>IF(COUNTIFS(Verweise!$A$2:$A$4542,Übersicht!$C$7,Verweise!$B$2:$B$4542,B257)=1,"Feiertag",IF(C257="Samstag","",IF(C257="Sonntag","",Übersicht!$C$8)))</f>
        <v>Feiertag</v>
      </c>
    </row>
    <row r="258" spans="1:4" x14ac:dyDescent="0.25">
      <c r="A258" t="s">
        <v>57</v>
      </c>
      <c r="B258" s="48">
        <v>41729</v>
      </c>
      <c r="C258" t="s">
        <v>46</v>
      </c>
      <c r="D258" t="str">
        <f>IF(COUNTIFS(Verweise!$A$2:$A$4542,Übersicht!$C$7,Verweise!$B$2:$B$4542,B258)=1,"Feiertag",IF(C258="Samstag","",IF(C258="Sonntag","",Übersicht!$C$8)))</f>
        <v>Feiertag</v>
      </c>
    </row>
    <row r="259" spans="1:4" x14ac:dyDescent="0.25">
      <c r="A259" t="s">
        <v>57</v>
      </c>
      <c r="B259" s="48">
        <v>41730</v>
      </c>
      <c r="C259" t="s">
        <v>47</v>
      </c>
      <c r="D259" t="str">
        <f>IF(COUNTIFS(Verweise!$A$2:$A$4542,Übersicht!$C$7,Verweise!$B$2:$B$4542,B259)=1,"Feiertag",IF(C259="Samstag","",IF(C259="Sonntag","",Übersicht!$C$8)))</f>
        <v>Feiertag</v>
      </c>
    </row>
    <row r="260" spans="1:4" x14ac:dyDescent="0.25">
      <c r="A260" t="s">
        <v>57</v>
      </c>
      <c r="B260" s="48">
        <v>41759</v>
      </c>
      <c r="C260" t="s">
        <v>48</v>
      </c>
      <c r="D260" t="str">
        <f>IF(COUNTIFS(Verweise!$A$2:$A$4542,Übersicht!$C$7,Verweise!$B$2:$B$4542,B260)=1,"Feiertag",IF(C260="Samstag","",IF(C260="Sonntag","",Übersicht!$C$8)))</f>
        <v>Feiertag</v>
      </c>
    </row>
    <row r="261" spans="1:4" x14ac:dyDescent="0.25">
      <c r="A261" t="s">
        <v>57</v>
      </c>
      <c r="B261" s="48">
        <v>41768</v>
      </c>
      <c r="C261" t="s">
        <v>49</v>
      </c>
      <c r="D261" t="str">
        <f>IF(COUNTIFS(Verweise!$A$2:$A$4542,Übersicht!$C$7,Verweise!$B$2:$B$4542,B261)=1,"Feiertag",IF(C261="Samstag","",IF(C261="Sonntag","",Übersicht!$C$8)))</f>
        <v>Feiertag</v>
      </c>
    </row>
    <row r="262" spans="1:4" x14ac:dyDescent="0.25">
      <c r="A262" t="s">
        <v>57</v>
      </c>
      <c r="B262" s="48">
        <v>41778</v>
      </c>
      <c r="C262" t="s">
        <v>50</v>
      </c>
      <c r="D262" t="str">
        <f>IF(COUNTIFS(Verweise!$A$2:$A$4542,Übersicht!$C$7,Verweise!$B$2:$B$4542,B262)=1,"Feiertag",IF(C262="Samstag","",IF(C262="Sonntag","",Übersicht!$C$8)))</f>
        <v>Feiertag</v>
      </c>
    </row>
    <row r="263" spans="1:4" x14ac:dyDescent="0.25">
      <c r="A263" t="s">
        <v>57</v>
      </c>
      <c r="B263" s="48">
        <v>41779</v>
      </c>
      <c r="C263" t="s">
        <v>51</v>
      </c>
      <c r="D263" t="str">
        <f>IF(COUNTIFS(Verweise!$A$2:$A$4542,Übersicht!$C$7,Verweise!$B$2:$B$4542,B263)=1,"Feiertag",IF(C263="Samstag","",IF(C263="Sonntag","",Übersicht!$C$8)))</f>
        <v>Feiertag</v>
      </c>
    </row>
    <row r="264" spans="1:4" x14ac:dyDescent="0.25">
      <c r="A264" t="s">
        <v>57</v>
      </c>
      <c r="B264" s="48">
        <v>41789</v>
      </c>
      <c r="C264" t="s">
        <v>52</v>
      </c>
      <c r="D264" t="str">
        <f>IF(COUNTIFS(Verweise!$A$2:$A$4542,Übersicht!$C$7,Verweise!$B$2:$B$4542,B264)=1,"Feiertag",IF(C264="Samstag","",IF(C264="Sonntag","",Übersicht!$C$8)))</f>
        <v>Feiertag</v>
      </c>
    </row>
    <row r="265" spans="1:4" x14ac:dyDescent="0.25">
      <c r="A265" t="s">
        <v>57</v>
      </c>
      <c r="B265" s="48">
        <v>41914</v>
      </c>
      <c r="C265" t="s">
        <v>53</v>
      </c>
      <c r="D265" t="str">
        <f>IF(COUNTIFS(Verweise!$A$2:$A$4542,Übersicht!$C$7,Verweise!$B$2:$B$4542,B265)=1,"Feiertag",IF(C265="Samstag","",IF(C265="Sonntag","",Übersicht!$C$8)))</f>
        <v>Feiertag</v>
      </c>
    </row>
    <row r="266" spans="1:4" x14ac:dyDescent="0.25">
      <c r="A266" t="s">
        <v>57</v>
      </c>
      <c r="B266" s="48">
        <v>41943</v>
      </c>
      <c r="C266" t="s">
        <v>54</v>
      </c>
      <c r="D266" t="str">
        <f>IF(COUNTIFS(Verweise!$A$2:$A$4542,Übersicht!$C$7,Verweise!$B$2:$B$4542,B266)=1,"Feiertag",IF(C266="Samstag","",IF(C266="Sonntag","",Übersicht!$C$8)))</f>
        <v>Feiertag</v>
      </c>
    </row>
    <row r="267" spans="1:4" x14ac:dyDescent="0.25">
      <c r="A267" t="s">
        <v>57</v>
      </c>
      <c r="B267" s="48">
        <v>41997</v>
      </c>
      <c r="C267" t="s">
        <v>55</v>
      </c>
      <c r="D267" t="str">
        <f>IF(COUNTIFS(Verweise!$A$2:$A$4542,Übersicht!$C$7,Verweise!$B$2:$B$4542,B267)=1,"Feiertag",IF(C267="Samstag","",IF(C267="Sonntag","",Übersicht!$C$8)))</f>
        <v>Feiertag</v>
      </c>
    </row>
    <row r="268" spans="1:4" x14ac:dyDescent="0.25">
      <c r="A268" t="s">
        <v>57</v>
      </c>
      <c r="B268" s="48">
        <v>41998</v>
      </c>
      <c r="C268" t="s">
        <v>56</v>
      </c>
      <c r="D268" t="str">
        <f>IF(COUNTIFS(Verweise!$A$2:$A$4542,Übersicht!$C$7,Verweise!$B$2:$B$4542,B268)=1,"Feiertag",IF(C268="Samstag","",IF(C268="Sonntag","",Übersicht!$C$8)))</f>
        <v>Feiertag</v>
      </c>
    </row>
    <row r="269" spans="1:4" x14ac:dyDescent="0.25">
      <c r="A269" t="s">
        <v>58</v>
      </c>
      <c r="B269" s="48">
        <v>41639</v>
      </c>
      <c r="C269" t="s">
        <v>43</v>
      </c>
      <c r="D269" t="str">
        <f>IF(COUNTIFS(Verweise!$A$2:$A$4542,Übersicht!$C$7,Verweise!$B$2:$B$4542,B269)=1,"Feiertag",IF(C269="Samstag","",IF(C269="Sonntag","",Übersicht!$C$8)))</f>
        <v>Feiertag</v>
      </c>
    </row>
    <row r="270" spans="1:4" x14ac:dyDescent="0.25">
      <c r="A270" t="s">
        <v>58</v>
      </c>
      <c r="B270" s="48">
        <v>41644</v>
      </c>
      <c r="C270" t="s">
        <v>44</v>
      </c>
      <c r="D270" t="str">
        <f>IF(COUNTIFS(Verweise!$A$2:$A$4542,Übersicht!$C$7,Verweise!$B$2:$B$4542,B270)=1,"Feiertag",IF(C270="Samstag","",IF(C270="Sonntag","",Übersicht!$C$8)))</f>
        <v>Büro</v>
      </c>
    </row>
    <row r="271" spans="1:4" x14ac:dyDescent="0.25">
      <c r="A271" t="s">
        <v>58</v>
      </c>
      <c r="B271" s="48">
        <v>41727</v>
      </c>
      <c r="C271" t="s">
        <v>45</v>
      </c>
      <c r="D271" t="str">
        <f>IF(COUNTIFS(Verweise!$A$2:$A$4542,Übersicht!$C$7,Verweise!$B$2:$B$4542,B271)=1,"Feiertag",IF(C271="Samstag","",IF(C271="Sonntag","",Übersicht!$C$8)))</f>
        <v>Feiertag</v>
      </c>
    </row>
    <row r="272" spans="1:4" x14ac:dyDescent="0.25">
      <c r="A272" t="s">
        <v>58</v>
      </c>
      <c r="B272" s="48">
        <v>41729</v>
      </c>
      <c r="C272" t="s">
        <v>46</v>
      </c>
      <c r="D272" t="str">
        <f>IF(COUNTIFS(Verweise!$A$2:$A$4542,Übersicht!$C$7,Verweise!$B$2:$B$4542,B272)=1,"Feiertag",IF(C272="Samstag","",IF(C272="Sonntag","",Übersicht!$C$8)))</f>
        <v>Feiertag</v>
      </c>
    </row>
    <row r="273" spans="1:4" x14ac:dyDescent="0.25">
      <c r="A273" t="s">
        <v>58</v>
      </c>
      <c r="B273" s="48">
        <v>41730</v>
      </c>
      <c r="C273" t="s">
        <v>47</v>
      </c>
      <c r="D273" t="str">
        <f>IF(COUNTIFS(Verweise!$A$2:$A$4542,Übersicht!$C$7,Verweise!$B$2:$B$4542,B273)=1,"Feiertag",IF(C273="Samstag","",IF(C273="Sonntag","",Übersicht!$C$8)))</f>
        <v>Feiertag</v>
      </c>
    </row>
    <row r="274" spans="1:4" x14ac:dyDescent="0.25">
      <c r="A274" t="s">
        <v>58</v>
      </c>
      <c r="B274" s="48">
        <v>41759</v>
      </c>
      <c r="C274" t="s">
        <v>48</v>
      </c>
      <c r="D274" t="str">
        <f>IF(COUNTIFS(Verweise!$A$2:$A$4542,Übersicht!$C$7,Verweise!$B$2:$B$4542,B274)=1,"Feiertag",IF(C274="Samstag","",IF(C274="Sonntag","",Übersicht!$C$8)))</f>
        <v>Feiertag</v>
      </c>
    </row>
    <row r="275" spans="1:4" x14ac:dyDescent="0.25">
      <c r="A275" t="s">
        <v>58</v>
      </c>
      <c r="B275" s="48">
        <v>41768</v>
      </c>
      <c r="C275" t="s">
        <v>49</v>
      </c>
      <c r="D275" t="str">
        <f>IF(COUNTIFS(Verweise!$A$2:$A$4542,Übersicht!$C$7,Verweise!$B$2:$B$4542,B275)=1,"Feiertag",IF(C275="Samstag","",IF(C275="Sonntag","",Übersicht!$C$8)))</f>
        <v>Feiertag</v>
      </c>
    </row>
    <row r="276" spans="1:4" x14ac:dyDescent="0.25">
      <c r="A276" t="s">
        <v>58</v>
      </c>
      <c r="B276" s="48">
        <v>41778</v>
      </c>
      <c r="C276" t="s">
        <v>50</v>
      </c>
      <c r="D276" t="str">
        <f>IF(COUNTIFS(Verweise!$A$2:$A$4542,Übersicht!$C$7,Verweise!$B$2:$B$4542,B276)=1,"Feiertag",IF(C276="Samstag","",IF(C276="Sonntag","",Übersicht!$C$8)))</f>
        <v>Feiertag</v>
      </c>
    </row>
    <row r="277" spans="1:4" x14ac:dyDescent="0.25">
      <c r="A277" t="s">
        <v>58</v>
      </c>
      <c r="B277" s="48">
        <v>41779</v>
      </c>
      <c r="C277" t="s">
        <v>51</v>
      </c>
      <c r="D277" t="str">
        <f>IF(COUNTIFS(Verweise!$A$2:$A$4542,Übersicht!$C$7,Verweise!$B$2:$B$4542,B277)=1,"Feiertag",IF(C277="Samstag","",IF(C277="Sonntag","",Übersicht!$C$8)))</f>
        <v>Feiertag</v>
      </c>
    </row>
    <row r="278" spans="1:4" x14ac:dyDescent="0.25">
      <c r="A278" t="s">
        <v>58</v>
      </c>
      <c r="B278" s="48">
        <v>41789</v>
      </c>
      <c r="C278" t="s">
        <v>52</v>
      </c>
      <c r="D278" t="str">
        <f>IF(COUNTIFS(Verweise!$A$2:$A$4542,Übersicht!$C$7,Verweise!$B$2:$B$4542,B278)=1,"Feiertag",IF(C278="Samstag","",IF(C278="Sonntag","",Übersicht!$C$8)))</f>
        <v>Feiertag</v>
      </c>
    </row>
    <row r="279" spans="1:4" x14ac:dyDescent="0.25">
      <c r="A279" t="s">
        <v>58</v>
      </c>
      <c r="B279" s="48">
        <v>41865</v>
      </c>
      <c r="C279" t="s">
        <v>59</v>
      </c>
      <c r="D279" t="str">
        <f>IF(COUNTIFS(Verweise!$A$2:$A$4542,Übersicht!$C$7,Verweise!$B$2:$B$4542,B279)=1,"Feiertag",IF(C279="Samstag","",IF(C279="Sonntag","",Übersicht!$C$8)))</f>
        <v>Büro</v>
      </c>
    </row>
    <row r="280" spans="1:4" x14ac:dyDescent="0.25">
      <c r="A280" t="s">
        <v>58</v>
      </c>
      <c r="B280" s="48">
        <v>41914</v>
      </c>
      <c r="C280" t="s">
        <v>53</v>
      </c>
      <c r="D280" t="str">
        <f>IF(COUNTIFS(Verweise!$A$2:$A$4542,Übersicht!$C$7,Verweise!$B$2:$B$4542,B280)=1,"Feiertag",IF(C280="Samstag","",IF(C280="Sonntag","",Übersicht!$C$8)))</f>
        <v>Feiertag</v>
      </c>
    </row>
    <row r="281" spans="1:4" x14ac:dyDescent="0.25">
      <c r="A281" t="s">
        <v>58</v>
      </c>
      <c r="B281" s="48">
        <v>41943</v>
      </c>
      <c r="C281" t="s">
        <v>54</v>
      </c>
      <c r="D281" t="str">
        <f>IF(COUNTIFS(Verweise!$A$2:$A$4542,Übersicht!$C$7,Verweise!$B$2:$B$4542,B281)=1,"Feiertag",IF(C281="Samstag","",IF(C281="Sonntag","",Übersicht!$C$8)))</f>
        <v>Feiertag</v>
      </c>
    </row>
    <row r="282" spans="1:4" x14ac:dyDescent="0.25">
      <c r="A282" t="s">
        <v>58</v>
      </c>
      <c r="B282" s="48">
        <v>41997</v>
      </c>
      <c r="C282" t="s">
        <v>55</v>
      </c>
      <c r="D282" t="str">
        <f>IF(COUNTIFS(Verweise!$A$2:$A$4542,Übersicht!$C$7,Verweise!$B$2:$B$4542,B282)=1,"Feiertag",IF(C282="Samstag","",IF(C282="Sonntag","",Übersicht!$C$8)))</f>
        <v>Feiertag</v>
      </c>
    </row>
    <row r="283" spans="1:4" x14ac:dyDescent="0.25">
      <c r="A283" t="s">
        <v>58</v>
      </c>
      <c r="B283" s="48">
        <v>41998</v>
      </c>
      <c r="C283" t="s">
        <v>56</v>
      </c>
      <c r="D283" t="str">
        <f>IF(COUNTIFS(Verweise!$A$2:$A$4542,Übersicht!$C$7,Verweise!$B$2:$B$4542,B283)=1,"Feiertag",IF(C283="Samstag","",IF(C283="Sonntag","",Übersicht!$C$8)))</f>
        <v>Feiertag</v>
      </c>
    </row>
    <row r="284" spans="1:4" x14ac:dyDescent="0.25">
      <c r="A284" t="s">
        <v>60</v>
      </c>
      <c r="B284" s="48">
        <v>41639</v>
      </c>
      <c r="C284" t="s">
        <v>43</v>
      </c>
      <c r="D284" t="str">
        <f>IF(COUNTIFS(Verweise!$A$2:$A$4542,Übersicht!$C$7,Verweise!$B$2:$B$4542,B284)=1,"Feiertag",IF(C284="Samstag","",IF(C284="Sonntag","",Übersicht!$C$8)))</f>
        <v>Feiertag</v>
      </c>
    </row>
    <row r="285" spans="1:4" x14ac:dyDescent="0.25">
      <c r="A285" t="s">
        <v>60</v>
      </c>
      <c r="B285" s="48">
        <v>41727</v>
      </c>
      <c r="C285" t="s">
        <v>45</v>
      </c>
      <c r="D285" t="str">
        <f>IF(COUNTIFS(Verweise!$A$2:$A$4542,Übersicht!$C$7,Verweise!$B$2:$B$4542,B285)=1,"Feiertag",IF(C285="Samstag","",IF(C285="Sonntag","",Übersicht!$C$8)))</f>
        <v>Feiertag</v>
      </c>
    </row>
    <row r="286" spans="1:4" x14ac:dyDescent="0.25">
      <c r="A286" t="s">
        <v>60</v>
      </c>
      <c r="B286" s="48">
        <v>41729</v>
      </c>
      <c r="C286" t="s">
        <v>46</v>
      </c>
      <c r="D286" t="str">
        <f>IF(COUNTIFS(Verweise!$A$2:$A$4542,Übersicht!$C$7,Verweise!$B$2:$B$4542,B286)=1,"Feiertag",IF(C286="Samstag","",IF(C286="Sonntag","",Übersicht!$C$8)))</f>
        <v>Feiertag</v>
      </c>
    </row>
    <row r="287" spans="1:4" x14ac:dyDescent="0.25">
      <c r="A287" t="s">
        <v>60</v>
      </c>
      <c r="B287" s="48">
        <v>41730</v>
      </c>
      <c r="C287" t="s">
        <v>47</v>
      </c>
      <c r="D287" t="str">
        <f>IF(COUNTIFS(Verweise!$A$2:$A$4542,Übersicht!$C$7,Verweise!$B$2:$B$4542,B287)=1,"Feiertag",IF(C287="Samstag","",IF(C287="Sonntag","",Übersicht!$C$8)))</f>
        <v>Feiertag</v>
      </c>
    </row>
    <row r="288" spans="1:4" x14ac:dyDescent="0.25">
      <c r="A288" t="s">
        <v>60</v>
      </c>
      <c r="B288" s="48">
        <v>41759</v>
      </c>
      <c r="C288" t="s">
        <v>48</v>
      </c>
      <c r="D288" t="str">
        <f>IF(COUNTIFS(Verweise!$A$2:$A$4542,Übersicht!$C$7,Verweise!$B$2:$B$4542,B288)=1,"Feiertag",IF(C288="Samstag","",IF(C288="Sonntag","",Übersicht!$C$8)))</f>
        <v>Feiertag</v>
      </c>
    </row>
    <row r="289" spans="1:4" x14ac:dyDescent="0.25">
      <c r="A289" t="s">
        <v>60</v>
      </c>
      <c r="B289" s="48">
        <v>41768</v>
      </c>
      <c r="C289" t="s">
        <v>49</v>
      </c>
      <c r="D289" t="str">
        <f>IF(COUNTIFS(Verweise!$A$2:$A$4542,Übersicht!$C$7,Verweise!$B$2:$B$4542,B289)=1,"Feiertag",IF(C289="Samstag","",IF(C289="Sonntag","",Übersicht!$C$8)))</f>
        <v>Feiertag</v>
      </c>
    </row>
    <row r="290" spans="1:4" x14ac:dyDescent="0.25">
      <c r="A290" t="s">
        <v>60</v>
      </c>
      <c r="B290" s="48">
        <v>41778</v>
      </c>
      <c r="C290" t="s">
        <v>50</v>
      </c>
      <c r="D290" t="str">
        <f>IF(COUNTIFS(Verweise!$A$2:$A$4542,Übersicht!$C$7,Verweise!$B$2:$B$4542,B290)=1,"Feiertag",IF(C290="Samstag","",IF(C290="Sonntag","",Übersicht!$C$8)))</f>
        <v>Feiertag</v>
      </c>
    </row>
    <row r="291" spans="1:4" x14ac:dyDescent="0.25">
      <c r="A291" t="s">
        <v>60</v>
      </c>
      <c r="B291" s="48">
        <v>41779</v>
      </c>
      <c r="C291" t="s">
        <v>51</v>
      </c>
      <c r="D291" t="str">
        <f>IF(COUNTIFS(Verweise!$A$2:$A$4542,Übersicht!$C$7,Verweise!$B$2:$B$4542,B291)=1,"Feiertag",IF(C291="Samstag","",IF(C291="Sonntag","",Übersicht!$C$8)))</f>
        <v>Feiertag</v>
      </c>
    </row>
    <row r="292" spans="1:4" x14ac:dyDescent="0.25">
      <c r="A292" t="s">
        <v>60</v>
      </c>
      <c r="B292" s="48">
        <v>41914</v>
      </c>
      <c r="C292" t="s">
        <v>53</v>
      </c>
      <c r="D292" t="str">
        <f>IF(COUNTIFS(Verweise!$A$2:$A$4542,Übersicht!$C$7,Verweise!$B$2:$B$4542,B292)=1,"Feiertag",IF(C292="Samstag","",IF(C292="Sonntag","",Übersicht!$C$8)))</f>
        <v>Feiertag</v>
      </c>
    </row>
    <row r="293" spans="1:4" x14ac:dyDescent="0.25">
      <c r="A293" t="s">
        <v>60</v>
      </c>
      <c r="B293" s="48">
        <v>41997</v>
      </c>
      <c r="C293" t="s">
        <v>55</v>
      </c>
      <c r="D293" t="str">
        <f>IF(COUNTIFS(Verweise!$A$2:$A$4542,Übersicht!$C$7,Verweise!$B$2:$B$4542,B293)=1,"Feiertag",IF(C293="Samstag","",IF(C293="Sonntag","",Übersicht!$C$8)))</f>
        <v>Feiertag</v>
      </c>
    </row>
    <row r="294" spans="1:4" x14ac:dyDescent="0.25">
      <c r="A294" t="s">
        <v>60</v>
      </c>
      <c r="B294" s="48">
        <v>41998</v>
      </c>
      <c r="C294" t="s">
        <v>56</v>
      </c>
      <c r="D294" t="str">
        <f>IF(COUNTIFS(Verweise!$A$2:$A$4542,Übersicht!$C$7,Verweise!$B$2:$B$4542,B294)=1,"Feiertag",IF(C294="Samstag","",IF(C294="Sonntag","",Übersicht!$C$8)))</f>
        <v>Feiertag</v>
      </c>
    </row>
    <row r="295" spans="1:4" x14ac:dyDescent="0.25">
      <c r="A295" t="s">
        <v>61</v>
      </c>
      <c r="B295" s="48">
        <v>41639</v>
      </c>
      <c r="C295" t="s">
        <v>43</v>
      </c>
      <c r="D295" t="str">
        <f>IF(COUNTIFS(Verweise!$A$2:$A$4542,Übersicht!$C$7,Verweise!$B$2:$B$4542,B295)=1,"Feiertag",IF(C295="Samstag","",IF(C295="Sonntag","",Übersicht!$C$8)))</f>
        <v>Feiertag</v>
      </c>
    </row>
    <row r="296" spans="1:4" x14ac:dyDescent="0.25">
      <c r="A296" t="s">
        <v>61</v>
      </c>
      <c r="B296" s="48">
        <v>41727</v>
      </c>
      <c r="C296" t="s">
        <v>45</v>
      </c>
      <c r="D296" t="str">
        <f>IF(COUNTIFS(Verweise!$A$2:$A$4542,Übersicht!$C$7,Verweise!$B$2:$B$4542,B296)=1,"Feiertag",IF(C296="Samstag","",IF(C296="Sonntag","",Übersicht!$C$8)))</f>
        <v>Feiertag</v>
      </c>
    </row>
    <row r="297" spans="1:4" x14ac:dyDescent="0.25">
      <c r="A297" t="s">
        <v>61</v>
      </c>
      <c r="B297" s="48">
        <v>41729</v>
      </c>
      <c r="C297" t="s">
        <v>46</v>
      </c>
      <c r="D297" t="str">
        <f>IF(COUNTIFS(Verweise!$A$2:$A$4542,Übersicht!$C$7,Verweise!$B$2:$B$4542,B297)=1,"Feiertag",IF(C297="Samstag","",IF(C297="Sonntag","",Übersicht!$C$8)))</f>
        <v>Feiertag</v>
      </c>
    </row>
    <row r="298" spans="1:4" x14ac:dyDescent="0.25">
      <c r="A298" t="s">
        <v>61</v>
      </c>
      <c r="B298" s="48">
        <v>41730</v>
      </c>
      <c r="C298" t="s">
        <v>47</v>
      </c>
      <c r="D298" t="str">
        <f>IF(COUNTIFS(Verweise!$A$2:$A$4542,Übersicht!$C$7,Verweise!$B$2:$B$4542,B298)=1,"Feiertag",IF(C298="Samstag","",IF(C298="Sonntag","",Übersicht!$C$8)))</f>
        <v>Feiertag</v>
      </c>
    </row>
    <row r="299" spans="1:4" x14ac:dyDescent="0.25">
      <c r="A299" t="s">
        <v>61</v>
      </c>
      <c r="B299" s="48">
        <v>41759</v>
      </c>
      <c r="C299" t="s">
        <v>48</v>
      </c>
      <c r="D299" t="str">
        <f>IF(COUNTIFS(Verweise!$A$2:$A$4542,Übersicht!$C$7,Verweise!$B$2:$B$4542,B299)=1,"Feiertag",IF(C299="Samstag","",IF(C299="Sonntag","",Übersicht!$C$8)))</f>
        <v>Feiertag</v>
      </c>
    </row>
    <row r="300" spans="1:4" x14ac:dyDescent="0.25">
      <c r="A300" t="s">
        <v>61</v>
      </c>
      <c r="B300" s="48">
        <v>41768</v>
      </c>
      <c r="C300" t="s">
        <v>49</v>
      </c>
      <c r="D300" t="str">
        <f>IF(COUNTIFS(Verweise!$A$2:$A$4542,Übersicht!$C$7,Verweise!$B$2:$B$4542,B300)=1,"Feiertag",IF(C300="Samstag","",IF(C300="Sonntag","",Übersicht!$C$8)))</f>
        <v>Feiertag</v>
      </c>
    </row>
    <row r="301" spans="1:4" x14ac:dyDescent="0.25">
      <c r="A301" t="s">
        <v>61</v>
      </c>
      <c r="B301" s="48">
        <v>41778</v>
      </c>
      <c r="C301" t="s">
        <v>50</v>
      </c>
      <c r="D301" t="str">
        <f>IF(COUNTIFS(Verweise!$A$2:$A$4542,Übersicht!$C$7,Verweise!$B$2:$B$4542,B301)=1,"Feiertag",IF(C301="Samstag","",IF(C301="Sonntag","",Übersicht!$C$8)))</f>
        <v>Feiertag</v>
      </c>
    </row>
    <row r="302" spans="1:4" x14ac:dyDescent="0.25">
      <c r="A302" t="s">
        <v>61</v>
      </c>
      <c r="B302" s="48">
        <v>41779</v>
      </c>
      <c r="C302" t="s">
        <v>51</v>
      </c>
      <c r="D302" t="str">
        <f>IF(COUNTIFS(Verweise!$A$2:$A$4542,Übersicht!$C$7,Verweise!$B$2:$B$4542,B302)=1,"Feiertag",IF(C302="Samstag","",IF(C302="Sonntag","",Übersicht!$C$8)))</f>
        <v>Feiertag</v>
      </c>
    </row>
    <row r="303" spans="1:4" x14ac:dyDescent="0.25">
      <c r="A303" t="s">
        <v>61</v>
      </c>
      <c r="B303" s="48">
        <v>41914</v>
      </c>
      <c r="C303" t="s">
        <v>53</v>
      </c>
      <c r="D303" t="str">
        <f>IF(COUNTIFS(Verweise!$A$2:$A$4542,Übersicht!$C$7,Verweise!$B$2:$B$4542,B303)=1,"Feiertag",IF(C303="Samstag","",IF(C303="Sonntag","",Übersicht!$C$8)))</f>
        <v>Feiertag</v>
      </c>
    </row>
    <row r="304" spans="1:4" x14ac:dyDescent="0.25">
      <c r="A304" t="s">
        <v>61</v>
      </c>
      <c r="B304" s="48">
        <v>41942</v>
      </c>
      <c r="C304" t="s">
        <v>62</v>
      </c>
      <c r="D304" t="str">
        <f>IF(COUNTIFS(Verweise!$A$2:$A$4542,Übersicht!$C$7,Verweise!$B$2:$B$4542,B304)=1,"Feiertag",IF(C304="Samstag","",IF(C304="Sonntag","",Übersicht!$C$8)))</f>
        <v>Büro</v>
      </c>
    </row>
    <row r="305" spans="1:4" x14ac:dyDescent="0.25">
      <c r="A305" t="s">
        <v>61</v>
      </c>
      <c r="B305" s="48">
        <v>41997</v>
      </c>
      <c r="C305" t="s">
        <v>55</v>
      </c>
      <c r="D305" t="str">
        <f>IF(COUNTIFS(Verweise!$A$2:$A$4542,Übersicht!$C$7,Verweise!$B$2:$B$4542,B305)=1,"Feiertag",IF(C305="Samstag","",IF(C305="Sonntag","",Übersicht!$C$8)))</f>
        <v>Feiertag</v>
      </c>
    </row>
    <row r="306" spans="1:4" x14ac:dyDescent="0.25">
      <c r="A306" t="s">
        <v>61</v>
      </c>
      <c r="B306" s="48">
        <v>41998</v>
      </c>
      <c r="C306" t="s">
        <v>56</v>
      </c>
      <c r="D306" t="str">
        <f>IF(COUNTIFS(Verweise!$A$2:$A$4542,Übersicht!$C$7,Verweise!$B$2:$B$4542,B306)=1,"Feiertag",IF(C306="Samstag","",IF(C306="Sonntag","",Übersicht!$C$8)))</f>
        <v>Feiertag</v>
      </c>
    </row>
    <row r="307" spans="1:4" x14ac:dyDescent="0.25">
      <c r="A307" t="s">
        <v>63</v>
      </c>
      <c r="B307" s="48">
        <v>41639</v>
      </c>
      <c r="C307" t="s">
        <v>43</v>
      </c>
      <c r="D307" t="str">
        <f>IF(COUNTIFS(Verweise!$A$2:$A$4542,Übersicht!$C$7,Verweise!$B$2:$B$4542,B307)=1,"Feiertag",IF(C307="Samstag","",IF(C307="Sonntag","",Übersicht!$C$8)))</f>
        <v>Feiertag</v>
      </c>
    </row>
    <row r="308" spans="1:4" x14ac:dyDescent="0.25">
      <c r="A308" t="s">
        <v>63</v>
      </c>
      <c r="B308" s="48">
        <v>41727</v>
      </c>
      <c r="C308" t="s">
        <v>45</v>
      </c>
      <c r="D308" t="str">
        <f>IF(COUNTIFS(Verweise!$A$2:$A$4542,Übersicht!$C$7,Verweise!$B$2:$B$4542,B308)=1,"Feiertag",IF(C308="Samstag","",IF(C308="Sonntag","",Übersicht!$C$8)))</f>
        <v>Feiertag</v>
      </c>
    </row>
    <row r="309" spans="1:4" x14ac:dyDescent="0.25">
      <c r="A309" t="s">
        <v>63</v>
      </c>
      <c r="B309" s="48">
        <v>41729</v>
      </c>
      <c r="C309" t="s">
        <v>46</v>
      </c>
      <c r="D309" t="str">
        <f>IF(COUNTIFS(Verweise!$A$2:$A$4542,Übersicht!$C$7,Verweise!$B$2:$B$4542,B309)=1,"Feiertag",IF(C309="Samstag","",IF(C309="Sonntag","",Übersicht!$C$8)))</f>
        <v>Feiertag</v>
      </c>
    </row>
    <row r="310" spans="1:4" x14ac:dyDescent="0.25">
      <c r="A310" t="s">
        <v>63</v>
      </c>
      <c r="B310" s="48">
        <v>41730</v>
      </c>
      <c r="C310" t="s">
        <v>47</v>
      </c>
      <c r="D310" t="str">
        <f>IF(COUNTIFS(Verweise!$A$2:$A$4542,Übersicht!$C$7,Verweise!$B$2:$B$4542,B310)=1,"Feiertag",IF(C310="Samstag","",IF(C310="Sonntag","",Übersicht!$C$8)))</f>
        <v>Feiertag</v>
      </c>
    </row>
    <row r="311" spans="1:4" x14ac:dyDescent="0.25">
      <c r="A311" t="s">
        <v>63</v>
      </c>
      <c r="B311" s="48">
        <v>41759</v>
      </c>
      <c r="C311" t="s">
        <v>48</v>
      </c>
      <c r="D311" t="str">
        <f>IF(COUNTIFS(Verweise!$A$2:$A$4542,Übersicht!$C$7,Verweise!$B$2:$B$4542,B311)=1,"Feiertag",IF(C311="Samstag","",IF(C311="Sonntag","",Übersicht!$C$8)))</f>
        <v>Feiertag</v>
      </c>
    </row>
    <row r="312" spans="1:4" x14ac:dyDescent="0.25">
      <c r="A312" t="s">
        <v>63</v>
      </c>
      <c r="B312" s="48">
        <v>41768</v>
      </c>
      <c r="C312" t="s">
        <v>49</v>
      </c>
      <c r="D312" t="str">
        <f>IF(COUNTIFS(Verweise!$A$2:$A$4542,Übersicht!$C$7,Verweise!$B$2:$B$4542,B312)=1,"Feiertag",IF(C312="Samstag","",IF(C312="Sonntag","",Übersicht!$C$8)))</f>
        <v>Feiertag</v>
      </c>
    </row>
    <row r="313" spans="1:4" x14ac:dyDescent="0.25">
      <c r="A313" t="s">
        <v>63</v>
      </c>
      <c r="B313" s="48">
        <v>41778</v>
      </c>
      <c r="C313" t="s">
        <v>50</v>
      </c>
      <c r="D313" t="str">
        <f>IF(COUNTIFS(Verweise!$A$2:$A$4542,Übersicht!$C$7,Verweise!$B$2:$B$4542,B313)=1,"Feiertag",IF(C313="Samstag","",IF(C313="Sonntag","",Übersicht!$C$8)))</f>
        <v>Feiertag</v>
      </c>
    </row>
    <row r="314" spans="1:4" x14ac:dyDescent="0.25">
      <c r="A314" t="s">
        <v>63</v>
      </c>
      <c r="B314" s="48">
        <v>41779</v>
      </c>
      <c r="C314" t="s">
        <v>51</v>
      </c>
      <c r="D314" t="str">
        <f>IF(COUNTIFS(Verweise!$A$2:$A$4542,Übersicht!$C$7,Verweise!$B$2:$B$4542,B314)=1,"Feiertag",IF(C314="Samstag","",IF(C314="Sonntag","",Übersicht!$C$8)))</f>
        <v>Feiertag</v>
      </c>
    </row>
    <row r="315" spans="1:4" x14ac:dyDescent="0.25">
      <c r="A315" t="s">
        <v>63</v>
      </c>
      <c r="B315" s="48">
        <v>41914</v>
      </c>
      <c r="C315" t="s">
        <v>53</v>
      </c>
      <c r="D315" t="str">
        <f>IF(COUNTIFS(Verweise!$A$2:$A$4542,Übersicht!$C$7,Verweise!$B$2:$B$4542,B315)=1,"Feiertag",IF(C315="Samstag","",IF(C315="Sonntag","",Übersicht!$C$8)))</f>
        <v>Feiertag</v>
      </c>
    </row>
    <row r="316" spans="1:4" x14ac:dyDescent="0.25">
      <c r="A316" t="s">
        <v>63</v>
      </c>
      <c r="B316" s="48">
        <v>41997</v>
      </c>
      <c r="C316" t="s">
        <v>55</v>
      </c>
      <c r="D316" t="str">
        <f>IF(COUNTIFS(Verweise!$A$2:$A$4542,Übersicht!$C$7,Verweise!$B$2:$B$4542,B316)=1,"Feiertag",IF(C316="Samstag","",IF(C316="Sonntag","",Übersicht!$C$8)))</f>
        <v>Feiertag</v>
      </c>
    </row>
    <row r="317" spans="1:4" x14ac:dyDescent="0.25">
      <c r="A317" t="s">
        <v>63</v>
      </c>
      <c r="B317" s="48">
        <v>41998</v>
      </c>
      <c r="C317" t="s">
        <v>56</v>
      </c>
      <c r="D317" t="str">
        <f>IF(COUNTIFS(Verweise!$A$2:$A$4542,Übersicht!$C$7,Verweise!$B$2:$B$4542,B317)=1,"Feiertag",IF(C317="Samstag","",IF(C317="Sonntag","",Übersicht!$C$8)))</f>
        <v>Feiertag</v>
      </c>
    </row>
    <row r="318" spans="1:4" x14ac:dyDescent="0.25">
      <c r="A318" t="s">
        <v>64</v>
      </c>
      <c r="B318" s="48">
        <v>41639</v>
      </c>
      <c r="C318" t="s">
        <v>43</v>
      </c>
      <c r="D318" t="str">
        <f>IF(COUNTIFS(Verweise!$A$2:$A$4542,Übersicht!$C$7,Verweise!$B$2:$B$4542,B318)=1,"Feiertag",IF(C318="Samstag","",IF(C318="Sonntag","",Übersicht!$C$8)))</f>
        <v>Feiertag</v>
      </c>
    </row>
    <row r="319" spans="1:4" x14ac:dyDescent="0.25">
      <c r="A319" t="s">
        <v>64</v>
      </c>
      <c r="B319" s="48">
        <v>41727</v>
      </c>
      <c r="C319" t="s">
        <v>45</v>
      </c>
      <c r="D319" t="str">
        <f>IF(COUNTIFS(Verweise!$A$2:$A$4542,Übersicht!$C$7,Verweise!$B$2:$B$4542,B319)=1,"Feiertag",IF(C319="Samstag","",IF(C319="Sonntag","",Übersicht!$C$8)))</f>
        <v>Feiertag</v>
      </c>
    </row>
    <row r="320" spans="1:4" x14ac:dyDescent="0.25">
      <c r="A320" t="s">
        <v>64</v>
      </c>
      <c r="B320" s="48">
        <v>41729</v>
      </c>
      <c r="C320" t="s">
        <v>46</v>
      </c>
      <c r="D320" t="str">
        <f>IF(COUNTIFS(Verweise!$A$2:$A$4542,Übersicht!$C$7,Verweise!$B$2:$B$4542,B320)=1,"Feiertag",IF(C320="Samstag","",IF(C320="Sonntag","",Übersicht!$C$8)))</f>
        <v>Feiertag</v>
      </c>
    </row>
    <row r="321" spans="1:4" x14ac:dyDescent="0.25">
      <c r="A321" t="s">
        <v>64</v>
      </c>
      <c r="B321" s="48">
        <v>41730</v>
      </c>
      <c r="C321" t="s">
        <v>47</v>
      </c>
      <c r="D321" t="str">
        <f>IF(COUNTIFS(Verweise!$A$2:$A$4542,Übersicht!$C$7,Verweise!$B$2:$B$4542,B321)=1,"Feiertag",IF(C321="Samstag","",IF(C321="Sonntag","",Übersicht!$C$8)))</f>
        <v>Feiertag</v>
      </c>
    </row>
    <row r="322" spans="1:4" x14ac:dyDescent="0.25">
      <c r="A322" t="s">
        <v>64</v>
      </c>
      <c r="B322" s="48">
        <v>41759</v>
      </c>
      <c r="C322" t="s">
        <v>48</v>
      </c>
      <c r="D322" t="str">
        <f>IF(COUNTIFS(Verweise!$A$2:$A$4542,Übersicht!$C$7,Verweise!$B$2:$B$4542,B322)=1,"Feiertag",IF(C322="Samstag","",IF(C322="Sonntag","",Übersicht!$C$8)))</f>
        <v>Feiertag</v>
      </c>
    </row>
    <row r="323" spans="1:4" x14ac:dyDescent="0.25">
      <c r="A323" t="s">
        <v>64</v>
      </c>
      <c r="B323" s="48">
        <v>41768</v>
      </c>
      <c r="C323" t="s">
        <v>49</v>
      </c>
      <c r="D323" t="str">
        <f>IF(COUNTIFS(Verweise!$A$2:$A$4542,Übersicht!$C$7,Verweise!$B$2:$B$4542,B323)=1,"Feiertag",IF(C323="Samstag","",IF(C323="Sonntag","",Übersicht!$C$8)))</f>
        <v>Feiertag</v>
      </c>
    </row>
    <row r="324" spans="1:4" x14ac:dyDescent="0.25">
      <c r="A324" t="s">
        <v>64</v>
      </c>
      <c r="B324" s="48">
        <v>41778</v>
      </c>
      <c r="C324" t="s">
        <v>50</v>
      </c>
      <c r="D324" t="str">
        <f>IF(COUNTIFS(Verweise!$A$2:$A$4542,Übersicht!$C$7,Verweise!$B$2:$B$4542,B324)=1,"Feiertag",IF(C324="Samstag","",IF(C324="Sonntag","",Übersicht!$C$8)))</f>
        <v>Feiertag</v>
      </c>
    </row>
    <row r="325" spans="1:4" x14ac:dyDescent="0.25">
      <c r="A325" t="s">
        <v>64</v>
      </c>
      <c r="B325" s="48">
        <v>41779</v>
      </c>
      <c r="C325" t="s">
        <v>51</v>
      </c>
      <c r="D325" t="str">
        <f>IF(COUNTIFS(Verweise!$A$2:$A$4542,Übersicht!$C$7,Verweise!$B$2:$B$4542,B325)=1,"Feiertag",IF(C325="Samstag","",IF(C325="Sonntag","",Übersicht!$C$8)))</f>
        <v>Feiertag</v>
      </c>
    </row>
    <row r="326" spans="1:4" x14ac:dyDescent="0.25">
      <c r="A326" t="s">
        <v>64</v>
      </c>
      <c r="B326" s="48">
        <v>41914</v>
      </c>
      <c r="C326" t="s">
        <v>53</v>
      </c>
      <c r="D326" t="str">
        <f>IF(COUNTIFS(Verweise!$A$2:$A$4542,Übersicht!$C$7,Verweise!$B$2:$B$4542,B326)=1,"Feiertag",IF(C326="Samstag","",IF(C326="Sonntag","",Übersicht!$C$8)))</f>
        <v>Feiertag</v>
      </c>
    </row>
    <row r="327" spans="1:4" x14ac:dyDescent="0.25">
      <c r="A327" t="s">
        <v>64</v>
      </c>
      <c r="B327" s="48">
        <v>41997</v>
      </c>
      <c r="C327" t="s">
        <v>55</v>
      </c>
      <c r="D327" t="str">
        <f>IF(COUNTIFS(Verweise!$A$2:$A$4542,Übersicht!$C$7,Verweise!$B$2:$B$4542,B327)=1,"Feiertag",IF(C327="Samstag","",IF(C327="Sonntag","",Übersicht!$C$8)))</f>
        <v>Feiertag</v>
      </c>
    </row>
    <row r="328" spans="1:4" x14ac:dyDescent="0.25">
      <c r="A328" t="s">
        <v>64</v>
      </c>
      <c r="B328" s="48">
        <v>41998</v>
      </c>
      <c r="C328" t="s">
        <v>56</v>
      </c>
      <c r="D328" t="str">
        <f>IF(COUNTIFS(Verweise!$A$2:$A$4542,Übersicht!$C$7,Verweise!$B$2:$B$4542,B328)=1,"Feiertag",IF(C328="Samstag","",IF(C328="Sonntag","",Übersicht!$C$8)))</f>
        <v>Feiertag</v>
      </c>
    </row>
    <row r="329" spans="1:4" x14ac:dyDescent="0.25">
      <c r="A329" t="s">
        <v>65</v>
      </c>
      <c r="B329" s="48">
        <v>41639</v>
      </c>
      <c r="C329" t="s">
        <v>43</v>
      </c>
      <c r="D329" t="str">
        <f>IF(COUNTIFS(Verweise!$A$2:$A$4542,Übersicht!$C$7,Verweise!$B$2:$B$4542,B329)=1,"Feiertag",IF(C329="Samstag","",IF(C329="Sonntag","",Übersicht!$C$8)))</f>
        <v>Feiertag</v>
      </c>
    </row>
    <row r="330" spans="1:4" x14ac:dyDescent="0.25">
      <c r="A330" t="s">
        <v>65</v>
      </c>
      <c r="B330" s="48">
        <v>41727</v>
      </c>
      <c r="C330" t="s">
        <v>45</v>
      </c>
      <c r="D330" t="str">
        <f>IF(COUNTIFS(Verweise!$A$2:$A$4542,Übersicht!$C$7,Verweise!$B$2:$B$4542,B330)=1,"Feiertag",IF(C330="Samstag","",IF(C330="Sonntag","",Übersicht!$C$8)))</f>
        <v>Feiertag</v>
      </c>
    </row>
    <row r="331" spans="1:4" x14ac:dyDescent="0.25">
      <c r="A331" t="s">
        <v>65</v>
      </c>
      <c r="B331" s="48">
        <v>41729</v>
      </c>
      <c r="C331" t="s">
        <v>46</v>
      </c>
      <c r="D331" t="str">
        <f>IF(COUNTIFS(Verweise!$A$2:$A$4542,Übersicht!$C$7,Verweise!$B$2:$B$4542,B331)=1,"Feiertag",IF(C331="Samstag","",IF(C331="Sonntag","",Übersicht!$C$8)))</f>
        <v>Feiertag</v>
      </c>
    </row>
    <row r="332" spans="1:4" x14ac:dyDescent="0.25">
      <c r="A332" t="s">
        <v>65</v>
      </c>
      <c r="B332" s="48">
        <v>41730</v>
      </c>
      <c r="C332" t="s">
        <v>47</v>
      </c>
      <c r="D332" t="str">
        <f>IF(COUNTIFS(Verweise!$A$2:$A$4542,Übersicht!$C$7,Verweise!$B$2:$B$4542,B332)=1,"Feiertag",IF(C332="Samstag","",IF(C332="Sonntag","",Übersicht!$C$8)))</f>
        <v>Feiertag</v>
      </c>
    </row>
    <row r="333" spans="1:4" x14ac:dyDescent="0.25">
      <c r="A333" t="s">
        <v>65</v>
      </c>
      <c r="B333" s="48">
        <v>41759</v>
      </c>
      <c r="C333" t="s">
        <v>48</v>
      </c>
      <c r="D333" t="str">
        <f>IF(COUNTIFS(Verweise!$A$2:$A$4542,Übersicht!$C$7,Verweise!$B$2:$B$4542,B333)=1,"Feiertag",IF(C333="Samstag","",IF(C333="Sonntag","",Übersicht!$C$8)))</f>
        <v>Feiertag</v>
      </c>
    </row>
    <row r="334" spans="1:4" x14ac:dyDescent="0.25">
      <c r="A334" t="s">
        <v>65</v>
      </c>
      <c r="B334" s="48">
        <v>41768</v>
      </c>
      <c r="C334" t="s">
        <v>49</v>
      </c>
      <c r="D334" t="str">
        <f>IF(COUNTIFS(Verweise!$A$2:$A$4542,Übersicht!$C$7,Verweise!$B$2:$B$4542,B334)=1,"Feiertag",IF(C334="Samstag","",IF(C334="Sonntag","",Übersicht!$C$8)))</f>
        <v>Feiertag</v>
      </c>
    </row>
    <row r="335" spans="1:4" x14ac:dyDescent="0.25">
      <c r="A335" t="s">
        <v>65</v>
      </c>
      <c r="B335" s="48">
        <v>41778</v>
      </c>
      <c r="C335" t="s">
        <v>50</v>
      </c>
      <c r="D335" t="str">
        <f>IF(COUNTIFS(Verweise!$A$2:$A$4542,Übersicht!$C$7,Verweise!$B$2:$B$4542,B335)=1,"Feiertag",IF(C335="Samstag","",IF(C335="Sonntag","",Übersicht!$C$8)))</f>
        <v>Feiertag</v>
      </c>
    </row>
    <row r="336" spans="1:4" x14ac:dyDescent="0.25">
      <c r="A336" t="s">
        <v>65</v>
      </c>
      <c r="B336" s="48">
        <v>41779</v>
      </c>
      <c r="C336" t="s">
        <v>51</v>
      </c>
      <c r="D336" t="str">
        <f>IF(COUNTIFS(Verweise!$A$2:$A$4542,Übersicht!$C$7,Verweise!$B$2:$B$4542,B336)=1,"Feiertag",IF(C336="Samstag","",IF(C336="Sonntag","",Übersicht!$C$8)))</f>
        <v>Feiertag</v>
      </c>
    </row>
    <row r="337" spans="1:4" x14ac:dyDescent="0.25">
      <c r="A337" t="s">
        <v>65</v>
      </c>
      <c r="B337" s="48">
        <v>41789</v>
      </c>
      <c r="C337" t="s">
        <v>52</v>
      </c>
      <c r="D337" t="str">
        <f>IF(COUNTIFS(Verweise!$A$2:$A$4542,Übersicht!$C$7,Verweise!$B$2:$B$4542,B337)=1,"Feiertag",IF(C337="Samstag","",IF(C337="Sonntag","",Übersicht!$C$8)))</f>
        <v>Feiertag</v>
      </c>
    </row>
    <row r="338" spans="1:4" x14ac:dyDescent="0.25">
      <c r="A338" t="s">
        <v>65</v>
      </c>
      <c r="B338" s="48">
        <v>41914</v>
      </c>
      <c r="C338" t="s">
        <v>53</v>
      </c>
      <c r="D338" t="str">
        <f>IF(COUNTIFS(Verweise!$A$2:$A$4542,Übersicht!$C$7,Verweise!$B$2:$B$4542,B338)=1,"Feiertag",IF(C338="Samstag","",IF(C338="Sonntag","",Übersicht!$C$8)))</f>
        <v>Feiertag</v>
      </c>
    </row>
    <row r="339" spans="1:4" x14ac:dyDescent="0.25">
      <c r="A339" t="s">
        <v>65</v>
      </c>
      <c r="B339" s="48">
        <v>41997</v>
      </c>
      <c r="C339" t="s">
        <v>55</v>
      </c>
      <c r="D339" t="str">
        <f>IF(COUNTIFS(Verweise!$A$2:$A$4542,Übersicht!$C$7,Verweise!$B$2:$B$4542,B339)=1,"Feiertag",IF(C339="Samstag","",IF(C339="Sonntag","",Übersicht!$C$8)))</f>
        <v>Feiertag</v>
      </c>
    </row>
    <row r="340" spans="1:4" x14ac:dyDescent="0.25">
      <c r="A340" t="s">
        <v>65</v>
      </c>
      <c r="B340" s="48">
        <v>41998</v>
      </c>
      <c r="C340" t="s">
        <v>56</v>
      </c>
      <c r="D340" t="str">
        <f>IF(COUNTIFS(Verweise!$A$2:$A$4542,Übersicht!$C$7,Verweise!$B$2:$B$4542,B340)=1,"Feiertag",IF(C340="Samstag","",IF(C340="Sonntag","",Übersicht!$C$8)))</f>
        <v>Feiertag</v>
      </c>
    </row>
    <row r="341" spans="1:4" x14ac:dyDescent="0.25">
      <c r="A341" t="s">
        <v>66</v>
      </c>
      <c r="B341" s="48">
        <v>41639</v>
      </c>
      <c r="C341" t="s">
        <v>43</v>
      </c>
      <c r="D341" t="str">
        <f>IF(COUNTIFS(Verweise!$A$2:$A$4542,Übersicht!$C$7,Verweise!$B$2:$B$4542,B341)=1,"Feiertag",IF(C341="Samstag","",IF(C341="Sonntag","",Übersicht!$C$8)))</f>
        <v>Feiertag</v>
      </c>
    </row>
    <row r="342" spans="1:4" x14ac:dyDescent="0.25">
      <c r="A342" t="s">
        <v>66</v>
      </c>
      <c r="B342" s="48">
        <v>41727</v>
      </c>
      <c r="C342" t="s">
        <v>45</v>
      </c>
      <c r="D342" t="str">
        <f>IF(COUNTIFS(Verweise!$A$2:$A$4542,Übersicht!$C$7,Verweise!$B$2:$B$4542,B342)=1,"Feiertag",IF(C342="Samstag","",IF(C342="Sonntag","",Übersicht!$C$8)))</f>
        <v>Feiertag</v>
      </c>
    </row>
    <row r="343" spans="1:4" x14ac:dyDescent="0.25">
      <c r="A343" t="s">
        <v>66</v>
      </c>
      <c r="B343" s="48">
        <v>41729</v>
      </c>
      <c r="C343" t="s">
        <v>46</v>
      </c>
      <c r="D343" t="str">
        <f>IF(COUNTIFS(Verweise!$A$2:$A$4542,Übersicht!$C$7,Verweise!$B$2:$B$4542,B343)=1,"Feiertag",IF(C343="Samstag","",IF(C343="Sonntag","",Übersicht!$C$8)))</f>
        <v>Feiertag</v>
      </c>
    </row>
    <row r="344" spans="1:4" x14ac:dyDescent="0.25">
      <c r="A344" t="s">
        <v>66</v>
      </c>
      <c r="B344" s="48">
        <v>41730</v>
      </c>
      <c r="C344" t="s">
        <v>47</v>
      </c>
      <c r="D344" t="str">
        <f>IF(COUNTIFS(Verweise!$A$2:$A$4542,Übersicht!$C$7,Verweise!$B$2:$B$4542,B344)=1,"Feiertag",IF(C344="Samstag","",IF(C344="Sonntag","",Übersicht!$C$8)))</f>
        <v>Feiertag</v>
      </c>
    </row>
    <row r="345" spans="1:4" x14ac:dyDescent="0.25">
      <c r="A345" t="s">
        <v>66</v>
      </c>
      <c r="B345" s="48">
        <v>41759</v>
      </c>
      <c r="C345" t="s">
        <v>48</v>
      </c>
      <c r="D345" t="str">
        <f>IF(COUNTIFS(Verweise!$A$2:$A$4542,Übersicht!$C$7,Verweise!$B$2:$B$4542,B345)=1,"Feiertag",IF(C345="Samstag","",IF(C345="Sonntag","",Übersicht!$C$8)))</f>
        <v>Feiertag</v>
      </c>
    </row>
    <row r="346" spans="1:4" x14ac:dyDescent="0.25">
      <c r="A346" t="s">
        <v>66</v>
      </c>
      <c r="B346" s="48">
        <v>41768</v>
      </c>
      <c r="C346" t="s">
        <v>49</v>
      </c>
      <c r="D346" t="str">
        <f>IF(COUNTIFS(Verweise!$A$2:$A$4542,Übersicht!$C$7,Verweise!$B$2:$B$4542,B346)=1,"Feiertag",IF(C346="Samstag","",IF(C346="Sonntag","",Übersicht!$C$8)))</f>
        <v>Feiertag</v>
      </c>
    </row>
    <row r="347" spans="1:4" x14ac:dyDescent="0.25">
      <c r="A347" t="s">
        <v>66</v>
      </c>
      <c r="B347" s="48">
        <v>41778</v>
      </c>
      <c r="C347" t="s">
        <v>50</v>
      </c>
      <c r="D347" t="str">
        <f>IF(COUNTIFS(Verweise!$A$2:$A$4542,Übersicht!$C$7,Verweise!$B$2:$B$4542,B347)=1,"Feiertag",IF(C347="Samstag","",IF(C347="Sonntag","",Übersicht!$C$8)))</f>
        <v>Feiertag</v>
      </c>
    </row>
    <row r="348" spans="1:4" x14ac:dyDescent="0.25">
      <c r="A348" t="s">
        <v>66</v>
      </c>
      <c r="B348" s="48">
        <v>41779</v>
      </c>
      <c r="C348" t="s">
        <v>51</v>
      </c>
      <c r="D348" t="str">
        <f>IF(COUNTIFS(Verweise!$A$2:$A$4542,Übersicht!$C$7,Verweise!$B$2:$B$4542,B348)=1,"Feiertag",IF(C348="Samstag","",IF(C348="Sonntag","",Übersicht!$C$8)))</f>
        <v>Feiertag</v>
      </c>
    </row>
    <row r="349" spans="1:4" x14ac:dyDescent="0.25">
      <c r="A349" t="s">
        <v>66</v>
      </c>
      <c r="B349" s="48">
        <v>41914</v>
      </c>
      <c r="C349" t="s">
        <v>53</v>
      </c>
      <c r="D349" t="str">
        <f>IF(COUNTIFS(Verweise!$A$2:$A$4542,Übersicht!$C$7,Verweise!$B$2:$B$4542,B349)=1,"Feiertag",IF(C349="Samstag","",IF(C349="Sonntag","",Übersicht!$C$8)))</f>
        <v>Feiertag</v>
      </c>
    </row>
    <row r="350" spans="1:4" x14ac:dyDescent="0.25">
      <c r="A350" t="s">
        <v>66</v>
      </c>
      <c r="B350" s="48">
        <v>41942</v>
      </c>
      <c r="C350" t="s">
        <v>62</v>
      </c>
      <c r="D350" t="str">
        <f>IF(COUNTIFS(Verweise!$A$2:$A$4542,Übersicht!$C$7,Verweise!$B$2:$B$4542,B350)=1,"Feiertag",IF(C350="Samstag","",IF(C350="Sonntag","",Übersicht!$C$8)))</f>
        <v>Büro</v>
      </c>
    </row>
    <row r="351" spans="1:4" x14ac:dyDescent="0.25">
      <c r="A351" t="s">
        <v>66</v>
      </c>
      <c r="B351" s="48">
        <v>41997</v>
      </c>
      <c r="C351" t="s">
        <v>55</v>
      </c>
      <c r="D351" t="str">
        <f>IF(COUNTIFS(Verweise!$A$2:$A$4542,Übersicht!$C$7,Verweise!$B$2:$B$4542,B351)=1,"Feiertag",IF(C351="Samstag","",IF(C351="Sonntag","",Übersicht!$C$8)))</f>
        <v>Feiertag</v>
      </c>
    </row>
    <row r="352" spans="1:4" x14ac:dyDescent="0.25">
      <c r="A352" t="s">
        <v>66</v>
      </c>
      <c r="B352" s="48">
        <v>41998</v>
      </c>
      <c r="C352" t="s">
        <v>56</v>
      </c>
      <c r="D352" t="str">
        <f>IF(COUNTIFS(Verweise!$A$2:$A$4542,Übersicht!$C$7,Verweise!$B$2:$B$4542,B352)=1,"Feiertag",IF(C352="Samstag","",IF(C352="Sonntag","",Übersicht!$C$8)))</f>
        <v>Feiertag</v>
      </c>
    </row>
    <row r="353" spans="1:4" x14ac:dyDescent="0.25">
      <c r="A353" t="s">
        <v>67</v>
      </c>
      <c r="B353" s="48">
        <v>41639</v>
      </c>
      <c r="C353" t="s">
        <v>43</v>
      </c>
      <c r="D353" t="str">
        <f>IF(COUNTIFS(Verweise!$A$2:$A$4542,Übersicht!$C$7,Verweise!$B$2:$B$4542,B353)=1,"Feiertag",IF(C353="Samstag","",IF(C353="Sonntag","",Übersicht!$C$8)))</f>
        <v>Feiertag</v>
      </c>
    </row>
    <row r="354" spans="1:4" x14ac:dyDescent="0.25">
      <c r="A354" t="s">
        <v>67</v>
      </c>
      <c r="B354" s="48">
        <v>41727</v>
      </c>
      <c r="C354" t="s">
        <v>45</v>
      </c>
      <c r="D354" t="str">
        <f>IF(COUNTIFS(Verweise!$A$2:$A$4542,Übersicht!$C$7,Verweise!$B$2:$B$4542,B354)=1,"Feiertag",IF(C354="Samstag","",IF(C354="Sonntag","",Übersicht!$C$8)))</f>
        <v>Feiertag</v>
      </c>
    </row>
    <row r="355" spans="1:4" x14ac:dyDescent="0.25">
      <c r="A355" t="s">
        <v>67</v>
      </c>
      <c r="B355" s="48">
        <v>41729</v>
      </c>
      <c r="C355" t="s">
        <v>46</v>
      </c>
      <c r="D355" t="str">
        <f>IF(COUNTIFS(Verweise!$A$2:$A$4542,Übersicht!$C$7,Verweise!$B$2:$B$4542,B355)=1,"Feiertag",IF(C355="Samstag","",IF(C355="Sonntag","",Übersicht!$C$8)))</f>
        <v>Feiertag</v>
      </c>
    </row>
    <row r="356" spans="1:4" x14ac:dyDescent="0.25">
      <c r="A356" t="s">
        <v>67</v>
      </c>
      <c r="B356" s="48">
        <v>41730</v>
      </c>
      <c r="C356" t="s">
        <v>47</v>
      </c>
      <c r="D356" t="str">
        <f>IF(COUNTIFS(Verweise!$A$2:$A$4542,Übersicht!$C$7,Verweise!$B$2:$B$4542,B356)=1,"Feiertag",IF(C356="Samstag","",IF(C356="Sonntag","",Übersicht!$C$8)))</f>
        <v>Feiertag</v>
      </c>
    </row>
    <row r="357" spans="1:4" x14ac:dyDescent="0.25">
      <c r="A357" t="s">
        <v>67</v>
      </c>
      <c r="B357" s="48">
        <v>41759</v>
      </c>
      <c r="C357" t="s">
        <v>48</v>
      </c>
      <c r="D357" t="str">
        <f>IF(COUNTIFS(Verweise!$A$2:$A$4542,Übersicht!$C$7,Verweise!$B$2:$B$4542,B357)=1,"Feiertag",IF(C357="Samstag","",IF(C357="Sonntag","",Übersicht!$C$8)))</f>
        <v>Feiertag</v>
      </c>
    </row>
    <row r="358" spans="1:4" x14ac:dyDescent="0.25">
      <c r="A358" t="s">
        <v>67</v>
      </c>
      <c r="B358" s="48">
        <v>41768</v>
      </c>
      <c r="C358" t="s">
        <v>49</v>
      </c>
      <c r="D358" t="str">
        <f>IF(COUNTIFS(Verweise!$A$2:$A$4542,Übersicht!$C$7,Verweise!$B$2:$B$4542,B358)=1,"Feiertag",IF(C358="Samstag","",IF(C358="Sonntag","",Übersicht!$C$8)))</f>
        <v>Feiertag</v>
      </c>
    </row>
    <row r="359" spans="1:4" x14ac:dyDescent="0.25">
      <c r="A359" t="s">
        <v>67</v>
      </c>
      <c r="B359" s="48">
        <v>41778</v>
      </c>
      <c r="C359" t="s">
        <v>50</v>
      </c>
      <c r="D359" t="str">
        <f>IF(COUNTIFS(Verweise!$A$2:$A$4542,Übersicht!$C$7,Verweise!$B$2:$B$4542,B359)=1,"Feiertag",IF(C359="Samstag","",IF(C359="Sonntag","",Übersicht!$C$8)))</f>
        <v>Feiertag</v>
      </c>
    </row>
    <row r="360" spans="1:4" x14ac:dyDescent="0.25">
      <c r="A360" t="s">
        <v>67</v>
      </c>
      <c r="B360" s="48">
        <v>41779</v>
      </c>
      <c r="C360" t="s">
        <v>51</v>
      </c>
      <c r="D360" t="str">
        <f>IF(COUNTIFS(Verweise!$A$2:$A$4542,Übersicht!$C$7,Verweise!$B$2:$B$4542,B360)=1,"Feiertag",IF(C360="Samstag","",IF(C360="Sonntag","",Übersicht!$C$8)))</f>
        <v>Feiertag</v>
      </c>
    </row>
    <row r="361" spans="1:4" x14ac:dyDescent="0.25">
      <c r="A361" t="s">
        <v>67</v>
      </c>
      <c r="B361" s="48">
        <v>41914</v>
      </c>
      <c r="C361" t="s">
        <v>53</v>
      </c>
      <c r="D361" t="str">
        <f>IF(COUNTIFS(Verweise!$A$2:$A$4542,Übersicht!$C$7,Verweise!$B$2:$B$4542,B361)=1,"Feiertag",IF(C361="Samstag","",IF(C361="Sonntag","",Übersicht!$C$8)))</f>
        <v>Feiertag</v>
      </c>
    </row>
    <row r="362" spans="1:4" x14ac:dyDescent="0.25">
      <c r="A362" t="s">
        <v>67</v>
      </c>
      <c r="B362" s="48">
        <v>41997</v>
      </c>
      <c r="C362" t="s">
        <v>55</v>
      </c>
      <c r="D362" t="str">
        <f>IF(COUNTIFS(Verweise!$A$2:$A$4542,Übersicht!$C$7,Verweise!$B$2:$B$4542,B362)=1,"Feiertag",IF(C362="Samstag","",IF(C362="Sonntag","",Übersicht!$C$8)))</f>
        <v>Feiertag</v>
      </c>
    </row>
    <row r="363" spans="1:4" x14ac:dyDescent="0.25">
      <c r="A363" t="s">
        <v>67</v>
      </c>
      <c r="B363" s="48">
        <v>41998</v>
      </c>
      <c r="C363" t="s">
        <v>56</v>
      </c>
      <c r="D363" t="str">
        <f>IF(COUNTIFS(Verweise!$A$2:$A$4542,Übersicht!$C$7,Verweise!$B$2:$B$4542,B363)=1,"Feiertag",IF(C363="Samstag","",IF(C363="Sonntag","",Übersicht!$C$8)))</f>
        <v>Feiertag</v>
      </c>
    </row>
    <row r="364" spans="1:4" x14ac:dyDescent="0.25">
      <c r="A364" t="s">
        <v>68</v>
      </c>
      <c r="B364" s="48">
        <v>41639</v>
      </c>
      <c r="C364" t="s">
        <v>43</v>
      </c>
      <c r="D364" t="str">
        <f>IF(COUNTIFS(Verweise!$A$2:$A$4542,Übersicht!$C$7,Verweise!$B$2:$B$4542,B364)=1,"Feiertag",IF(C364="Samstag","",IF(C364="Sonntag","",Übersicht!$C$8)))</f>
        <v>Feiertag</v>
      </c>
    </row>
    <row r="365" spans="1:4" x14ac:dyDescent="0.25">
      <c r="A365" t="s">
        <v>68</v>
      </c>
      <c r="B365" s="48">
        <v>41727</v>
      </c>
      <c r="C365" t="s">
        <v>45</v>
      </c>
      <c r="D365" t="str">
        <f>IF(COUNTIFS(Verweise!$A$2:$A$4542,Übersicht!$C$7,Verweise!$B$2:$B$4542,B365)=1,"Feiertag",IF(C365="Samstag","",IF(C365="Sonntag","",Übersicht!$C$8)))</f>
        <v>Feiertag</v>
      </c>
    </row>
    <row r="366" spans="1:4" x14ac:dyDescent="0.25">
      <c r="A366" t="s">
        <v>68</v>
      </c>
      <c r="B366" s="48">
        <v>41729</v>
      </c>
      <c r="C366" t="s">
        <v>46</v>
      </c>
      <c r="D366" t="str">
        <f>IF(COUNTIFS(Verweise!$A$2:$A$4542,Übersicht!$C$7,Verweise!$B$2:$B$4542,B366)=1,"Feiertag",IF(C366="Samstag","",IF(C366="Sonntag","",Übersicht!$C$8)))</f>
        <v>Feiertag</v>
      </c>
    </row>
    <row r="367" spans="1:4" x14ac:dyDescent="0.25">
      <c r="A367" t="s">
        <v>68</v>
      </c>
      <c r="B367" s="48">
        <v>41730</v>
      </c>
      <c r="C367" t="s">
        <v>47</v>
      </c>
      <c r="D367" t="str">
        <f>IF(COUNTIFS(Verweise!$A$2:$A$4542,Übersicht!$C$7,Verweise!$B$2:$B$4542,B367)=1,"Feiertag",IF(C367="Samstag","",IF(C367="Sonntag","",Übersicht!$C$8)))</f>
        <v>Feiertag</v>
      </c>
    </row>
    <row r="368" spans="1:4" x14ac:dyDescent="0.25">
      <c r="A368" t="s">
        <v>68</v>
      </c>
      <c r="B368" s="48">
        <v>41759</v>
      </c>
      <c r="C368" t="s">
        <v>48</v>
      </c>
      <c r="D368" t="str">
        <f>IF(COUNTIFS(Verweise!$A$2:$A$4542,Übersicht!$C$7,Verweise!$B$2:$B$4542,B368)=1,"Feiertag",IF(C368="Samstag","",IF(C368="Sonntag","",Übersicht!$C$8)))</f>
        <v>Feiertag</v>
      </c>
    </row>
    <row r="369" spans="1:4" x14ac:dyDescent="0.25">
      <c r="A369" t="s">
        <v>68</v>
      </c>
      <c r="B369" s="48">
        <v>41768</v>
      </c>
      <c r="C369" t="s">
        <v>49</v>
      </c>
      <c r="D369" t="str">
        <f>IF(COUNTIFS(Verweise!$A$2:$A$4542,Übersicht!$C$7,Verweise!$B$2:$B$4542,B369)=1,"Feiertag",IF(C369="Samstag","",IF(C369="Sonntag","",Übersicht!$C$8)))</f>
        <v>Feiertag</v>
      </c>
    </row>
    <row r="370" spans="1:4" x14ac:dyDescent="0.25">
      <c r="A370" t="s">
        <v>68</v>
      </c>
      <c r="B370" s="48">
        <v>41778</v>
      </c>
      <c r="C370" t="s">
        <v>50</v>
      </c>
      <c r="D370" t="str">
        <f>IF(COUNTIFS(Verweise!$A$2:$A$4542,Übersicht!$C$7,Verweise!$B$2:$B$4542,B370)=1,"Feiertag",IF(C370="Samstag","",IF(C370="Sonntag","",Übersicht!$C$8)))</f>
        <v>Feiertag</v>
      </c>
    </row>
    <row r="371" spans="1:4" x14ac:dyDescent="0.25">
      <c r="A371" t="s">
        <v>68</v>
      </c>
      <c r="B371" s="48">
        <v>41779</v>
      </c>
      <c r="C371" t="s">
        <v>51</v>
      </c>
      <c r="D371" t="str">
        <f>IF(COUNTIFS(Verweise!$A$2:$A$4542,Übersicht!$C$7,Verweise!$B$2:$B$4542,B371)=1,"Feiertag",IF(C371="Samstag","",IF(C371="Sonntag","",Übersicht!$C$8)))</f>
        <v>Feiertag</v>
      </c>
    </row>
    <row r="372" spans="1:4" x14ac:dyDescent="0.25">
      <c r="A372" t="s">
        <v>68</v>
      </c>
      <c r="B372" s="48">
        <v>41789</v>
      </c>
      <c r="C372" t="s">
        <v>52</v>
      </c>
      <c r="D372" t="str">
        <f>IF(COUNTIFS(Verweise!$A$2:$A$4542,Übersicht!$C$7,Verweise!$B$2:$B$4542,B372)=1,"Feiertag",IF(C372="Samstag","",IF(C372="Sonntag","",Übersicht!$C$8)))</f>
        <v>Feiertag</v>
      </c>
    </row>
    <row r="373" spans="1:4" x14ac:dyDescent="0.25">
      <c r="A373" t="s">
        <v>68</v>
      </c>
      <c r="B373" s="48">
        <v>41914</v>
      </c>
      <c r="C373" t="s">
        <v>53</v>
      </c>
      <c r="D373" t="str">
        <f>IF(COUNTIFS(Verweise!$A$2:$A$4542,Übersicht!$C$7,Verweise!$B$2:$B$4542,B373)=1,"Feiertag",IF(C373="Samstag","",IF(C373="Sonntag","",Übersicht!$C$8)))</f>
        <v>Feiertag</v>
      </c>
    </row>
    <row r="374" spans="1:4" x14ac:dyDescent="0.25">
      <c r="A374" t="s">
        <v>68</v>
      </c>
      <c r="B374" s="48">
        <v>41943</v>
      </c>
      <c r="C374" t="s">
        <v>54</v>
      </c>
      <c r="D374" t="str">
        <f>IF(COUNTIFS(Verweise!$A$2:$A$4542,Übersicht!$C$7,Verweise!$B$2:$B$4542,B374)=1,"Feiertag",IF(C374="Samstag","",IF(C374="Sonntag","",Übersicht!$C$8)))</f>
        <v>Feiertag</v>
      </c>
    </row>
    <row r="375" spans="1:4" x14ac:dyDescent="0.25">
      <c r="A375" t="s">
        <v>68</v>
      </c>
      <c r="B375" s="48">
        <v>41997</v>
      </c>
      <c r="C375" t="s">
        <v>55</v>
      </c>
      <c r="D375" t="str">
        <f>IF(COUNTIFS(Verweise!$A$2:$A$4542,Übersicht!$C$7,Verweise!$B$2:$B$4542,B375)=1,"Feiertag",IF(C375="Samstag","",IF(C375="Sonntag","",Übersicht!$C$8)))</f>
        <v>Feiertag</v>
      </c>
    </row>
    <row r="376" spans="1:4" x14ac:dyDescent="0.25">
      <c r="A376" t="s">
        <v>68</v>
      </c>
      <c r="B376" s="48">
        <v>41998</v>
      </c>
      <c r="C376" t="s">
        <v>56</v>
      </c>
      <c r="D376" t="str">
        <f>IF(COUNTIFS(Verweise!$A$2:$A$4542,Übersicht!$C$7,Verweise!$B$2:$B$4542,B376)=1,"Feiertag",IF(C376="Samstag","",IF(C376="Sonntag","",Übersicht!$C$8)))</f>
        <v>Feiertag</v>
      </c>
    </row>
    <row r="377" spans="1:4" x14ac:dyDescent="0.25">
      <c r="A377" t="s">
        <v>69</v>
      </c>
      <c r="B377" s="48">
        <v>41639</v>
      </c>
      <c r="C377" t="s">
        <v>43</v>
      </c>
      <c r="D377" t="str">
        <f>IF(COUNTIFS(Verweise!$A$2:$A$4542,Übersicht!$C$7,Verweise!$B$2:$B$4542,B377)=1,"Feiertag",IF(C377="Samstag","",IF(C377="Sonntag","",Übersicht!$C$8)))</f>
        <v>Feiertag</v>
      </c>
    </row>
    <row r="378" spans="1:4" x14ac:dyDescent="0.25">
      <c r="A378" t="s">
        <v>69</v>
      </c>
      <c r="B378" s="48">
        <v>41727</v>
      </c>
      <c r="C378" t="s">
        <v>45</v>
      </c>
      <c r="D378" t="str">
        <f>IF(COUNTIFS(Verweise!$A$2:$A$4542,Übersicht!$C$7,Verweise!$B$2:$B$4542,B378)=1,"Feiertag",IF(C378="Samstag","",IF(C378="Sonntag","",Übersicht!$C$8)))</f>
        <v>Feiertag</v>
      </c>
    </row>
    <row r="379" spans="1:4" x14ac:dyDescent="0.25">
      <c r="A379" t="s">
        <v>69</v>
      </c>
      <c r="B379" s="48">
        <v>41729</v>
      </c>
      <c r="C379" t="s">
        <v>46</v>
      </c>
      <c r="D379" t="str">
        <f>IF(COUNTIFS(Verweise!$A$2:$A$4542,Übersicht!$C$7,Verweise!$B$2:$B$4542,B379)=1,"Feiertag",IF(C379="Samstag","",IF(C379="Sonntag","",Übersicht!$C$8)))</f>
        <v>Feiertag</v>
      </c>
    </row>
    <row r="380" spans="1:4" x14ac:dyDescent="0.25">
      <c r="A380" t="s">
        <v>69</v>
      </c>
      <c r="B380" s="48">
        <v>41730</v>
      </c>
      <c r="C380" t="s">
        <v>47</v>
      </c>
      <c r="D380" t="str">
        <f>IF(COUNTIFS(Verweise!$A$2:$A$4542,Übersicht!$C$7,Verweise!$B$2:$B$4542,B380)=1,"Feiertag",IF(C380="Samstag","",IF(C380="Sonntag","",Übersicht!$C$8)))</f>
        <v>Feiertag</v>
      </c>
    </row>
    <row r="381" spans="1:4" x14ac:dyDescent="0.25">
      <c r="A381" t="s">
        <v>69</v>
      </c>
      <c r="B381" s="48">
        <v>41759</v>
      </c>
      <c r="C381" t="s">
        <v>48</v>
      </c>
      <c r="D381" t="str">
        <f>IF(COUNTIFS(Verweise!$A$2:$A$4542,Übersicht!$C$7,Verweise!$B$2:$B$4542,B381)=1,"Feiertag",IF(C381="Samstag","",IF(C381="Sonntag","",Übersicht!$C$8)))</f>
        <v>Feiertag</v>
      </c>
    </row>
    <row r="382" spans="1:4" x14ac:dyDescent="0.25">
      <c r="A382" t="s">
        <v>69</v>
      </c>
      <c r="B382" s="48">
        <v>41768</v>
      </c>
      <c r="C382" t="s">
        <v>49</v>
      </c>
      <c r="D382" t="str">
        <f>IF(COUNTIFS(Verweise!$A$2:$A$4542,Übersicht!$C$7,Verweise!$B$2:$B$4542,B382)=1,"Feiertag",IF(C382="Samstag","",IF(C382="Sonntag","",Übersicht!$C$8)))</f>
        <v>Feiertag</v>
      </c>
    </row>
    <row r="383" spans="1:4" x14ac:dyDescent="0.25">
      <c r="A383" t="s">
        <v>69</v>
      </c>
      <c r="B383" s="48">
        <v>41778</v>
      </c>
      <c r="C383" t="s">
        <v>50</v>
      </c>
      <c r="D383" t="str">
        <f>IF(COUNTIFS(Verweise!$A$2:$A$4542,Übersicht!$C$7,Verweise!$B$2:$B$4542,B383)=1,"Feiertag",IF(C383="Samstag","",IF(C383="Sonntag","",Übersicht!$C$8)))</f>
        <v>Feiertag</v>
      </c>
    </row>
    <row r="384" spans="1:4" x14ac:dyDescent="0.25">
      <c r="A384" t="s">
        <v>69</v>
      </c>
      <c r="B384" s="48">
        <v>41779</v>
      </c>
      <c r="C384" t="s">
        <v>51</v>
      </c>
      <c r="D384" t="str">
        <f>IF(COUNTIFS(Verweise!$A$2:$A$4542,Übersicht!$C$7,Verweise!$B$2:$B$4542,B384)=1,"Feiertag",IF(C384="Samstag","",IF(C384="Sonntag","",Übersicht!$C$8)))</f>
        <v>Feiertag</v>
      </c>
    </row>
    <row r="385" spans="1:4" x14ac:dyDescent="0.25">
      <c r="A385" t="s">
        <v>69</v>
      </c>
      <c r="B385" s="48">
        <v>41789</v>
      </c>
      <c r="C385" t="s">
        <v>52</v>
      </c>
      <c r="D385" t="str">
        <f>IF(COUNTIFS(Verweise!$A$2:$A$4542,Übersicht!$C$7,Verweise!$B$2:$B$4542,B385)=1,"Feiertag",IF(C385="Samstag","",IF(C385="Sonntag","",Übersicht!$C$8)))</f>
        <v>Feiertag</v>
      </c>
    </row>
    <row r="386" spans="1:4" x14ac:dyDescent="0.25">
      <c r="A386" t="s">
        <v>69</v>
      </c>
      <c r="B386" s="48">
        <v>41914</v>
      </c>
      <c r="C386" t="s">
        <v>53</v>
      </c>
      <c r="D386" t="str">
        <f>IF(COUNTIFS(Verweise!$A$2:$A$4542,Übersicht!$C$7,Verweise!$B$2:$B$4542,B386)=1,"Feiertag",IF(C386="Samstag","",IF(C386="Sonntag","",Übersicht!$C$8)))</f>
        <v>Feiertag</v>
      </c>
    </row>
    <row r="387" spans="1:4" x14ac:dyDescent="0.25">
      <c r="A387" t="s">
        <v>69</v>
      </c>
      <c r="B387" s="48">
        <v>41943</v>
      </c>
      <c r="C387" t="s">
        <v>54</v>
      </c>
      <c r="D387" t="str">
        <f>IF(COUNTIFS(Verweise!$A$2:$A$4542,Übersicht!$C$7,Verweise!$B$2:$B$4542,B387)=1,"Feiertag",IF(C387="Samstag","",IF(C387="Sonntag","",Übersicht!$C$8)))</f>
        <v>Feiertag</v>
      </c>
    </row>
    <row r="388" spans="1:4" x14ac:dyDescent="0.25">
      <c r="A388" t="s">
        <v>69</v>
      </c>
      <c r="B388" s="48">
        <v>41997</v>
      </c>
      <c r="C388" t="s">
        <v>55</v>
      </c>
      <c r="D388" t="str">
        <f>IF(COUNTIFS(Verweise!$A$2:$A$4542,Übersicht!$C$7,Verweise!$B$2:$B$4542,B388)=1,"Feiertag",IF(C388="Samstag","",IF(C388="Sonntag","",Übersicht!$C$8)))</f>
        <v>Feiertag</v>
      </c>
    </row>
    <row r="389" spans="1:4" x14ac:dyDescent="0.25">
      <c r="A389" t="s">
        <v>69</v>
      </c>
      <c r="B389" s="48">
        <v>41998</v>
      </c>
      <c r="C389" t="s">
        <v>56</v>
      </c>
      <c r="D389" t="str">
        <f>IF(COUNTIFS(Verweise!$A$2:$A$4542,Übersicht!$C$7,Verweise!$B$2:$B$4542,B389)=1,"Feiertag",IF(C389="Samstag","",IF(C389="Sonntag","",Übersicht!$C$8)))</f>
        <v>Feiertag</v>
      </c>
    </row>
    <row r="390" spans="1:4" x14ac:dyDescent="0.25">
      <c r="A390" t="s">
        <v>70</v>
      </c>
      <c r="B390" s="48">
        <v>41639</v>
      </c>
      <c r="C390" t="s">
        <v>43</v>
      </c>
      <c r="D390" t="str">
        <f>IF(COUNTIFS(Verweise!$A$2:$A$4542,Übersicht!$C$7,Verweise!$B$2:$B$4542,B390)=1,"Feiertag",IF(C390="Samstag","",IF(C390="Sonntag","",Übersicht!$C$8)))</f>
        <v>Feiertag</v>
      </c>
    </row>
    <row r="391" spans="1:4" x14ac:dyDescent="0.25">
      <c r="A391" t="s">
        <v>70</v>
      </c>
      <c r="B391" s="48">
        <v>41727</v>
      </c>
      <c r="C391" t="s">
        <v>45</v>
      </c>
      <c r="D391" t="str">
        <f>IF(COUNTIFS(Verweise!$A$2:$A$4542,Übersicht!$C$7,Verweise!$B$2:$B$4542,B391)=1,"Feiertag",IF(C391="Samstag","",IF(C391="Sonntag","",Übersicht!$C$8)))</f>
        <v>Feiertag</v>
      </c>
    </row>
    <row r="392" spans="1:4" x14ac:dyDescent="0.25">
      <c r="A392" t="s">
        <v>70</v>
      </c>
      <c r="B392" s="48">
        <v>41729</v>
      </c>
      <c r="C392" t="s">
        <v>46</v>
      </c>
      <c r="D392" t="str">
        <f>IF(COUNTIFS(Verweise!$A$2:$A$4542,Übersicht!$C$7,Verweise!$B$2:$B$4542,B392)=1,"Feiertag",IF(C392="Samstag","",IF(C392="Sonntag","",Übersicht!$C$8)))</f>
        <v>Feiertag</v>
      </c>
    </row>
    <row r="393" spans="1:4" x14ac:dyDescent="0.25">
      <c r="A393" t="s">
        <v>70</v>
      </c>
      <c r="B393" s="48">
        <v>41730</v>
      </c>
      <c r="C393" t="s">
        <v>47</v>
      </c>
      <c r="D393" t="str">
        <f>IF(COUNTIFS(Verweise!$A$2:$A$4542,Übersicht!$C$7,Verweise!$B$2:$B$4542,B393)=1,"Feiertag",IF(C393="Samstag","",IF(C393="Sonntag","",Übersicht!$C$8)))</f>
        <v>Feiertag</v>
      </c>
    </row>
    <row r="394" spans="1:4" x14ac:dyDescent="0.25">
      <c r="A394" t="s">
        <v>70</v>
      </c>
      <c r="B394" s="48">
        <v>41759</v>
      </c>
      <c r="C394" t="s">
        <v>48</v>
      </c>
      <c r="D394" t="str">
        <f>IF(COUNTIFS(Verweise!$A$2:$A$4542,Übersicht!$C$7,Verweise!$B$2:$B$4542,B394)=1,"Feiertag",IF(C394="Samstag","",IF(C394="Sonntag","",Übersicht!$C$8)))</f>
        <v>Feiertag</v>
      </c>
    </row>
    <row r="395" spans="1:4" x14ac:dyDescent="0.25">
      <c r="A395" t="s">
        <v>70</v>
      </c>
      <c r="B395" s="48">
        <v>41768</v>
      </c>
      <c r="C395" t="s">
        <v>49</v>
      </c>
      <c r="D395" t="str">
        <f>IF(COUNTIFS(Verweise!$A$2:$A$4542,Übersicht!$C$7,Verweise!$B$2:$B$4542,B395)=1,"Feiertag",IF(C395="Samstag","",IF(C395="Sonntag","",Übersicht!$C$8)))</f>
        <v>Feiertag</v>
      </c>
    </row>
    <row r="396" spans="1:4" x14ac:dyDescent="0.25">
      <c r="A396" t="s">
        <v>70</v>
      </c>
      <c r="B396" s="48">
        <v>41778</v>
      </c>
      <c r="C396" t="s">
        <v>50</v>
      </c>
      <c r="D396" t="str">
        <f>IF(COUNTIFS(Verweise!$A$2:$A$4542,Übersicht!$C$7,Verweise!$B$2:$B$4542,B396)=1,"Feiertag",IF(C396="Samstag","",IF(C396="Sonntag","",Übersicht!$C$8)))</f>
        <v>Feiertag</v>
      </c>
    </row>
    <row r="397" spans="1:4" x14ac:dyDescent="0.25">
      <c r="A397" t="s">
        <v>70</v>
      </c>
      <c r="B397" s="48">
        <v>41779</v>
      </c>
      <c r="C397" t="s">
        <v>51</v>
      </c>
      <c r="D397" t="str">
        <f>IF(COUNTIFS(Verweise!$A$2:$A$4542,Übersicht!$C$7,Verweise!$B$2:$B$4542,B397)=1,"Feiertag",IF(C397="Samstag","",IF(C397="Sonntag","",Übersicht!$C$8)))</f>
        <v>Feiertag</v>
      </c>
    </row>
    <row r="398" spans="1:4" x14ac:dyDescent="0.25">
      <c r="A398" t="s">
        <v>70</v>
      </c>
      <c r="B398" s="48">
        <v>41789</v>
      </c>
      <c r="C398" t="s">
        <v>52</v>
      </c>
      <c r="D398" t="str">
        <f>IF(COUNTIFS(Verweise!$A$2:$A$4542,Übersicht!$C$7,Verweise!$B$2:$B$4542,B398)=1,"Feiertag",IF(C398="Samstag","",IF(C398="Sonntag","",Übersicht!$C$8)))</f>
        <v>Feiertag</v>
      </c>
    </row>
    <row r="399" spans="1:4" x14ac:dyDescent="0.25">
      <c r="A399" t="s">
        <v>70</v>
      </c>
      <c r="B399" s="48">
        <v>41865</v>
      </c>
      <c r="C399" t="s">
        <v>59</v>
      </c>
      <c r="D399" t="str">
        <f>IF(COUNTIFS(Verweise!$A$2:$A$4542,Übersicht!$C$7,Verweise!$B$2:$B$4542,B399)=1,"Feiertag",IF(C399="Samstag","",IF(C399="Sonntag","",Übersicht!$C$8)))</f>
        <v>Büro</v>
      </c>
    </row>
    <row r="400" spans="1:4" x14ac:dyDescent="0.25">
      <c r="A400" t="s">
        <v>70</v>
      </c>
      <c r="B400" s="48">
        <v>41914</v>
      </c>
      <c r="C400" t="s">
        <v>53</v>
      </c>
      <c r="D400" t="str">
        <f>IF(COUNTIFS(Verweise!$A$2:$A$4542,Übersicht!$C$7,Verweise!$B$2:$B$4542,B400)=1,"Feiertag",IF(C400="Samstag","",IF(C400="Sonntag","",Übersicht!$C$8)))</f>
        <v>Feiertag</v>
      </c>
    </row>
    <row r="401" spans="1:4" x14ac:dyDescent="0.25">
      <c r="A401" t="s">
        <v>70</v>
      </c>
      <c r="B401" s="48">
        <v>41943</v>
      </c>
      <c r="C401" t="s">
        <v>54</v>
      </c>
      <c r="D401" t="str">
        <f>IF(COUNTIFS(Verweise!$A$2:$A$4542,Übersicht!$C$7,Verweise!$B$2:$B$4542,B401)=1,"Feiertag",IF(C401="Samstag","",IF(C401="Sonntag","",Übersicht!$C$8)))</f>
        <v>Feiertag</v>
      </c>
    </row>
    <row r="402" spans="1:4" x14ac:dyDescent="0.25">
      <c r="A402" t="s">
        <v>70</v>
      </c>
      <c r="B402" s="48">
        <v>41997</v>
      </c>
      <c r="C402" t="s">
        <v>55</v>
      </c>
      <c r="D402" t="str">
        <f>IF(COUNTIFS(Verweise!$A$2:$A$4542,Übersicht!$C$7,Verweise!$B$2:$B$4542,B402)=1,"Feiertag",IF(C402="Samstag","",IF(C402="Sonntag","",Übersicht!$C$8)))</f>
        <v>Feiertag</v>
      </c>
    </row>
    <row r="403" spans="1:4" x14ac:dyDescent="0.25">
      <c r="A403" t="s">
        <v>70</v>
      </c>
      <c r="B403" s="48">
        <v>41998</v>
      </c>
      <c r="C403" t="s">
        <v>56</v>
      </c>
      <c r="D403" t="str">
        <f>IF(COUNTIFS(Verweise!$A$2:$A$4542,Übersicht!$C$7,Verweise!$B$2:$B$4542,B403)=1,"Feiertag",IF(C403="Samstag","",IF(C403="Sonntag","",Übersicht!$C$8)))</f>
        <v>Feiertag</v>
      </c>
    </row>
    <row r="404" spans="1:4" x14ac:dyDescent="0.25">
      <c r="A404" t="s">
        <v>71</v>
      </c>
      <c r="B404" s="48">
        <v>41639</v>
      </c>
      <c r="C404" t="s">
        <v>43</v>
      </c>
      <c r="D404" t="str">
        <f>IF(COUNTIFS(Verweise!$A$2:$A$4542,Übersicht!$C$7,Verweise!$B$2:$B$4542,B404)=1,"Feiertag",IF(C404="Samstag","",IF(C404="Sonntag","",Übersicht!$C$8)))</f>
        <v>Feiertag</v>
      </c>
    </row>
    <row r="405" spans="1:4" x14ac:dyDescent="0.25">
      <c r="A405" t="s">
        <v>71</v>
      </c>
      <c r="B405" s="48">
        <v>41727</v>
      </c>
      <c r="C405" t="s">
        <v>45</v>
      </c>
      <c r="D405" t="str">
        <f>IF(COUNTIFS(Verweise!$A$2:$A$4542,Übersicht!$C$7,Verweise!$B$2:$B$4542,B405)=1,"Feiertag",IF(C405="Samstag","",IF(C405="Sonntag","",Übersicht!$C$8)))</f>
        <v>Feiertag</v>
      </c>
    </row>
    <row r="406" spans="1:4" x14ac:dyDescent="0.25">
      <c r="A406" t="s">
        <v>71</v>
      </c>
      <c r="B406" s="48">
        <v>41729</v>
      </c>
      <c r="C406" t="s">
        <v>46</v>
      </c>
      <c r="D406" t="str">
        <f>IF(COUNTIFS(Verweise!$A$2:$A$4542,Übersicht!$C$7,Verweise!$B$2:$B$4542,B406)=1,"Feiertag",IF(C406="Samstag","",IF(C406="Sonntag","",Übersicht!$C$8)))</f>
        <v>Feiertag</v>
      </c>
    </row>
    <row r="407" spans="1:4" x14ac:dyDescent="0.25">
      <c r="A407" t="s">
        <v>71</v>
      </c>
      <c r="B407" s="48">
        <v>41730</v>
      </c>
      <c r="C407" t="s">
        <v>47</v>
      </c>
      <c r="D407" t="str">
        <f>IF(COUNTIFS(Verweise!$A$2:$A$4542,Übersicht!$C$7,Verweise!$B$2:$B$4542,B407)=1,"Feiertag",IF(C407="Samstag","",IF(C407="Sonntag","",Übersicht!$C$8)))</f>
        <v>Feiertag</v>
      </c>
    </row>
    <row r="408" spans="1:4" x14ac:dyDescent="0.25">
      <c r="A408" t="s">
        <v>71</v>
      </c>
      <c r="B408" s="48">
        <v>41759</v>
      </c>
      <c r="C408" t="s">
        <v>48</v>
      </c>
      <c r="D408" t="str">
        <f>IF(COUNTIFS(Verweise!$A$2:$A$4542,Übersicht!$C$7,Verweise!$B$2:$B$4542,B408)=1,"Feiertag",IF(C408="Samstag","",IF(C408="Sonntag","",Übersicht!$C$8)))</f>
        <v>Feiertag</v>
      </c>
    </row>
    <row r="409" spans="1:4" x14ac:dyDescent="0.25">
      <c r="A409" t="s">
        <v>71</v>
      </c>
      <c r="B409" s="48">
        <v>41768</v>
      </c>
      <c r="C409" t="s">
        <v>49</v>
      </c>
      <c r="D409" t="str">
        <f>IF(COUNTIFS(Verweise!$A$2:$A$4542,Übersicht!$C$7,Verweise!$B$2:$B$4542,B409)=1,"Feiertag",IF(C409="Samstag","",IF(C409="Sonntag","",Übersicht!$C$8)))</f>
        <v>Feiertag</v>
      </c>
    </row>
    <row r="410" spans="1:4" x14ac:dyDescent="0.25">
      <c r="A410" t="s">
        <v>71</v>
      </c>
      <c r="B410" s="48">
        <v>41778</v>
      </c>
      <c r="C410" t="s">
        <v>50</v>
      </c>
      <c r="D410" t="str">
        <f>IF(COUNTIFS(Verweise!$A$2:$A$4542,Übersicht!$C$7,Verweise!$B$2:$B$4542,B410)=1,"Feiertag",IF(C410="Samstag","",IF(C410="Sonntag","",Übersicht!$C$8)))</f>
        <v>Feiertag</v>
      </c>
    </row>
    <row r="411" spans="1:4" x14ac:dyDescent="0.25">
      <c r="A411" t="s">
        <v>71</v>
      </c>
      <c r="B411" s="48">
        <v>41779</v>
      </c>
      <c r="C411" t="s">
        <v>51</v>
      </c>
      <c r="D411" t="str">
        <f>IF(COUNTIFS(Verweise!$A$2:$A$4542,Übersicht!$C$7,Verweise!$B$2:$B$4542,B411)=1,"Feiertag",IF(C411="Samstag","",IF(C411="Sonntag","",Übersicht!$C$8)))</f>
        <v>Feiertag</v>
      </c>
    </row>
    <row r="412" spans="1:4" x14ac:dyDescent="0.25">
      <c r="A412" t="s">
        <v>71</v>
      </c>
      <c r="B412" s="48">
        <v>41914</v>
      </c>
      <c r="C412" t="s">
        <v>53</v>
      </c>
      <c r="D412" t="str">
        <f>IF(COUNTIFS(Verweise!$A$2:$A$4542,Übersicht!$C$7,Verweise!$B$2:$B$4542,B412)=1,"Feiertag",IF(C412="Samstag","",IF(C412="Sonntag","",Übersicht!$C$8)))</f>
        <v>Feiertag</v>
      </c>
    </row>
    <row r="413" spans="1:4" x14ac:dyDescent="0.25">
      <c r="A413" t="s">
        <v>71</v>
      </c>
      <c r="B413" s="48">
        <v>41942</v>
      </c>
      <c r="C413" t="s">
        <v>62</v>
      </c>
      <c r="D413" t="str">
        <f>IF(COUNTIFS(Verweise!$A$2:$A$4542,Übersicht!$C$7,Verweise!$B$2:$B$4542,B413)=1,"Feiertag",IF(C413="Samstag","",IF(C413="Sonntag","",Übersicht!$C$8)))</f>
        <v>Büro</v>
      </c>
    </row>
    <row r="414" spans="1:4" x14ac:dyDescent="0.25">
      <c r="A414" t="s">
        <v>71</v>
      </c>
      <c r="B414" s="48">
        <v>41963</v>
      </c>
      <c r="C414" t="s">
        <v>72</v>
      </c>
      <c r="D414" t="str">
        <f>IF(COUNTIFS(Verweise!$A$2:$A$4542,Übersicht!$C$7,Verweise!$B$2:$B$4542,B414)=1,"Feiertag",IF(C414="Samstag","",IF(C414="Sonntag","",Übersicht!$C$8)))</f>
        <v>Büro</v>
      </c>
    </row>
    <row r="415" spans="1:4" x14ac:dyDescent="0.25">
      <c r="A415" t="s">
        <v>71</v>
      </c>
      <c r="B415" s="48">
        <v>41997</v>
      </c>
      <c r="C415" t="s">
        <v>55</v>
      </c>
      <c r="D415" t="str">
        <f>IF(COUNTIFS(Verweise!$A$2:$A$4542,Übersicht!$C$7,Verweise!$B$2:$B$4542,B415)=1,"Feiertag",IF(C415="Samstag","",IF(C415="Sonntag","",Übersicht!$C$8)))</f>
        <v>Feiertag</v>
      </c>
    </row>
    <row r="416" spans="1:4" x14ac:dyDescent="0.25">
      <c r="A416" t="s">
        <v>71</v>
      </c>
      <c r="B416" s="48">
        <v>41998</v>
      </c>
      <c r="C416" t="s">
        <v>56</v>
      </c>
      <c r="D416" t="str">
        <f>IF(COUNTIFS(Verweise!$A$2:$A$4542,Übersicht!$C$7,Verweise!$B$2:$B$4542,B416)=1,"Feiertag",IF(C416="Samstag","",IF(C416="Sonntag","",Übersicht!$C$8)))</f>
        <v>Feiertag</v>
      </c>
    </row>
    <row r="417" spans="1:4" x14ac:dyDescent="0.25">
      <c r="A417" t="s">
        <v>73</v>
      </c>
      <c r="B417" s="48">
        <v>41639</v>
      </c>
      <c r="C417" t="s">
        <v>43</v>
      </c>
      <c r="D417" t="str">
        <f>IF(COUNTIFS(Verweise!$A$2:$A$4542,Übersicht!$C$7,Verweise!$B$2:$B$4542,B417)=1,"Feiertag",IF(C417="Samstag","",IF(C417="Sonntag","",Übersicht!$C$8)))</f>
        <v>Feiertag</v>
      </c>
    </row>
    <row r="418" spans="1:4" x14ac:dyDescent="0.25">
      <c r="A418" t="s">
        <v>73</v>
      </c>
      <c r="B418" s="48">
        <v>41727</v>
      </c>
      <c r="C418" t="s">
        <v>45</v>
      </c>
      <c r="D418" t="str">
        <f>IF(COUNTIFS(Verweise!$A$2:$A$4542,Übersicht!$C$7,Verweise!$B$2:$B$4542,B418)=1,"Feiertag",IF(C418="Samstag","",IF(C418="Sonntag","",Übersicht!$C$8)))</f>
        <v>Feiertag</v>
      </c>
    </row>
    <row r="419" spans="1:4" x14ac:dyDescent="0.25">
      <c r="A419" t="s">
        <v>73</v>
      </c>
      <c r="B419" s="48">
        <v>41729</v>
      </c>
      <c r="C419" t="s">
        <v>46</v>
      </c>
      <c r="D419" t="str">
        <f>IF(COUNTIFS(Verweise!$A$2:$A$4542,Übersicht!$C$7,Verweise!$B$2:$B$4542,B419)=1,"Feiertag",IF(C419="Samstag","",IF(C419="Sonntag","",Übersicht!$C$8)))</f>
        <v>Feiertag</v>
      </c>
    </row>
    <row r="420" spans="1:4" x14ac:dyDescent="0.25">
      <c r="A420" t="s">
        <v>73</v>
      </c>
      <c r="B420" s="48">
        <v>41730</v>
      </c>
      <c r="C420" t="s">
        <v>47</v>
      </c>
      <c r="D420" t="str">
        <f>IF(COUNTIFS(Verweise!$A$2:$A$4542,Übersicht!$C$7,Verweise!$B$2:$B$4542,B420)=1,"Feiertag",IF(C420="Samstag","",IF(C420="Sonntag","",Übersicht!$C$8)))</f>
        <v>Feiertag</v>
      </c>
    </row>
    <row r="421" spans="1:4" x14ac:dyDescent="0.25">
      <c r="A421" t="s">
        <v>73</v>
      </c>
      <c r="B421" s="48">
        <v>41759</v>
      </c>
      <c r="C421" t="s">
        <v>48</v>
      </c>
      <c r="D421" t="str">
        <f>IF(COUNTIFS(Verweise!$A$2:$A$4542,Übersicht!$C$7,Verweise!$B$2:$B$4542,B421)=1,"Feiertag",IF(C421="Samstag","",IF(C421="Sonntag","",Übersicht!$C$8)))</f>
        <v>Feiertag</v>
      </c>
    </row>
    <row r="422" spans="1:4" x14ac:dyDescent="0.25">
      <c r="A422" t="s">
        <v>73</v>
      </c>
      <c r="B422" s="48">
        <v>41768</v>
      </c>
      <c r="C422" t="s">
        <v>49</v>
      </c>
      <c r="D422" t="str">
        <f>IF(COUNTIFS(Verweise!$A$2:$A$4542,Übersicht!$C$7,Verweise!$B$2:$B$4542,B422)=1,"Feiertag",IF(C422="Samstag","",IF(C422="Sonntag","",Übersicht!$C$8)))</f>
        <v>Feiertag</v>
      </c>
    </row>
    <row r="423" spans="1:4" x14ac:dyDescent="0.25">
      <c r="A423" t="s">
        <v>73</v>
      </c>
      <c r="B423" s="48">
        <v>41778</v>
      </c>
      <c r="C423" t="s">
        <v>50</v>
      </c>
      <c r="D423" t="str">
        <f>IF(COUNTIFS(Verweise!$A$2:$A$4542,Übersicht!$C$7,Verweise!$B$2:$B$4542,B423)=1,"Feiertag",IF(C423="Samstag","",IF(C423="Sonntag","",Übersicht!$C$8)))</f>
        <v>Feiertag</v>
      </c>
    </row>
    <row r="424" spans="1:4" x14ac:dyDescent="0.25">
      <c r="A424" t="s">
        <v>73</v>
      </c>
      <c r="B424" s="48">
        <v>41779</v>
      </c>
      <c r="C424" t="s">
        <v>51</v>
      </c>
      <c r="D424" t="str">
        <f>IF(COUNTIFS(Verweise!$A$2:$A$4542,Übersicht!$C$7,Verweise!$B$2:$B$4542,B424)=1,"Feiertag",IF(C424="Samstag","",IF(C424="Sonntag","",Übersicht!$C$8)))</f>
        <v>Feiertag</v>
      </c>
    </row>
    <row r="425" spans="1:4" x14ac:dyDescent="0.25">
      <c r="A425" t="s">
        <v>73</v>
      </c>
      <c r="B425" s="48">
        <v>41789</v>
      </c>
      <c r="C425" t="s">
        <v>52</v>
      </c>
      <c r="D425" t="str">
        <f>IF(COUNTIFS(Verweise!$A$2:$A$4542,Übersicht!$C$7,Verweise!$B$2:$B$4542,B425)=1,"Feiertag",IF(C425="Samstag","",IF(C425="Sonntag","",Übersicht!$C$8)))</f>
        <v>Feiertag</v>
      </c>
    </row>
    <row r="426" spans="1:4" x14ac:dyDescent="0.25">
      <c r="A426" t="s">
        <v>73</v>
      </c>
      <c r="B426" s="48">
        <v>41914</v>
      </c>
      <c r="C426" t="s">
        <v>53</v>
      </c>
      <c r="D426" t="str">
        <f>IF(COUNTIFS(Verweise!$A$2:$A$4542,Übersicht!$C$7,Verweise!$B$2:$B$4542,B426)=1,"Feiertag",IF(C426="Samstag","",IF(C426="Sonntag","",Übersicht!$C$8)))</f>
        <v>Feiertag</v>
      </c>
    </row>
    <row r="427" spans="1:4" x14ac:dyDescent="0.25">
      <c r="A427" t="s">
        <v>73</v>
      </c>
      <c r="B427" s="48">
        <v>41942</v>
      </c>
      <c r="C427" t="s">
        <v>62</v>
      </c>
      <c r="D427" t="str">
        <f>IF(COUNTIFS(Verweise!$A$2:$A$4542,Übersicht!$C$7,Verweise!$B$2:$B$4542,B427)=1,"Feiertag",IF(C427="Samstag","",IF(C427="Sonntag","",Übersicht!$C$8)))</f>
        <v>Büro</v>
      </c>
    </row>
    <row r="428" spans="1:4" x14ac:dyDescent="0.25">
      <c r="A428" t="s">
        <v>73</v>
      </c>
      <c r="B428" s="48">
        <v>41963</v>
      </c>
      <c r="C428" t="s">
        <v>72</v>
      </c>
      <c r="D428" t="str">
        <f>IF(COUNTIFS(Verweise!$A$2:$A$4542,Übersicht!$C$7,Verweise!$B$2:$B$4542,B428)=1,"Feiertag",IF(C428="Samstag","",IF(C428="Sonntag","",Übersicht!$C$8)))</f>
        <v>Büro</v>
      </c>
    </row>
    <row r="429" spans="1:4" x14ac:dyDescent="0.25">
      <c r="A429" t="s">
        <v>73</v>
      </c>
      <c r="B429" s="48">
        <v>41997</v>
      </c>
      <c r="C429" t="s">
        <v>55</v>
      </c>
      <c r="D429" t="str">
        <f>IF(COUNTIFS(Verweise!$A$2:$A$4542,Übersicht!$C$7,Verweise!$B$2:$B$4542,B429)=1,"Feiertag",IF(C429="Samstag","",IF(C429="Sonntag","",Übersicht!$C$8)))</f>
        <v>Feiertag</v>
      </c>
    </row>
    <row r="430" spans="1:4" x14ac:dyDescent="0.25">
      <c r="A430" t="s">
        <v>73</v>
      </c>
      <c r="B430" s="48">
        <v>41998</v>
      </c>
      <c r="C430" t="s">
        <v>56</v>
      </c>
      <c r="D430" t="str">
        <f>IF(COUNTIFS(Verweise!$A$2:$A$4542,Übersicht!$C$7,Verweise!$B$2:$B$4542,B430)=1,"Feiertag",IF(C430="Samstag","",IF(C430="Sonntag","",Übersicht!$C$8)))</f>
        <v>Feiertag</v>
      </c>
    </row>
    <row r="431" spans="1:4" x14ac:dyDescent="0.25">
      <c r="A431" t="s">
        <v>74</v>
      </c>
      <c r="B431" s="48">
        <v>41639</v>
      </c>
      <c r="C431" t="s">
        <v>43</v>
      </c>
      <c r="D431" t="str">
        <f>IF(COUNTIFS(Verweise!$A$2:$A$4542,Übersicht!$C$7,Verweise!$B$2:$B$4542,B431)=1,"Feiertag",IF(C431="Samstag","",IF(C431="Sonntag","",Übersicht!$C$8)))</f>
        <v>Feiertag</v>
      </c>
    </row>
    <row r="432" spans="1:4" x14ac:dyDescent="0.25">
      <c r="A432" t="s">
        <v>74</v>
      </c>
      <c r="B432" s="48">
        <v>41644</v>
      </c>
      <c r="C432" t="s">
        <v>44</v>
      </c>
      <c r="D432" t="str">
        <f>IF(COUNTIFS(Verweise!$A$2:$A$4542,Übersicht!$C$7,Verweise!$B$2:$B$4542,B432)=1,"Feiertag",IF(C432="Samstag","",IF(C432="Sonntag","",Übersicht!$C$8)))</f>
        <v>Büro</v>
      </c>
    </row>
    <row r="433" spans="1:4" x14ac:dyDescent="0.25">
      <c r="A433" t="s">
        <v>74</v>
      </c>
      <c r="B433" s="48">
        <v>41727</v>
      </c>
      <c r="C433" t="s">
        <v>45</v>
      </c>
      <c r="D433" t="str">
        <f>IF(COUNTIFS(Verweise!$A$2:$A$4542,Übersicht!$C$7,Verweise!$B$2:$B$4542,B433)=1,"Feiertag",IF(C433="Samstag","",IF(C433="Sonntag","",Übersicht!$C$8)))</f>
        <v>Feiertag</v>
      </c>
    </row>
    <row r="434" spans="1:4" x14ac:dyDescent="0.25">
      <c r="A434" t="s">
        <v>74</v>
      </c>
      <c r="B434" s="48">
        <v>41729</v>
      </c>
      <c r="C434" t="s">
        <v>46</v>
      </c>
      <c r="D434" t="str">
        <f>IF(COUNTIFS(Verweise!$A$2:$A$4542,Übersicht!$C$7,Verweise!$B$2:$B$4542,B434)=1,"Feiertag",IF(C434="Samstag","",IF(C434="Sonntag","",Übersicht!$C$8)))</f>
        <v>Feiertag</v>
      </c>
    </row>
    <row r="435" spans="1:4" x14ac:dyDescent="0.25">
      <c r="A435" t="s">
        <v>74</v>
      </c>
      <c r="B435" s="48">
        <v>41730</v>
      </c>
      <c r="C435" t="s">
        <v>47</v>
      </c>
      <c r="D435" t="str">
        <f>IF(COUNTIFS(Verweise!$A$2:$A$4542,Übersicht!$C$7,Verweise!$B$2:$B$4542,B435)=1,"Feiertag",IF(C435="Samstag","",IF(C435="Sonntag","",Übersicht!$C$8)))</f>
        <v>Feiertag</v>
      </c>
    </row>
    <row r="436" spans="1:4" x14ac:dyDescent="0.25">
      <c r="A436" t="s">
        <v>74</v>
      </c>
      <c r="B436" s="48">
        <v>41759</v>
      </c>
      <c r="C436" t="s">
        <v>48</v>
      </c>
      <c r="D436" t="str">
        <f>IF(COUNTIFS(Verweise!$A$2:$A$4542,Übersicht!$C$7,Verweise!$B$2:$B$4542,B436)=1,"Feiertag",IF(C436="Samstag","",IF(C436="Sonntag","",Übersicht!$C$8)))</f>
        <v>Feiertag</v>
      </c>
    </row>
    <row r="437" spans="1:4" x14ac:dyDescent="0.25">
      <c r="A437" t="s">
        <v>74</v>
      </c>
      <c r="B437" s="48">
        <v>41768</v>
      </c>
      <c r="C437" t="s">
        <v>49</v>
      </c>
      <c r="D437" t="str">
        <f>IF(COUNTIFS(Verweise!$A$2:$A$4542,Übersicht!$C$7,Verweise!$B$2:$B$4542,B437)=1,"Feiertag",IF(C437="Samstag","",IF(C437="Sonntag","",Übersicht!$C$8)))</f>
        <v>Feiertag</v>
      </c>
    </row>
    <row r="438" spans="1:4" x14ac:dyDescent="0.25">
      <c r="A438" t="s">
        <v>74</v>
      </c>
      <c r="B438" s="48">
        <v>41778</v>
      </c>
      <c r="C438" t="s">
        <v>50</v>
      </c>
      <c r="D438" t="str">
        <f>IF(COUNTIFS(Verweise!$A$2:$A$4542,Übersicht!$C$7,Verweise!$B$2:$B$4542,B438)=1,"Feiertag",IF(C438="Samstag","",IF(C438="Sonntag","",Übersicht!$C$8)))</f>
        <v>Feiertag</v>
      </c>
    </row>
    <row r="439" spans="1:4" x14ac:dyDescent="0.25">
      <c r="A439" t="s">
        <v>74</v>
      </c>
      <c r="B439" s="48">
        <v>41779</v>
      </c>
      <c r="C439" t="s">
        <v>51</v>
      </c>
      <c r="D439" t="str">
        <f>IF(COUNTIFS(Verweise!$A$2:$A$4542,Übersicht!$C$7,Verweise!$B$2:$B$4542,B439)=1,"Feiertag",IF(C439="Samstag","",IF(C439="Sonntag","",Übersicht!$C$8)))</f>
        <v>Feiertag</v>
      </c>
    </row>
    <row r="440" spans="1:4" x14ac:dyDescent="0.25">
      <c r="A440" t="s">
        <v>74</v>
      </c>
      <c r="B440" s="48">
        <v>41914</v>
      </c>
      <c r="C440" t="s">
        <v>53</v>
      </c>
      <c r="D440" t="str">
        <f>IF(COUNTIFS(Verweise!$A$2:$A$4542,Übersicht!$C$7,Verweise!$B$2:$B$4542,B440)=1,"Feiertag",IF(C440="Samstag","",IF(C440="Sonntag","",Übersicht!$C$8)))</f>
        <v>Feiertag</v>
      </c>
    </row>
    <row r="441" spans="1:4" x14ac:dyDescent="0.25">
      <c r="A441" t="s">
        <v>74</v>
      </c>
      <c r="B441" s="48">
        <v>41942</v>
      </c>
      <c r="C441" t="s">
        <v>62</v>
      </c>
      <c r="D441" t="str">
        <f>IF(COUNTIFS(Verweise!$A$2:$A$4542,Übersicht!$C$7,Verweise!$B$2:$B$4542,B441)=1,"Feiertag",IF(C441="Samstag","",IF(C441="Sonntag","",Übersicht!$C$8)))</f>
        <v>Büro</v>
      </c>
    </row>
    <row r="442" spans="1:4" x14ac:dyDescent="0.25">
      <c r="A442" t="s">
        <v>74</v>
      </c>
      <c r="B442" s="48">
        <v>41997</v>
      </c>
      <c r="C442" t="s">
        <v>55</v>
      </c>
      <c r="D442" t="str">
        <f>IF(COUNTIFS(Verweise!$A$2:$A$4542,Übersicht!$C$7,Verweise!$B$2:$B$4542,B442)=1,"Feiertag",IF(C442="Samstag","",IF(C442="Sonntag","",Übersicht!$C$8)))</f>
        <v>Feiertag</v>
      </c>
    </row>
    <row r="443" spans="1:4" x14ac:dyDescent="0.25">
      <c r="A443" t="s">
        <v>74</v>
      </c>
      <c r="B443" s="48">
        <v>41998</v>
      </c>
      <c r="C443" t="s">
        <v>56</v>
      </c>
      <c r="D443" t="str">
        <f>IF(COUNTIFS(Verweise!$A$2:$A$4542,Übersicht!$C$7,Verweise!$B$2:$B$4542,B443)=1,"Feiertag",IF(C443="Samstag","",IF(C443="Sonntag","",Übersicht!$C$8)))</f>
        <v>Feiertag</v>
      </c>
    </row>
    <row r="444" spans="1:4" x14ac:dyDescent="0.25">
      <c r="A444" t="s">
        <v>75</v>
      </c>
      <c r="B444" s="48">
        <v>41639</v>
      </c>
      <c r="C444" t="s">
        <v>43</v>
      </c>
      <c r="D444" t="str">
        <f>IF(COUNTIFS(Verweise!$A$2:$A$4542,Übersicht!$C$7,Verweise!$B$2:$B$4542,B444)=1,"Feiertag",IF(C444="Samstag","",IF(C444="Sonntag","",Übersicht!$C$8)))</f>
        <v>Feiertag</v>
      </c>
    </row>
    <row r="445" spans="1:4" x14ac:dyDescent="0.25">
      <c r="A445" t="s">
        <v>75</v>
      </c>
      <c r="B445" s="48">
        <v>41727</v>
      </c>
      <c r="C445" t="s">
        <v>45</v>
      </c>
      <c r="D445" t="str">
        <f>IF(COUNTIFS(Verweise!$A$2:$A$4542,Übersicht!$C$7,Verweise!$B$2:$B$4542,B445)=1,"Feiertag",IF(C445="Samstag","",IF(C445="Sonntag","",Übersicht!$C$8)))</f>
        <v>Feiertag</v>
      </c>
    </row>
    <row r="446" spans="1:4" x14ac:dyDescent="0.25">
      <c r="A446" t="s">
        <v>75</v>
      </c>
      <c r="B446" s="48">
        <v>41729</v>
      </c>
      <c r="C446" t="s">
        <v>46</v>
      </c>
      <c r="D446" t="str">
        <f>IF(COUNTIFS(Verweise!$A$2:$A$4542,Übersicht!$C$7,Verweise!$B$2:$B$4542,B446)=1,"Feiertag",IF(C446="Samstag","",IF(C446="Sonntag","",Übersicht!$C$8)))</f>
        <v>Feiertag</v>
      </c>
    </row>
    <row r="447" spans="1:4" x14ac:dyDescent="0.25">
      <c r="A447" t="s">
        <v>75</v>
      </c>
      <c r="B447" s="48">
        <v>41730</v>
      </c>
      <c r="C447" t="s">
        <v>47</v>
      </c>
      <c r="D447" t="str">
        <f>IF(COUNTIFS(Verweise!$A$2:$A$4542,Übersicht!$C$7,Verweise!$B$2:$B$4542,B447)=1,"Feiertag",IF(C447="Samstag","",IF(C447="Sonntag","",Übersicht!$C$8)))</f>
        <v>Feiertag</v>
      </c>
    </row>
    <row r="448" spans="1:4" x14ac:dyDescent="0.25">
      <c r="A448" t="s">
        <v>75</v>
      </c>
      <c r="B448" s="48">
        <v>41759</v>
      </c>
      <c r="C448" t="s">
        <v>48</v>
      </c>
      <c r="D448" t="str">
        <f>IF(COUNTIFS(Verweise!$A$2:$A$4542,Übersicht!$C$7,Verweise!$B$2:$B$4542,B448)=1,"Feiertag",IF(C448="Samstag","",IF(C448="Sonntag","",Übersicht!$C$8)))</f>
        <v>Feiertag</v>
      </c>
    </row>
    <row r="449" spans="1:4" x14ac:dyDescent="0.25">
      <c r="A449" t="s">
        <v>75</v>
      </c>
      <c r="B449" s="48">
        <v>41768</v>
      </c>
      <c r="C449" t="s">
        <v>49</v>
      </c>
      <c r="D449" t="str">
        <f>IF(COUNTIFS(Verweise!$A$2:$A$4542,Übersicht!$C$7,Verweise!$B$2:$B$4542,B449)=1,"Feiertag",IF(C449="Samstag","",IF(C449="Sonntag","",Übersicht!$C$8)))</f>
        <v>Feiertag</v>
      </c>
    </row>
    <row r="450" spans="1:4" x14ac:dyDescent="0.25">
      <c r="A450" t="s">
        <v>75</v>
      </c>
      <c r="B450" s="48">
        <v>41778</v>
      </c>
      <c r="C450" t="s">
        <v>50</v>
      </c>
      <c r="D450" t="str">
        <f>IF(COUNTIFS(Verweise!$A$2:$A$4542,Übersicht!$C$7,Verweise!$B$2:$B$4542,B450)=1,"Feiertag",IF(C450="Samstag","",IF(C450="Sonntag","",Übersicht!$C$8)))</f>
        <v>Feiertag</v>
      </c>
    </row>
    <row r="451" spans="1:4" x14ac:dyDescent="0.25">
      <c r="A451" t="s">
        <v>75</v>
      </c>
      <c r="B451" s="48">
        <v>41779</v>
      </c>
      <c r="C451" t="s">
        <v>51</v>
      </c>
      <c r="D451" t="str">
        <f>IF(COUNTIFS(Verweise!$A$2:$A$4542,Übersicht!$C$7,Verweise!$B$2:$B$4542,B451)=1,"Feiertag",IF(C451="Samstag","",IF(C451="Sonntag","",Übersicht!$C$8)))</f>
        <v>Feiertag</v>
      </c>
    </row>
    <row r="452" spans="1:4" x14ac:dyDescent="0.25">
      <c r="A452" t="s">
        <v>75</v>
      </c>
      <c r="B452" s="48">
        <v>41914</v>
      </c>
      <c r="C452" t="s">
        <v>53</v>
      </c>
      <c r="D452" t="str">
        <f>IF(COUNTIFS(Verweise!$A$2:$A$4542,Übersicht!$C$7,Verweise!$B$2:$B$4542,B452)=1,"Feiertag",IF(C452="Samstag","",IF(C452="Sonntag","",Übersicht!$C$8)))</f>
        <v>Feiertag</v>
      </c>
    </row>
    <row r="453" spans="1:4" x14ac:dyDescent="0.25">
      <c r="A453" t="s">
        <v>75</v>
      </c>
      <c r="B453" s="48">
        <v>41997</v>
      </c>
      <c r="C453" t="s">
        <v>55</v>
      </c>
      <c r="D453" t="str">
        <f>IF(COUNTIFS(Verweise!$A$2:$A$4542,Übersicht!$C$7,Verweise!$B$2:$B$4542,B453)=1,"Feiertag",IF(C453="Samstag","",IF(C453="Sonntag","",Übersicht!$C$8)))</f>
        <v>Feiertag</v>
      </c>
    </row>
    <row r="454" spans="1:4" x14ac:dyDescent="0.25">
      <c r="A454" t="s">
        <v>75</v>
      </c>
      <c r="B454" s="48">
        <v>41998</v>
      </c>
      <c r="C454" t="s">
        <v>56</v>
      </c>
      <c r="D454" t="str">
        <f>IF(COUNTIFS(Verweise!$A$2:$A$4542,Übersicht!$C$7,Verweise!$B$2:$B$4542,B454)=1,"Feiertag",IF(C454="Samstag","",IF(C454="Sonntag","",Übersicht!$C$8)))</f>
        <v>Feiertag</v>
      </c>
    </row>
    <row r="455" spans="1:4" x14ac:dyDescent="0.25">
      <c r="A455" t="s">
        <v>76</v>
      </c>
      <c r="B455" s="48">
        <v>41639</v>
      </c>
      <c r="C455" t="s">
        <v>43</v>
      </c>
      <c r="D455" t="str">
        <f>IF(COUNTIFS(Verweise!$A$2:$A$4542,Übersicht!$C$7,Verweise!$B$2:$B$4542,B455)=1,"Feiertag",IF(C455="Samstag","",IF(C455="Sonntag","",Übersicht!$C$8)))</f>
        <v>Feiertag</v>
      </c>
    </row>
    <row r="456" spans="1:4" x14ac:dyDescent="0.25">
      <c r="A456" t="s">
        <v>76</v>
      </c>
      <c r="B456" s="48">
        <v>41727</v>
      </c>
      <c r="C456" t="s">
        <v>45</v>
      </c>
      <c r="D456" t="str">
        <f>IF(COUNTIFS(Verweise!$A$2:$A$4542,Übersicht!$C$7,Verweise!$B$2:$B$4542,B456)=1,"Feiertag",IF(C456="Samstag","",IF(C456="Sonntag","",Übersicht!$C$8)))</f>
        <v>Feiertag</v>
      </c>
    </row>
    <row r="457" spans="1:4" x14ac:dyDescent="0.25">
      <c r="A457" t="s">
        <v>76</v>
      </c>
      <c r="B457" s="48">
        <v>41729</v>
      </c>
      <c r="C457" t="s">
        <v>46</v>
      </c>
      <c r="D457" t="str">
        <f>IF(COUNTIFS(Verweise!$A$2:$A$4542,Übersicht!$C$7,Verweise!$B$2:$B$4542,B457)=1,"Feiertag",IF(C457="Samstag","",IF(C457="Sonntag","",Übersicht!$C$8)))</f>
        <v>Feiertag</v>
      </c>
    </row>
    <row r="458" spans="1:4" x14ac:dyDescent="0.25">
      <c r="A458" t="s">
        <v>76</v>
      </c>
      <c r="B458" s="48">
        <v>41730</v>
      </c>
      <c r="C458" t="s">
        <v>47</v>
      </c>
      <c r="D458" t="str">
        <f>IF(COUNTIFS(Verweise!$A$2:$A$4542,Übersicht!$C$7,Verweise!$B$2:$B$4542,B458)=1,"Feiertag",IF(C458="Samstag","",IF(C458="Sonntag","",Übersicht!$C$8)))</f>
        <v>Feiertag</v>
      </c>
    </row>
    <row r="459" spans="1:4" x14ac:dyDescent="0.25">
      <c r="A459" t="s">
        <v>76</v>
      </c>
      <c r="B459" s="48">
        <v>41759</v>
      </c>
      <c r="C459" t="s">
        <v>48</v>
      </c>
      <c r="D459" t="str">
        <f>IF(COUNTIFS(Verweise!$A$2:$A$4542,Übersicht!$C$7,Verweise!$B$2:$B$4542,B459)=1,"Feiertag",IF(C459="Samstag","",IF(C459="Sonntag","",Übersicht!$C$8)))</f>
        <v>Feiertag</v>
      </c>
    </row>
    <row r="460" spans="1:4" x14ac:dyDescent="0.25">
      <c r="A460" t="s">
        <v>76</v>
      </c>
      <c r="B460" s="48">
        <v>41768</v>
      </c>
      <c r="C460" t="s">
        <v>49</v>
      </c>
      <c r="D460" t="str">
        <f>IF(COUNTIFS(Verweise!$A$2:$A$4542,Übersicht!$C$7,Verweise!$B$2:$B$4542,B460)=1,"Feiertag",IF(C460="Samstag","",IF(C460="Sonntag","",Übersicht!$C$8)))</f>
        <v>Feiertag</v>
      </c>
    </row>
    <row r="461" spans="1:4" x14ac:dyDescent="0.25">
      <c r="A461" t="s">
        <v>76</v>
      </c>
      <c r="B461" s="48">
        <v>41778</v>
      </c>
      <c r="C461" t="s">
        <v>50</v>
      </c>
      <c r="D461" t="str">
        <f>IF(COUNTIFS(Verweise!$A$2:$A$4542,Übersicht!$C$7,Verweise!$B$2:$B$4542,B461)=1,"Feiertag",IF(C461="Samstag","",IF(C461="Sonntag","",Übersicht!$C$8)))</f>
        <v>Feiertag</v>
      </c>
    </row>
    <row r="462" spans="1:4" x14ac:dyDescent="0.25">
      <c r="A462" t="s">
        <v>76</v>
      </c>
      <c r="B462" s="48">
        <v>41779</v>
      </c>
      <c r="C462" t="s">
        <v>51</v>
      </c>
      <c r="D462" t="str">
        <f>IF(COUNTIFS(Verweise!$A$2:$A$4542,Übersicht!$C$7,Verweise!$B$2:$B$4542,B462)=1,"Feiertag",IF(C462="Samstag","",IF(C462="Sonntag","",Übersicht!$C$8)))</f>
        <v>Feiertag</v>
      </c>
    </row>
    <row r="463" spans="1:4" x14ac:dyDescent="0.25">
      <c r="A463" t="s">
        <v>76</v>
      </c>
      <c r="B463" s="48">
        <v>41914</v>
      </c>
      <c r="C463" t="s">
        <v>53</v>
      </c>
      <c r="D463" t="str">
        <f>IF(COUNTIFS(Verweise!$A$2:$A$4542,Übersicht!$C$7,Verweise!$B$2:$B$4542,B463)=1,"Feiertag",IF(C463="Samstag","",IF(C463="Sonntag","",Übersicht!$C$8)))</f>
        <v>Feiertag</v>
      </c>
    </row>
    <row r="464" spans="1:4" x14ac:dyDescent="0.25">
      <c r="A464" t="s">
        <v>76</v>
      </c>
      <c r="B464" s="48">
        <v>41942</v>
      </c>
      <c r="C464" t="s">
        <v>62</v>
      </c>
      <c r="D464" t="str">
        <f>IF(COUNTIFS(Verweise!$A$2:$A$4542,Übersicht!$C$7,Verweise!$B$2:$B$4542,B464)=1,"Feiertag",IF(C464="Samstag","",IF(C464="Sonntag","",Übersicht!$C$8)))</f>
        <v>Büro</v>
      </c>
    </row>
    <row r="465" spans="1:4" x14ac:dyDescent="0.25">
      <c r="A465" t="s">
        <v>76</v>
      </c>
      <c r="B465" s="48">
        <v>41997</v>
      </c>
      <c r="C465" t="s">
        <v>55</v>
      </c>
      <c r="D465" t="str">
        <f>IF(COUNTIFS(Verweise!$A$2:$A$4542,Übersicht!$C$7,Verweise!$B$2:$B$4542,B465)=1,"Feiertag",IF(C465="Samstag","",IF(C465="Sonntag","",Übersicht!$C$8)))</f>
        <v>Feiertag</v>
      </c>
    </row>
    <row r="466" spans="1:4" x14ac:dyDescent="0.25">
      <c r="A466" t="s">
        <v>76</v>
      </c>
      <c r="B466" s="48">
        <v>41998</v>
      </c>
      <c r="C466" t="s">
        <v>56</v>
      </c>
      <c r="D466" t="str">
        <f>IF(COUNTIFS(Verweise!$A$2:$A$4542,Übersicht!$C$7,Verweise!$B$2:$B$4542,B466)=1,"Feiertag",IF(C466="Samstag","",IF(C466="Sonntag","",Übersicht!$C$8)))</f>
        <v>Feiertag</v>
      </c>
    </row>
    <row r="467" spans="1:4" x14ac:dyDescent="0.25">
      <c r="A467" t="s">
        <v>77</v>
      </c>
      <c r="B467" s="48">
        <v>41639</v>
      </c>
      <c r="C467" t="s">
        <v>43</v>
      </c>
      <c r="D467" t="str">
        <f>IF(COUNTIFS(Verweise!$A$2:$A$4542,Übersicht!$C$7,Verweise!$B$2:$B$4542,B467)=1,"Feiertag",IF(C467="Samstag","",IF(C467="Sonntag","",Übersicht!$C$8)))</f>
        <v>Feiertag</v>
      </c>
    </row>
    <row r="468" spans="1:4" x14ac:dyDescent="0.25">
      <c r="A468" t="s">
        <v>77</v>
      </c>
      <c r="B468" s="48">
        <v>41727</v>
      </c>
      <c r="C468" t="s">
        <v>45</v>
      </c>
      <c r="D468" t="str">
        <f>IF(COUNTIFS(Verweise!$A$2:$A$4542,Übersicht!$C$7,Verweise!$B$2:$B$4542,B468)=1,"Feiertag",IF(C468="Samstag","",IF(C468="Sonntag","",Übersicht!$C$8)))</f>
        <v>Feiertag</v>
      </c>
    </row>
    <row r="469" spans="1:4" x14ac:dyDescent="0.25">
      <c r="A469" t="s">
        <v>77</v>
      </c>
      <c r="B469" s="48">
        <v>41729</v>
      </c>
      <c r="C469" t="s">
        <v>46</v>
      </c>
      <c r="D469" t="str">
        <f>IF(COUNTIFS(Verweise!$A$2:$A$4542,Übersicht!$C$7,Verweise!$B$2:$B$4542,B469)=1,"Feiertag",IF(C469="Samstag","",IF(C469="Sonntag","",Übersicht!$C$8)))</f>
        <v>Feiertag</v>
      </c>
    </row>
    <row r="470" spans="1:4" x14ac:dyDescent="0.25">
      <c r="A470" t="s">
        <v>77</v>
      </c>
      <c r="B470" s="48">
        <v>41730</v>
      </c>
      <c r="C470" t="s">
        <v>47</v>
      </c>
      <c r="D470" t="str">
        <f>IF(COUNTIFS(Verweise!$A$2:$A$4542,Übersicht!$C$7,Verweise!$B$2:$B$4542,B470)=1,"Feiertag",IF(C470="Samstag","",IF(C470="Sonntag","",Übersicht!$C$8)))</f>
        <v>Feiertag</v>
      </c>
    </row>
    <row r="471" spans="1:4" x14ac:dyDescent="0.25">
      <c r="A471" t="s">
        <v>77</v>
      </c>
      <c r="B471" s="48">
        <v>41759</v>
      </c>
      <c r="C471" t="s">
        <v>48</v>
      </c>
      <c r="D471" t="str">
        <f>IF(COUNTIFS(Verweise!$A$2:$A$4542,Übersicht!$C$7,Verweise!$B$2:$B$4542,B471)=1,"Feiertag",IF(C471="Samstag","",IF(C471="Sonntag","",Übersicht!$C$8)))</f>
        <v>Feiertag</v>
      </c>
    </row>
    <row r="472" spans="1:4" x14ac:dyDescent="0.25">
      <c r="A472" t="s">
        <v>77</v>
      </c>
      <c r="B472" s="48">
        <v>41768</v>
      </c>
      <c r="C472" t="s">
        <v>49</v>
      </c>
      <c r="D472" t="str">
        <f>IF(COUNTIFS(Verweise!$A$2:$A$4542,Übersicht!$C$7,Verweise!$B$2:$B$4542,B472)=1,"Feiertag",IF(C472="Samstag","",IF(C472="Sonntag","",Übersicht!$C$8)))</f>
        <v>Feiertag</v>
      </c>
    </row>
    <row r="473" spans="1:4" x14ac:dyDescent="0.25">
      <c r="A473" t="s">
        <v>77</v>
      </c>
      <c r="B473" s="48">
        <v>41778</v>
      </c>
      <c r="C473" t="s">
        <v>50</v>
      </c>
      <c r="D473" t="str">
        <f>IF(COUNTIFS(Verweise!$A$2:$A$4542,Übersicht!$C$7,Verweise!$B$2:$B$4542,B473)=1,"Feiertag",IF(C473="Samstag","",IF(C473="Sonntag","",Übersicht!$C$8)))</f>
        <v>Feiertag</v>
      </c>
    </row>
    <row r="474" spans="1:4" x14ac:dyDescent="0.25">
      <c r="A474" t="s">
        <v>77</v>
      </c>
      <c r="B474" s="48">
        <v>41779</v>
      </c>
      <c r="C474" t="s">
        <v>51</v>
      </c>
      <c r="D474" t="str">
        <f>IF(COUNTIFS(Verweise!$A$2:$A$4542,Übersicht!$C$7,Verweise!$B$2:$B$4542,B474)=1,"Feiertag",IF(C474="Samstag","",IF(C474="Sonntag","",Übersicht!$C$8)))</f>
        <v>Feiertag</v>
      </c>
    </row>
    <row r="475" spans="1:4" x14ac:dyDescent="0.25">
      <c r="A475" t="s">
        <v>77</v>
      </c>
      <c r="B475" s="48">
        <v>41789</v>
      </c>
      <c r="C475" t="s">
        <v>52</v>
      </c>
      <c r="D475" t="str">
        <f>IF(COUNTIFS(Verweise!$A$2:$A$4542,Übersicht!$C$7,Verweise!$B$2:$B$4542,B475)=1,"Feiertag",IF(C475="Samstag","",IF(C475="Sonntag","",Übersicht!$C$8)))</f>
        <v>Feiertag</v>
      </c>
    </row>
    <row r="476" spans="1:4" x14ac:dyDescent="0.25">
      <c r="A476" t="s">
        <v>77</v>
      </c>
      <c r="B476" s="48">
        <v>41914</v>
      </c>
      <c r="C476" t="s">
        <v>53</v>
      </c>
      <c r="D476" t="str">
        <f>IF(COUNTIFS(Verweise!$A$2:$A$4542,Übersicht!$C$7,Verweise!$B$2:$B$4542,B476)=1,"Feiertag",IF(C476="Samstag","",IF(C476="Sonntag","",Übersicht!$C$8)))</f>
        <v>Feiertag</v>
      </c>
    </row>
    <row r="477" spans="1:4" x14ac:dyDescent="0.25">
      <c r="A477" t="s">
        <v>77</v>
      </c>
      <c r="B477" s="48">
        <v>41942</v>
      </c>
      <c r="C477" t="s">
        <v>62</v>
      </c>
      <c r="D477" t="str">
        <f>IF(COUNTIFS(Verweise!$A$2:$A$4542,Übersicht!$C$7,Verweise!$B$2:$B$4542,B477)=1,"Feiertag",IF(C477="Samstag","",IF(C477="Sonntag","",Übersicht!$C$8)))</f>
        <v>Büro</v>
      </c>
    </row>
    <row r="478" spans="1:4" x14ac:dyDescent="0.25">
      <c r="A478" t="s">
        <v>77</v>
      </c>
      <c r="B478" s="48">
        <v>41997</v>
      </c>
      <c r="C478" t="s">
        <v>55</v>
      </c>
      <c r="D478" t="str">
        <f>IF(COUNTIFS(Verweise!$A$2:$A$4542,Übersicht!$C$7,Verweise!$B$2:$B$4542,B478)=1,"Feiertag",IF(C478="Samstag","",IF(C478="Sonntag","",Übersicht!$C$8)))</f>
        <v>Feiertag</v>
      </c>
    </row>
    <row r="479" spans="1:4" x14ac:dyDescent="0.25">
      <c r="A479" t="s">
        <v>77</v>
      </c>
      <c r="B479" s="48">
        <v>41998</v>
      </c>
      <c r="C479" t="s">
        <v>56</v>
      </c>
      <c r="D479" t="str">
        <f>IF(COUNTIFS(Verweise!$A$2:$A$4542,Übersicht!$C$7,Verweise!$B$2:$B$4542,B479)=1,"Feiertag",IF(C479="Samstag","",IF(C479="Sonntag","",Übersicht!$C$8)))</f>
        <v>Feiertag</v>
      </c>
    </row>
    <row r="480" spans="1:4" x14ac:dyDescent="0.25">
      <c r="A480" t="s">
        <v>42</v>
      </c>
      <c r="B480" s="48">
        <v>42004</v>
      </c>
      <c r="C480" t="s">
        <v>43</v>
      </c>
      <c r="D480" t="str">
        <f>IF(COUNTIFS(Verweise!$A$2:$A$4542,Übersicht!$C$7,Verweise!$B$2:$B$4542,B480)=1,"Feiertag",IF(C480="Samstag","",IF(C480="Sonntag","",Übersicht!$C$8)))</f>
        <v>Feiertag</v>
      </c>
    </row>
    <row r="481" spans="1:4" x14ac:dyDescent="0.25">
      <c r="A481" t="s">
        <v>42</v>
      </c>
      <c r="B481" s="48">
        <v>42009</v>
      </c>
      <c r="C481" t="s">
        <v>44</v>
      </c>
      <c r="D481" t="str">
        <f>IF(COUNTIFS(Verweise!$A$2:$A$4542,Übersicht!$C$7,Verweise!$B$2:$B$4542,B481)=1,"Feiertag",IF(C481="Samstag","",IF(C481="Sonntag","",Übersicht!$C$8)))</f>
        <v>Büro</v>
      </c>
    </row>
    <row r="482" spans="1:4" x14ac:dyDescent="0.25">
      <c r="A482" t="s">
        <v>42</v>
      </c>
      <c r="B482" s="48">
        <v>42112</v>
      </c>
      <c r="C482" t="s">
        <v>45</v>
      </c>
      <c r="D482" t="str">
        <f>IF(COUNTIFS(Verweise!$A$2:$A$4542,Übersicht!$C$7,Verweise!$B$2:$B$4542,B482)=1,"Feiertag",IF(C482="Samstag","",IF(C482="Sonntag","",Übersicht!$C$8)))</f>
        <v>Feiertag</v>
      </c>
    </row>
    <row r="483" spans="1:4" x14ac:dyDescent="0.25">
      <c r="A483" t="s">
        <v>42</v>
      </c>
      <c r="B483" s="48">
        <v>42114</v>
      </c>
      <c r="C483" t="s">
        <v>46</v>
      </c>
      <c r="D483" t="str">
        <f>IF(COUNTIFS(Verweise!$A$2:$A$4542,Übersicht!$C$7,Verweise!$B$2:$B$4542,B483)=1,"Feiertag",IF(C483="Samstag","",IF(C483="Sonntag","",Übersicht!$C$8)))</f>
        <v>Feiertag</v>
      </c>
    </row>
    <row r="484" spans="1:4" x14ac:dyDescent="0.25">
      <c r="A484" t="s">
        <v>42</v>
      </c>
      <c r="B484" s="48">
        <v>42115</v>
      </c>
      <c r="C484" t="s">
        <v>47</v>
      </c>
      <c r="D484" t="str">
        <f>IF(COUNTIFS(Verweise!$A$2:$A$4542,Übersicht!$C$7,Verweise!$B$2:$B$4542,B484)=1,"Feiertag",IF(C484="Samstag","",IF(C484="Sonntag","",Übersicht!$C$8)))</f>
        <v>Feiertag</v>
      </c>
    </row>
    <row r="485" spans="1:4" x14ac:dyDescent="0.25">
      <c r="A485" t="s">
        <v>42</v>
      </c>
      <c r="B485" s="48">
        <v>42124</v>
      </c>
      <c r="C485" t="s">
        <v>48</v>
      </c>
      <c r="D485" t="str">
        <f>IF(COUNTIFS(Verweise!$A$2:$A$4542,Übersicht!$C$7,Verweise!$B$2:$B$4542,B485)=1,"Feiertag",IF(C485="Samstag","",IF(C485="Sonntag","",Übersicht!$C$8)))</f>
        <v>Feiertag</v>
      </c>
    </row>
    <row r="486" spans="1:4" x14ac:dyDescent="0.25">
      <c r="A486" t="s">
        <v>42</v>
      </c>
      <c r="B486" s="48">
        <v>42153</v>
      </c>
      <c r="C486" t="s">
        <v>49</v>
      </c>
      <c r="D486" t="str">
        <f>IF(COUNTIFS(Verweise!$A$2:$A$4542,Übersicht!$C$7,Verweise!$B$2:$B$4542,B486)=1,"Feiertag",IF(C486="Samstag","",IF(C486="Sonntag","",Übersicht!$C$8)))</f>
        <v>Feiertag</v>
      </c>
    </row>
    <row r="487" spans="1:4" x14ac:dyDescent="0.25">
      <c r="A487" t="s">
        <v>42</v>
      </c>
      <c r="B487" s="48">
        <v>42163</v>
      </c>
      <c r="C487" t="s">
        <v>50</v>
      </c>
      <c r="D487" t="str">
        <f>IF(COUNTIFS(Verweise!$A$2:$A$4542,Übersicht!$C$7,Verweise!$B$2:$B$4542,B487)=1,"Feiertag",IF(C487="Samstag","",IF(C487="Sonntag","",Übersicht!$C$8)))</f>
        <v>Feiertag</v>
      </c>
    </row>
    <row r="488" spans="1:4" x14ac:dyDescent="0.25">
      <c r="A488" t="s">
        <v>42</v>
      </c>
      <c r="B488" s="48">
        <v>42164</v>
      </c>
      <c r="C488" t="s">
        <v>51</v>
      </c>
      <c r="D488" t="str">
        <f>IF(COUNTIFS(Verweise!$A$2:$A$4542,Übersicht!$C$7,Verweise!$B$2:$B$4542,B488)=1,"Feiertag",IF(C488="Samstag","",IF(C488="Sonntag","",Übersicht!$C$8)))</f>
        <v>Feiertag</v>
      </c>
    </row>
    <row r="489" spans="1:4" x14ac:dyDescent="0.25">
      <c r="A489" t="s">
        <v>42</v>
      </c>
      <c r="B489" s="48">
        <v>42174</v>
      </c>
      <c r="C489" t="s">
        <v>52</v>
      </c>
      <c r="D489" t="str">
        <f>IF(COUNTIFS(Verweise!$A$2:$A$4542,Übersicht!$C$7,Verweise!$B$2:$B$4542,B489)=1,"Feiertag",IF(C489="Samstag","",IF(C489="Sonntag","",Übersicht!$C$8)))</f>
        <v>Feiertag</v>
      </c>
    </row>
    <row r="490" spans="1:4" x14ac:dyDescent="0.25">
      <c r="A490" t="s">
        <v>42</v>
      </c>
      <c r="B490" s="48">
        <v>42279</v>
      </c>
      <c r="C490" t="s">
        <v>53</v>
      </c>
      <c r="D490" t="str">
        <f>IF(COUNTIFS(Verweise!$A$2:$A$4542,Übersicht!$C$7,Verweise!$B$2:$B$4542,B490)=1,"Feiertag",IF(C490="Samstag","",IF(C490="Sonntag","",Übersicht!$C$8)))</f>
        <v>Feiertag</v>
      </c>
    </row>
    <row r="491" spans="1:4" x14ac:dyDescent="0.25">
      <c r="A491" t="s">
        <v>42</v>
      </c>
      <c r="B491" s="48">
        <v>42308</v>
      </c>
      <c r="C491" t="s">
        <v>54</v>
      </c>
      <c r="D491" t="str">
        <f>IF(COUNTIFS(Verweise!$A$2:$A$4542,Übersicht!$C$7,Verweise!$B$2:$B$4542,B491)=1,"Feiertag",IF(C491="Samstag","",IF(C491="Sonntag","",Übersicht!$C$8)))</f>
        <v>Feiertag</v>
      </c>
    </row>
    <row r="492" spans="1:4" x14ac:dyDescent="0.25">
      <c r="A492" t="s">
        <v>42</v>
      </c>
      <c r="B492" s="48">
        <v>42362</v>
      </c>
      <c r="C492" t="s">
        <v>55</v>
      </c>
      <c r="D492" t="str">
        <f>IF(COUNTIFS(Verweise!$A$2:$A$4542,Übersicht!$C$7,Verweise!$B$2:$B$4542,B492)=1,"Feiertag",IF(C492="Samstag","",IF(C492="Sonntag","",Übersicht!$C$8)))</f>
        <v>Feiertag</v>
      </c>
    </row>
    <row r="493" spans="1:4" x14ac:dyDescent="0.25">
      <c r="A493" t="s">
        <v>42</v>
      </c>
      <c r="B493" s="48">
        <v>42363</v>
      </c>
      <c r="C493" t="s">
        <v>56</v>
      </c>
      <c r="D493" t="str">
        <f>IF(COUNTIFS(Verweise!$A$2:$A$4542,Übersicht!$C$7,Verweise!$B$2:$B$4542,B493)=1,"Feiertag",IF(C493="Samstag","",IF(C493="Sonntag","",Übersicht!$C$8)))</f>
        <v>Feiertag</v>
      </c>
    </row>
    <row r="494" spans="1:4" x14ac:dyDescent="0.25">
      <c r="A494" t="s">
        <v>57</v>
      </c>
      <c r="B494" s="48">
        <v>42004</v>
      </c>
      <c r="C494" t="s">
        <v>43</v>
      </c>
      <c r="D494" t="str">
        <f>IF(COUNTIFS(Verweise!$A$2:$A$4542,Übersicht!$C$7,Verweise!$B$2:$B$4542,B494)=1,"Feiertag",IF(C494="Samstag","",IF(C494="Sonntag","",Übersicht!$C$8)))</f>
        <v>Feiertag</v>
      </c>
    </row>
    <row r="495" spans="1:4" x14ac:dyDescent="0.25">
      <c r="A495" t="s">
        <v>57</v>
      </c>
      <c r="B495" s="48">
        <v>42009</v>
      </c>
      <c r="C495" t="s">
        <v>44</v>
      </c>
      <c r="D495" t="str">
        <f>IF(COUNTIFS(Verweise!$A$2:$A$4542,Übersicht!$C$7,Verweise!$B$2:$B$4542,B495)=1,"Feiertag",IF(C495="Samstag","",IF(C495="Sonntag","",Übersicht!$C$8)))</f>
        <v>Büro</v>
      </c>
    </row>
    <row r="496" spans="1:4" x14ac:dyDescent="0.25">
      <c r="A496" t="s">
        <v>57</v>
      </c>
      <c r="B496" s="48">
        <v>42112</v>
      </c>
      <c r="C496" t="s">
        <v>45</v>
      </c>
      <c r="D496" t="str">
        <f>IF(COUNTIFS(Verweise!$A$2:$A$4542,Übersicht!$C$7,Verweise!$B$2:$B$4542,B496)=1,"Feiertag",IF(C496="Samstag","",IF(C496="Sonntag","",Übersicht!$C$8)))</f>
        <v>Feiertag</v>
      </c>
    </row>
    <row r="497" spans="1:4" x14ac:dyDescent="0.25">
      <c r="A497" t="s">
        <v>57</v>
      </c>
      <c r="B497" s="48">
        <v>42114</v>
      </c>
      <c r="C497" t="s">
        <v>46</v>
      </c>
      <c r="D497" t="str">
        <f>IF(COUNTIFS(Verweise!$A$2:$A$4542,Übersicht!$C$7,Verweise!$B$2:$B$4542,B497)=1,"Feiertag",IF(C497="Samstag","",IF(C497="Sonntag","",Übersicht!$C$8)))</f>
        <v>Feiertag</v>
      </c>
    </row>
    <row r="498" spans="1:4" x14ac:dyDescent="0.25">
      <c r="A498" t="s">
        <v>57</v>
      </c>
      <c r="B498" s="48">
        <v>42115</v>
      </c>
      <c r="C498" t="s">
        <v>47</v>
      </c>
      <c r="D498" t="str">
        <f>IF(COUNTIFS(Verweise!$A$2:$A$4542,Übersicht!$C$7,Verweise!$B$2:$B$4542,B498)=1,"Feiertag",IF(C498="Samstag","",IF(C498="Sonntag","",Übersicht!$C$8)))</f>
        <v>Feiertag</v>
      </c>
    </row>
    <row r="499" spans="1:4" x14ac:dyDescent="0.25">
      <c r="A499" t="s">
        <v>57</v>
      </c>
      <c r="B499" s="48">
        <v>42124</v>
      </c>
      <c r="C499" t="s">
        <v>48</v>
      </c>
      <c r="D499" t="str">
        <f>IF(COUNTIFS(Verweise!$A$2:$A$4542,Übersicht!$C$7,Verweise!$B$2:$B$4542,B499)=1,"Feiertag",IF(C499="Samstag","",IF(C499="Sonntag","",Übersicht!$C$8)))</f>
        <v>Feiertag</v>
      </c>
    </row>
    <row r="500" spans="1:4" x14ac:dyDescent="0.25">
      <c r="A500" t="s">
        <v>57</v>
      </c>
      <c r="B500" s="48">
        <v>42153</v>
      </c>
      <c r="C500" t="s">
        <v>49</v>
      </c>
      <c r="D500" t="str">
        <f>IF(COUNTIFS(Verweise!$A$2:$A$4542,Übersicht!$C$7,Verweise!$B$2:$B$4542,B500)=1,"Feiertag",IF(C500="Samstag","",IF(C500="Sonntag","",Übersicht!$C$8)))</f>
        <v>Feiertag</v>
      </c>
    </row>
    <row r="501" spans="1:4" x14ac:dyDescent="0.25">
      <c r="A501" t="s">
        <v>57</v>
      </c>
      <c r="B501" s="48">
        <v>42163</v>
      </c>
      <c r="C501" t="s">
        <v>50</v>
      </c>
      <c r="D501" t="str">
        <f>IF(COUNTIFS(Verweise!$A$2:$A$4542,Übersicht!$C$7,Verweise!$B$2:$B$4542,B501)=1,"Feiertag",IF(C501="Samstag","",IF(C501="Sonntag","",Übersicht!$C$8)))</f>
        <v>Feiertag</v>
      </c>
    </row>
    <row r="502" spans="1:4" x14ac:dyDescent="0.25">
      <c r="A502" t="s">
        <v>57</v>
      </c>
      <c r="B502" s="48">
        <v>42164</v>
      </c>
      <c r="C502" t="s">
        <v>51</v>
      </c>
      <c r="D502" t="str">
        <f>IF(COUNTIFS(Verweise!$A$2:$A$4542,Übersicht!$C$7,Verweise!$B$2:$B$4542,B502)=1,"Feiertag",IF(C502="Samstag","",IF(C502="Sonntag","",Übersicht!$C$8)))</f>
        <v>Feiertag</v>
      </c>
    </row>
    <row r="503" spans="1:4" x14ac:dyDescent="0.25">
      <c r="A503" t="s">
        <v>57</v>
      </c>
      <c r="B503" s="48">
        <v>42174</v>
      </c>
      <c r="C503" t="s">
        <v>52</v>
      </c>
      <c r="D503" t="str">
        <f>IF(COUNTIFS(Verweise!$A$2:$A$4542,Übersicht!$C$7,Verweise!$B$2:$B$4542,B503)=1,"Feiertag",IF(C503="Samstag","",IF(C503="Sonntag","",Übersicht!$C$8)))</f>
        <v>Feiertag</v>
      </c>
    </row>
    <row r="504" spans="1:4" x14ac:dyDescent="0.25">
      <c r="A504" t="s">
        <v>57</v>
      </c>
      <c r="B504" s="48">
        <v>42279</v>
      </c>
      <c r="C504" t="s">
        <v>53</v>
      </c>
      <c r="D504" t="str">
        <f>IF(COUNTIFS(Verweise!$A$2:$A$4542,Übersicht!$C$7,Verweise!$B$2:$B$4542,B504)=1,"Feiertag",IF(C504="Samstag","",IF(C504="Sonntag","",Übersicht!$C$8)))</f>
        <v>Feiertag</v>
      </c>
    </row>
    <row r="505" spans="1:4" x14ac:dyDescent="0.25">
      <c r="A505" t="s">
        <v>57</v>
      </c>
      <c r="B505" s="48">
        <v>42308</v>
      </c>
      <c r="C505" t="s">
        <v>54</v>
      </c>
      <c r="D505" t="str">
        <f>IF(COUNTIFS(Verweise!$A$2:$A$4542,Übersicht!$C$7,Verweise!$B$2:$B$4542,B505)=1,"Feiertag",IF(C505="Samstag","",IF(C505="Sonntag","",Übersicht!$C$8)))</f>
        <v>Feiertag</v>
      </c>
    </row>
    <row r="506" spans="1:4" x14ac:dyDescent="0.25">
      <c r="A506" t="s">
        <v>57</v>
      </c>
      <c r="B506" s="48">
        <v>42362</v>
      </c>
      <c r="C506" t="s">
        <v>55</v>
      </c>
      <c r="D506" t="str">
        <f>IF(COUNTIFS(Verweise!$A$2:$A$4542,Übersicht!$C$7,Verweise!$B$2:$B$4542,B506)=1,"Feiertag",IF(C506="Samstag","",IF(C506="Sonntag","",Übersicht!$C$8)))</f>
        <v>Feiertag</v>
      </c>
    </row>
    <row r="507" spans="1:4" x14ac:dyDescent="0.25">
      <c r="A507" t="s">
        <v>57</v>
      </c>
      <c r="B507" s="48">
        <v>42363</v>
      </c>
      <c r="C507" t="s">
        <v>56</v>
      </c>
      <c r="D507" t="str">
        <f>IF(COUNTIFS(Verweise!$A$2:$A$4542,Übersicht!$C$7,Verweise!$B$2:$B$4542,B507)=1,"Feiertag",IF(C507="Samstag","",IF(C507="Sonntag","",Übersicht!$C$8)))</f>
        <v>Feiertag</v>
      </c>
    </row>
    <row r="508" spans="1:4" x14ac:dyDescent="0.25">
      <c r="A508" t="s">
        <v>58</v>
      </c>
      <c r="B508" s="48">
        <v>42004</v>
      </c>
      <c r="C508" t="s">
        <v>43</v>
      </c>
      <c r="D508" t="str">
        <f>IF(COUNTIFS(Verweise!$A$2:$A$4542,Übersicht!$C$7,Verweise!$B$2:$B$4542,B508)=1,"Feiertag",IF(C508="Samstag","",IF(C508="Sonntag","",Übersicht!$C$8)))</f>
        <v>Feiertag</v>
      </c>
    </row>
    <row r="509" spans="1:4" x14ac:dyDescent="0.25">
      <c r="A509" t="s">
        <v>58</v>
      </c>
      <c r="B509" s="48">
        <v>42009</v>
      </c>
      <c r="C509" t="s">
        <v>44</v>
      </c>
      <c r="D509" t="str">
        <f>IF(COUNTIFS(Verweise!$A$2:$A$4542,Übersicht!$C$7,Verweise!$B$2:$B$4542,B509)=1,"Feiertag",IF(C509="Samstag","",IF(C509="Sonntag","",Übersicht!$C$8)))</f>
        <v>Büro</v>
      </c>
    </row>
    <row r="510" spans="1:4" x14ac:dyDescent="0.25">
      <c r="A510" t="s">
        <v>58</v>
      </c>
      <c r="B510" s="48">
        <v>42112</v>
      </c>
      <c r="C510" t="s">
        <v>45</v>
      </c>
      <c r="D510" t="str">
        <f>IF(COUNTIFS(Verweise!$A$2:$A$4542,Übersicht!$C$7,Verweise!$B$2:$B$4542,B510)=1,"Feiertag",IF(C510="Samstag","",IF(C510="Sonntag","",Übersicht!$C$8)))</f>
        <v>Feiertag</v>
      </c>
    </row>
    <row r="511" spans="1:4" x14ac:dyDescent="0.25">
      <c r="A511" t="s">
        <v>58</v>
      </c>
      <c r="B511" s="48">
        <v>42114</v>
      </c>
      <c r="C511" t="s">
        <v>46</v>
      </c>
      <c r="D511" t="str">
        <f>IF(COUNTIFS(Verweise!$A$2:$A$4542,Übersicht!$C$7,Verweise!$B$2:$B$4542,B511)=1,"Feiertag",IF(C511="Samstag","",IF(C511="Sonntag","",Übersicht!$C$8)))</f>
        <v>Feiertag</v>
      </c>
    </row>
    <row r="512" spans="1:4" x14ac:dyDescent="0.25">
      <c r="A512" t="s">
        <v>58</v>
      </c>
      <c r="B512" s="48">
        <v>42115</v>
      </c>
      <c r="C512" t="s">
        <v>47</v>
      </c>
      <c r="D512" t="str">
        <f>IF(COUNTIFS(Verweise!$A$2:$A$4542,Übersicht!$C$7,Verweise!$B$2:$B$4542,B512)=1,"Feiertag",IF(C512="Samstag","",IF(C512="Sonntag","",Übersicht!$C$8)))</f>
        <v>Feiertag</v>
      </c>
    </row>
    <row r="513" spans="1:4" x14ac:dyDescent="0.25">
      <c r="A513" t="s">
        <v>58</v>
      </c>
      <c r="B513" s="48">
        <v>42124</v>
      </c>
      <c r="C513" t="s">
        <v>48</v>
      </c>
      <c r="D513" t="str">
        <f>IF(COUNTIFS(Verweise!$A$2:$A$4542,Übersicht!$C$7,Verweise!$B$2:$B$4542,B513)=1,"Feiertag",IF(C513="Samstag","",IF(C513="Sonntag","",Übersicht!$C$8)))</f>
        <v>Feiertag</v>
      </c>
    </row>
    <row r="514" spans="1:4" x14ac:dyDescent="0.25">
      <c r="A514" t="s">
        <v>58</v>
      </c>
      <c r="B514" s="48">
        <v>42153</v>
      </c>
      <c r="C514" t="s">
        <v>49</v>
      </c>
      <c r="D514" t="str">
        <f>IF(COUNTIFS(Verweise!$A$2:$A$4542,Übersicht!$C$7,Verweise!$B$2:$B$4542,B514)=1,"Feiertag",IF(C514="Samstag","",IF(C514="Sonntag","",Übersicht!$C$8)))</f>
        <v>Feiertag</v>
      </c>
    </row>
    <row r="515" spans="1:4" x14ac:dyDescent="0.25">
      <c r="A515" t="s">
        <v>58</v>
      </c>
      <c r="B515" s="48">
        <v>42163</v>
      </c>
      <c r="C515" t="s">
        <v>50</v>
      </c>
      <c r="D515" t="str">
        <f>IF(COUNTIFS(Verweise!$A$2:$A$4542,Übersicht!$C$7,Verweise!$B$2:$B$4542,B515)=1,"Feiertag",IF(C515="Samstag","",IF(C515="Sonntag","",Übersicht!$C$8)))</f>
        <v>Feiertag</v>
      </c>
    </row>
    <row r="516" spans="1:4" x14ac:dyDescent="0.25">
      <c r="A516" t="s">
        <v>58</v>
      </c>
      <c r="B516" s="48">
        <v>42164</v>
      </c>
      <c r="C516" t="s">
        <v>51</v>
      </c>
      <c r="D516" t="str">
        <f>IF(COUNTIFS(Verweise!$A$2:$A$4542,Übersicht!$C$7,Verweise!$B$2:$B$4542,B516)=1,"Feiertag",IF(C516="Samstag","",IF(C516="Sonntag","",Übersicht!$C$8)))</f>
        <v>Feiertag</v>
      </c>
    </row>
    <row r="517" spans="1:4" x14ac:dyDescent="0.25">
      <c r="A517" t="s">
        <v>58</v>
      </c>
      <c r="B517" s="48">
        <v>42174</v>
      </c>
      <c r="C517" t="s">
        <v>52</v>
      </c>
      <c r="D517" t="str">
        <f>IF(COUNTIFS(Verweise!$A$2:$A$4542,Übersicht!$C$7,Verweise!$B$2:$B$4542,B517)=1,"Feiertag",IF(C517="Samstag","",IF(C517="Sonntag","",Übersicht!$C$8)))</f>
        <v>Feiertag</v>
      </c>
    </row>
    <row r="518" spans="1:4" x14ac:dyDescent="0.25">
      <c r="A518" t="s">
        <v>58</v>
      </c>
      <c r="B518" s="48">
        <v>42230</v>
      </c>
      <c r="C518" t="s">
        <v>59</v>
      </c>
      <c r="D518" t="str">
        <f>IF(COUNTIFS(Verweise!$A$2:$A$4542,Übersicht!$C$7,Verweise!$B$2:$B$4542,B518)=1,"Feiertag",IF(C518="Samstag","",IF(C518="Sonntag","",Übersicht!$C$8)))</f>
        <v>Büro</v>
      </c>
    </row>
    <row r="519" spans="1:4" x14ac:dyDescent="0.25">
      <c r="A519" t="s">
        <v>58</v>
      </c>
      <c r="B519" s="48">
        <v>42279</v>
      </c>
      <c r="C519" t="s">
        <v>53</v>
      </c>
      <c r="D519" t="str">
        <f>IF(COUNTIFS(Verweise!$A$2:$A$4542,Übersicht!$C$7,Verweise!$B$2:$B$4542,B519)=1,"Feiertag",IF(C519="Samstag","",IF(C519="Sonntag","",Übersicht!$C$8)))</f>
        <v>Feiertag</v>
      </c>
    </row>
    <row r="520" spans="1:4" x14ac:dyDescent="0.25">
      <c r="A520" t="s">
        <v>58</v>
      </c>
      <c r="B520" s="48">
        <v>42308</v>
      </c>
      <c r="C520" t="s">
        <v>54</v>
      </c>
      <c r="D520" t="str">
        <f>IF(COUNTIFS(Verweise!$A$2:$A$4542,Übersicht!$C$7,Verweise!$B$2:$B$4542,B520)=1,"Feiertag",IF(C520="Samstag","",IF(C520="Sonntag","",Übersicht!$C$8)))</f>
        <v>Feiertag</v>
      </c>
    </row>
    <row r="521" spans="1:4" x14ac:dyDescent="0.25">
      <c r="A521" t="s">
        <v>58</v>
      </c>
      <c r="B521" s="48">
        <v>42362</v>
      </c>
      <c r="C521" t="s">
        <v>55</v>
      </c>
      <c r="D521" t="str">
        <f>IF(COUNTIFS(Verweise!$A$2:$A$4542,Übersicht!$C$7,Verweise!$B$2:$B$4542,B521)=1,"Feiertag",IF(C521="Samstag","",IF(C521="Sonntag","",Übersicht!$C$8)))</f>
        <v>Feiertag</v>
      </c>
    </row>
    <row r="522" spans="1:4" x14ac:dyDescent="0.25">
      <c r="A522" t="s">
        <v>58</v>
      </c>
      <c r="B522" s="48">
        <v>42363</v>
      </c>
      <c r="C522" t="s">
        <v>56</v>
      </c>
      <c r="D522" t="str">
        <f>IF(COUNTIFS(Verweise!$A$2:$A$4542,Übersicht!$C$7,Verweise!$B$2:$B$4542,B522)=1,"Feiertag",IF(C522="Samstag","",IF(C522="Sonntag","",Übersicht!$C$8)))</f>
        <v>Feiertag</v>
      </c>
    </row>
    <row r="523" spans="1:4" x14ac:dyDescent="0.25">
      <c r="A523" t="s">
        <v>60</v>
      </c>
      <c r="B523" s="48">
        <v>42004</v>
      </c>
      <c r="C523" t="s">
        <v>43</v>
      </c>
      <c r="D523" t="str">
        <f>IF(COUNTIFS(Verweise!$A$2:$A$4542,Übersicht!$C$7,Verweise!$B$2:$B$4542,B523)=1,"Feiertag",IF(C523="Samstag","",IF(C523="Sonntag","",Übersicht!$C$8)))</f>
        <v>Feiertag</v>
      </c>
    </row>
    <row r="524" spans="1:4" x14ac:dyDescent="0.25">
      <c r="A524" t="s">
        <v>60</v>
      </c>
      <c r="B524" s="48">
        <v>42112</v>
      </c>
      <c r="C524" t="s">
        <v>45</v>
      </c>
      <c r="D524" t="str">
        <f>IF(COUNTIFS(Verweise!$A$2:$A$4542,Übersicht!$C$7,Verweise!$B$2:$B$4542,B524)=1,"Feiertag",IF(C524="Samstag","",IF(C524="Sonntag","",Übersicht!$C$8)))</f>
        <v>Feiertag</v>
      </c>
    </row>
    <row r="525" spans="1:4" x14ac:dyDescent="0.25">
      <c r="A525" t="s">
        <v>60</v>
      </c>
      <c r="B525" s="48">
        <v>42114</v>
      </c>
      <c r="C525" t="s">
        <v>46</v>
      </c>
      <c r="D525" t="str">
        <f>IF(COUNTIFS(Verweise!$A$2:$A$4542,Übersicht!$C$7,Verweise!$B$2:$B$4542,B525)=1,"Feiertag",IF(C525="Samstag","",IF(C525="Sonntag","",Übersicht!$C$8)))</f>
        <v>Feiertag</v>
      </c>
    </row>
    <row r="526" spans="1:4" x14ac:dyDescent="0.25">
      <c r="A526" t="s">
        <v>60</v>
      </c>
      <c r="B526" s="48">
        <v>42115</v>
      </c>
      <c r="C526" t="s">
        <v>47</v>
      </c>
      <c r="D526" t="str">
        <f>IF(COUNTIFS(Verweise!$A$2:$A$4542,Übersicht!$C$7,Verweise!$B$2:$B$4542,B526)=1,"Feiertag",IF(C526="Samstag","",IF(C526="Sonntag","",Übersicht!$C$8)))</f>
        <v>Feiertag</v>
      </c>
    </row>
    <row r="527" spans="1:4" x14ac:dyDescent="0.25">
      <c r="A527" t="s">
        <v>60</v>
      </c>
      <c r="B527" s="48">
        <v>42124</v>
      </c>
      <c r="C527" t="s">
        <v>48</v>
      </c>
      <c r="D527" t="str">
        <f>IF(COUNTIFS(Verweise!$A$2:$A$4542,Übersicht!$C$7,Verweise!$B$2:$B$4542,B527)=1,"Feiertag",IF(C527="Samstag","",IF(C527="Sonntag","",Übersicht!$C$8)))</f>
        <v>Feiertag</v>
      </c>
    </row>
    <row r="528" spans="1:4" x14ac:dyDescent="0.25">
      <c r="A528" t="s">
        <v>60</v>
      </c>
      <c r="B528" s="48">
        <v>42153</v>
      </c>
      <c r="C528" t="s">
        <v>49</v>
      </c>
      <c r="D528" t="str">
        <f>IF(COUNTIFS(Verweise!$A$2:$A$4542,Übersicht!$C$7,Verweise!$B$2:$B$4542,B528)=1,"Feiertag",IF(C528="Samstag","",IF(C528="Sonntag","",Übersicht!$C$8)))</f>
        <v>Feiertag</v>
      </c>
    </row>
    <row r="529" spans="1:4" x14ac:dyDescent="0.25">
      <c r="A529" t="s">
        <v>60</v>
      </c>
      <c r="B529" s="48">
        <v>42163</v>
      </c>
      <c r="C529" t="s">
        <v>50</v>
      </c>
      <c r="D529" t="str">
        <f>IF(COUNTIFS(Verweise!$A$2:$A$4542,Übersicht!$C$7,Verweise!$B$2:$B$4542,B529)=1,"Feiertag",IF(C529="Samstag","",IF(C529="Sonntag","",Übersicht!$C$8)))</f>
        <v>Feiertag</v>
      </c>
    </row>
    <row r="530" spans="1:4" x14ac:dyDescent="0.25">
      <c r="A530" t="s">
        <v>60</v>
      </c>
      <c r="B530" s="48">
        <v>42164</v>
      </c>
      <c r="C530" t="s">
        <v>51</v>
      </c>
      <c r="D530" t="str">
        <f>IF(COUNTIFS(Verweise!$A$2:$A$4542,Übersicht!$C$7,Verweise!$B$2:$B$4542,B530)=1,"Feiertag",IF(C530="Samstag","",IF(C530="Sonntag","",Übersicht!$C$8)))</f>
        <v>Feiertag</v>
      </c>
    </row>
    <row r="531" spans="1:4" x14ac:dyDescent="0.25">
      <c r="A531" t="s">
        <v>60</v>
      </c>
      <c r="B531" s="48">
        <v>42279</v>
      </c>
      <c r="C531" t="s">
        <v>53</v>
      </c>
      <c r="D531" t="str">
        <f>IF(COUNTIFS(Verweise!$A$2:$A$4542,Übersicht!$C$7,Verweise!$B$2:$B$4542,B531)=1,"Feiertag",IF(C531="Samstag","",IF(C531="Sonntag","",Übersicht!$C$8)))</f>
        <v>Feiertag</v>
      </c>
    </row>
    <row r="532" spans="1:4" x14ac:dyDescent="0.25">
      <c r="A532" t="s">
        <v>60</v>
      </c>
      <c r="B532" s="48">
        <v>42362</v>
      </c>
      <c r="C532" t="s">
        <v>55</v>
      </c>
      <c r="D532" t="str">
        <f>IF(COUNTIFS(Verweise!$A$2:$A$4542,Übersicht!$C$7,Verweise!$B$2:$B$4542,B532)=1,"Feiertag",IF(C532="Samstag","",IF(C532="Sonntag","",Übersicht!$C$8)))</f>
        <v>Feiertag</v>
      </c>
    </row>
    <row r="533" spans="1:4" x14ac:dyDescent="0.25">
      <c r="A533" t="s">
        <v>60</v>
      </c>
      <c r="B533" s="48">
        <v>42363</v>
      </c>
      <c r="C533" t="s">
        <v>56</v>
      </c>
      <c r="D533" t="str">
        <f>IF(COUNTIFS(Verweise!$A$2:$A$4542,Übersicht!$C$7,Verweise!$B$2:$B$4542,B533)=1,"Feiertag",IF(C533="Samstag","",IF(C533="Sonntag","",Übersicht!$C$8)))</f>
        <v>Feiertag</v>
      </c>
    </row>
    <row r="534" spans="1:4" x14ac:dyDescent="0.25">
      <c r="A534" t="s">
        <v>61</v>
      </c>
      <c r="B534" s="48">
        <v>42004</v>
      </c>
      <c r="C534" t="s">
        <v>43</v>
      </c>
      <c r="D534" t="str">
        <f>IF(COUNTIFS(Verweise!$A$2:$A$4542,Übersicht!$C$7,Verweise!$B$2:$B$4542,B534)=1,"Feiertag",IF(C534="Samstag","",IF(C534="Sonntag","",Übersicht!$C$8)))</f>
        <v>Feiertag</v>
      </c>
    </row>
    <row r="535" spans="1:4" x14ac:dyDescent="0.25">
      <c r="A535" t="s">
        <v>61</v>
      </c>
      <c r="B535" s="48">
        <v>42112</v>
      </c>
      <c r="C535" t="s">
        <v>45</v>
      </c>
      <c r="D535" t="str">
        <f>IF(COUNTIFS(Verweise!$A$2:$A$4542,Übersicht!$C$7,Verweise!$B$2:$B$4542,B535)=1,"Feiertag",IF(C535="Samstag","",IF(C535="Sonntag","",Übersicht!$C$8)))</f>
        <v>Feiertag</v>
      </c>
    </row>
    <row r="536" spans="1:4" x14ac:dyDescent="0.25">
      <c r="A536" t="s">
        <v>61</v>
      </c>
      <c r="B536" s="48">
        <v>42114</v>
      </c>
      <c r="C536" t="s">
        <v>46</v>
      </c>
      <c r="D536" t="str">
        <f>IF(COUNTIFS(Verweise!$A$2:$A$4542,Übersicht!$C$7,Verweise!$B$2:$B$4542,B536)=1,"Feiertag",IF(C536="Samstag","",IF(C536="Sonntag","",Übersicht!$C$8)))</f>
        <v>Feiertag</v>
      </c>
    </row>
    <row r="537" spans="1:4" x14ac:dyDescent="0.25">
      <c r="A537" t="s">
        <v>61</v>
      </c>
      <c r="B537" s="48">
        <v>42115</v>
      </c>
      <c r="C537" t="s">
        <v>47</v>
      </c>
      <c r="D537" t="str">
        <f>IF(COUNTIFS(Verweise!$A$2:$A$4542,Übersicht!$C$7,Verweise!$B$2:$B$4542,B537)=1,"Feiertag",IF(C537="Samstag","",IF(C537="Sonntag","",Übersicht!$C$8)))</f>
        <v>Feiertag</v>
      </c>
    </row>
    <row r="538" spans="1:4" x14ac:dyDescent="0.25">
      <c r="A538" t="s">
        <v>61</v>
      </c>
      <c r="B538" s="48">
        <v>42124</v>
      </c>
      <c r="C538" t="s">
        <v>48</v>
      </c>
      <c r="D538" t="str">
        <f>IF(COUNTIFS(Verweise!$A$2:$A$4542,Übersicht!$C$7,Verweise!$B$2:$B$4542,B538)=1,"Feiertag",IF(C538="Samstag","",IF(C538="Sonntag","",Übersicht!$C$8)))</f>
        <v>Feiertag</v>
      </c>
    </row>
    <row r="539" spans="1:4" x14ac:dyDescent="0.25">
      <c r="A539" t="s">
        <v>61</v>
      </c>
      <c r="B539" s="48">
        <v>42153</v>
      </c>
      <c r="C539" t="s">
        <v>49</v>
      </c>
      <c r="D539" t="str">
        <f>IF(COUNTIFS(Verweise!$A$2:$A$4542,Übersicht!$C$7,Verweise!$B$2:$B$4542,B539)=1,"Feiertag",IF(C539="Samstag","",IF(C539="Sonntag","",Übersicht!$C$8)))</f>
        <v>Feiertag</v>
      </c>
    </row>
    <row r="540" spans="1:4" x14ac:dyDescent="0.25">
      <c r="A540" t="s">
        <v>61</v>
      </c>
      <c r="B540" s="48">
        <v>42163</v>
      </c>
      <c r="C540" t="s">
        <v>50</v>
      </c>
      <c r="D540" t="str">
        <f>IF(COUNTIFS(Verweise!$A$2:$A$4542,Übersicht!$C$7,Verweise!$B$2:$B$4542,B540)=1,"Feiertag",IF(C540="Samstag","",IF(C540="Sonntag","",Übersicht!$C$8)))</f>
        <v>Feiertag</v>
      </c>
    </row>
    <row r="541" spans="1:4" x14ac:dyDescent="0.25">
      <c r="A541" t="s">
        <v>61</v>
      </c>
      <c r="B541" s="48">
        <v>42164</v>
      </c>
      <c r="C541" t="s">
        <v>51</v>
      </c>
      <c r="D541" t="str">
        <f>IF(COUNTIFS(Verweise!$A$2:$A$4542,Übersicht!$C$7,Verweise!$B$2:$B$4542,B541)=1,"Feiertag",IF(C541="Samstag","",IF(C541="Sonntag","",Übersicht!$C$8)))</f>
        <v>Feiertag</v>
      </c>
    </row>
    <row r="542" spans="1:4" x14ac:dyDescent="0.25">
      <c r="A542" t="s">
        <v>61</v>
      </c>
      <c r="B542" s="48">
        <v>42279</v>
      </c>
      <c r="C542" t="s">
        <v>53</v>
      </c>
      <c r="D542" t="str">
        <f>IF(COUNTIFS(Verweise!$A$2:$A$4542,Übersicht!$C$7,Verweise!$B$2:$B$4542,B542)=1,"Feiertag",IF(C542="Samstag","",IF(C542="Sonntag","",Übersicht!$C$8)))</f>
        <v>Feiertag</v>
      </c>
    </row>
    <row r="543" spans="1:4" x14ac:dyDescent="0.25">
      <c r="A543" t="s">
        <v>61</v>
      </c>
      <c r="B543" s="48">
        <v>42307</v>
      </c>
      <c r="C543" t="s">
        <v>62</v>
      </c>
      <c r="D543" t="str">
        <f>IF(COUNTIFS(Verweise!$A$2:$A$4542,Übersicht!$C$7,Verweise!$B$2:$B$4542,B543)=1,"Feiertag",IF(C543="Samstag","",IF(C543="Sonntag","",Übersicht!$C$8)))</f>
        <v>Büro</v>
      </c>
    </row>
    <row r="544" spans="1:4" x14ac:dyDescent="0.25">
      <c r="A544" t="s">
        <v>61</v>
      </c>
      <c r="B544" s="48">
        <v>42362</v>
      </c>
      <c r="C544" t="s">
        <v>55</v>
      </c>
      <c r="D544" t="str">
        <f>IF(COUNTIFS(Verweise!$A$2:$A$4542,Übersicht!$C$7,Verweise!$B$2:$B$4542,B544)=1,"Feiertag",IF(C544="Samstag","",IF(C544="Sonntag","",Übersicht!$C$8)))</f>
        <v>Feiertag</v>
      </c>
    </row>
    <row r="545" spans="1:4" x14ac:dyDescent="0.25">
      <c r="A545" t="s">
        <v>61</v>
      </c>
      <c r="B545" s="48">
        <v>42363</v>
      </c>
      <c r="C545" t="s">
        <v>56</v>
      </c>
      <c r="D545" t="str">
        <f>IF(COUNTIFS(Verweise!$A$2:$A$4542,Übersicht!$C$7,Verweise!$B$2:$B$4542,B545)=1,"Feiertag",IF(C545="Samstag","",IF(C545="Sonntag","",Übersicht!$C$8)))</f>
        <v>Feiertag</v>
      </c>
    </row>
    <row r="546" spans="1:4" x14ac:dyDescent="0.25">
      <c r="A546" t="s">
        <v>63</v>
      </c>
      <c r="B546" s="48">
        <v>42004</v>
      </c>
      <c r="C546" t="s">
        <v>43</v>
      </c>
      <c r="D546" t="str">
        <f>IF(COUNTIFS(Verweise!$A$2:$A$4542,Übersicht!$C$7,Verweise!$B$2:$B$4542,B546)=1,"Feiertag",IF(C546="Samstag","",IF(C546="Sonntag","",Übersicht!$C$8)))</f>
        <v>Feiertag</v>
      </c>
    </row>
    <row r="547" spans="1:4" x14ac:dyDescent="0.25">
      <c r="A547" t="s">
        <v>63</v>
      </c>
      <c r="B547" s="48">
        <v>42112</v>
      </c>
      <c r="C547" t="s">
        <v>45</v>
      </c>
      <c r="D547" t="str">
        <f>IF(COUNTIFS(Verweise!$A$2:$A$4542,Übersicht!$C$7,Verweise!$B$2:$B$4542,B547)=1,"Feiertag",IF(C547="Samstag","",IF(C547="Sonntag","",Übersicht!$C$8)))</f>
        <v>Feiertag</v>
      </c>
    </row>
    <row r="548" spans="1:4" x14ac:dyDescent="0.25">
      <c r="A548" t="s">
        <v>63</v>
      </c>
      <c r="B548" s="48">
        <v>42114</v>
      </c>
      <c r="C548" t="s">
        <v>46</v>
      </c>
      <c r="D548" t="str">
        <f>IF(COUNTIFS(Verweise!$A$2:$A$4542,Übersicht!$C$7,Verweise!$B$2:$B$4542,B548)=1,"Feiertag",IF(C548="Samstag","",IF(C548="Sonntag","",Übersicht!$C$8)))</f>
        <v>Feiertag</v>
      </c>
    </row>
    <row r="549" spans="1:4" x14ac:dyDescent="0.25">
      <c r="A549" t="s">
        <v>63</v>
      </c>
      <c r="B549" s="48">
        <v>42115</v>
      </c>
      <c r="C549" t="s">
        <v>47</v>
      </c>
      <c r="D549" t="str">
        <f>IF(COUNTIFS(Verweise!$A$2:$A$4542,Übersicht!$C$7,Verweise!$B$2:$B$4542,B549)=1,"Feiertag",IF(C549="Samstag","",IF(C549="Sonntag","",Übersicht!$C$8)))</f>
        <v>Feiertag</v>
      </c>
    </row>
    <row r="550" spans="1:4" x14ac:dyDescent="0.25">
      <c r="A550" t="s">
        <v>63</v>
      </c>
      <c r="B550" s="48">
        <v>42124</v>
      </c>
      <c r="C550" t="s">
        <v>48</v>
      </c>
      <c r="D550" t="str">
        <f>IF(COUNTIFS(Verweise!$A$2:$A$4542,Übersicht!$C$7,Verweise!$B$2:$B$4542,B550)=1,"Feiertag",IF(C550="Samstag","",IF(C550="Sonntag","",Übersicht!$C$8)))</f>
        <v>Feiertag</v>
      </c>
    </row>
    <row r="551" spans="1:4" x14ac:dyDescent="0.25">
      <c r="A551" t="s">
        <v>63</v>
      </c>
      <c r="B551" s="48">
        <v>42153</v>
      </c>
      <c r="C551" t="s">
        <v>49</v>
      </c>
      <c r="D551" t="str">
        <f>IF(COUNTIFS(Verweise!$A$2:$A$4542,Übersicht!$C$7,Verweise!$B$2:$B$4542,B551)=1,"Feiertag",IF(C551="Samstag","",IF(C551="Sonntag","",Übersicht!$C$8)))</f>
        <v>Feiertag</v>
      </c>
    </row>
    <row r="552" spans="1:4" x14ac:dyDescent="0.25">
      <c r="A552" t="s">
        <v>63</v>
      </c>
      <c r="B552" s="48">
        <v>42163</v>
      </c>
      <c r="C552" t="s">
        <v>50</v>
      </c>
      <c r="D552" t="str">
        <f>IF(COUNTIFS(Verweise!$A$2:$A$4542,Übersicht!$C$7,Verweise!$B$2:$B$4542,B552)=1,"Feiertag",IF(C552="Samstag","",IF(C552="Sonntag","",Übersicht!$C$8)))</f>
        <v>Feiertag</v>
      </c>
    </row>
    <row r="553" spans="1:4" x14ac:dyDescent="0.25">
      <c r="A553" t="s">
        <v>63</v>
      </c>
      <c r="B553" s="48">
        <v>42164</v>
      </c>
      <c r="C553" t="s">
        <v>51</v>
      </c>
      <c r="D553" t="str">
        <f>IF(COUNTIFS(Verweise!$A$2:$A$4542,Übersicht!$C$7,Verweise!$B$2:$B$4542,B553)=1,"Feiertag",IF(C553="Samstag","",IF(C553="Sonntag","",Übersicht!$C$8)))</f>
        <v>Feiertag</v>
      </c>
    </row>
    <row r="554" spans="1:4" x14ac:dyDescent="0.25">
      <c r="A554" t="s">
        <v>63</v>
      </c>
      <c r="B554" s="48">
        <v>42279</v>
      </c>
      <c r="C554" t="s">
        <v>53</v>
      </c>
      <c r="D554" t="str">
        <f>IF(COUNTIFS(Verweise!$A$2:$A$4542,Übersicht!$C$7,Verweise!$B$2:$B$4542,B554)=1,"Feiertag",IF(C554="Samstag","",IF(C554="Sonntag","",Übersicht!$C$8)))</f>
        <v>Feiertag</v>
      </c>
    </row>
    <row r="555" spans="1:4" x14ac:dyDescent="0.25">
      <c r="A555" t="s">
        <v>63</v>
      </c>
      <c r="B555" s="48">
        <v>42362</v>
      </c>
      <c r="C555" t="s">
        <v>55</v>
      </c>
      <c r="D555" t="str">
        <f>IF(COUNTIFS(Verweise!$A$2:$A$4542,Übersicht!$C$7,Verweise!$B$2:$B$4542,B555)=1,"Feiertag",IF(C555="Samstag","",IF(C555="Sonntag","",Übersicht!$C$8)))</f>
        <v>Feiertag</v>
      </c>
    </row>
    <row r="556" spans="1:4" x14ac:dyDescent="0.25">
      <c r="A556" t="s">
        <v>63</v>
      </c>
      <c r="B556" s="48">
        <v>42363</v>
      </c>
      <c r="C556" t="s">
        <v>56</v>
      </c>
      <c r="D556" t="str">
        <f>IF(COUNTIFS(Verweise!$A$2:$A$4542,Übersicht!$C$7,Verweise!$B$2:$B$4542,B556)=1,"Feiertag",IF(C556="Samstag","",IF(C556="Sonntag","",Übersicht!$C$8)))</f>
        <v>Feiertag</v>
      </c>
    </row>
    <row r="557" spans="1:4" x14ac:dyDescent="0.25">
      <c r="A557" t="s">
        <v>64</v>
      </c>
      <c r="B557" s="48">
        <v>42004</v>
      </c>
      <c r="C557" t="s">
        <v>43</v>
      </c>
      <c r="D557" t="str">
        <f>IF(COUNTIFS(Verweise!$A$2:$A$4542,Übersicht!$C$7,Verweise!$B$2:$B$4542,B557)=1,"Feiertag",IF(C557="Samstag","",IF(C557="Sonntag","",Übersicht!$C$8)))</f>
        <v>Feiertag</v>
      </c>
    </row>
    <row r="558" spans="1:4" x14ac:dyDescent="0.25">
      <c r="A558" t="s">
        <v>64</v>
      </c>
      <c r="B558" s="48">
        <v>42112</v>
      </c>
      <c r="C558" t="s">
        <v>45</v>
      </c>
      <c r="D558" t="str">
        <f>IF(COUNTIFS(Verweise!$A$2:$A$4542,Übersicht!$C$7,Verweise!$B$2:$B$4542,B558)=1,"Feiertag",IF(C558="Samstag","",IF(C558="Sonntag","",Übersicht!$C$8)))</f>
        <v>Feiertag</v>
      </c>
    </row>
    <row r="559" spans="1:4" x14ac:dyDescent="0.25">
      <c r="A559" t="s">
        <v>64</v>
      </c>
      <c r="B559" s="48">
        <v>42114</v>
      </c>
      <c r="C559" t="s">
        <v>46</v>
      </c>
      <c r="D559" t="str">
        <f>IF(COUNTIFS(Verweise!$A$2:$A$4542,Übersicht!$C$7,Verweise!$B$2:$B$4542,B559)=1,"Feiertag",IF(C559="Samstag","",IF(C559="Sonntag","",Übersicht!$C$8)))</f>
        <v>Feiertag</v>
      </c>
    </row>
    <row r="560" spans="1:4" x14ac:dyDescent="0.25">
      <c r="A560" t="s">
        <v>64</v>
      </c>
      <c r="B560" s="48">
        <v>42115</v>
      </c>
      <c r="C560" t="s">
        <v>47</v>
      </c>
      <c r="D560" t="str">
        <f>IF(COUNTIFS(Verweise!$A$2:$A$4542,Übersicht!$C$7,Verweise!$B$2:$B$4542,B560)=1,"Feiertag",IF(C560="Samstag","",IF(C560="Sonntag","",Übersicht!$C$8)))</f>
        <v>Feiertag</v>
      </c>
    </row>
    <row r="561" spans="1:4" x14ac:dyDescent="0.25">
      <c r="A561" t="s">
        <v>64</v>
      </c>
      <c r="B561" s="48">
        <v>42124</v>
      </c>
      <c r="C561" t="s">
        <v>48</v>
      </c>
      <c r="D561" t="str">
        <f>IF(COUNTIFS(Verweise!$A$2:$A$4542,Übersicht!$C$7,Verweise!$B$2:$B$4542,B561)=1,"Feiertag",IF(C561="Samstag","",IF(C561="Sonntag","",Übersicht!$C$8)))</f>
        <v>Feiertag</v>
      </c>
    </row>
    <row r="562" spans="1:4" x14ac:dyDescent="0.25">
      <c r="A562" t="s">
        <v>64</v>
      </c>
      <c r="B562" s="48">
        <v>42153</v>
      </c>
      <c r="C562" t="s">
        <v>49</v>
      </c>
      <c r="D562" t="str">
        <f>IF(COUNTIFS(Verweise!$A$2:$A$4542,Übersicht!$C$7,Verweise!$B$2:$B$4542,B562)=1,"Feiertag",IF(C562="Samstag","",IF(C562="Sonntag","",Übersicht!$C$8)))</f>
        <v>Feiertag</v>
      </c>
    </row>
    <row r="563" spans="1:4" x14ac:dyDescent="0.25">
      <c r="A563" t="s">
        <v>64</v>
      </c>
      <c r="B563" s="48">
        <v>42163</v>
      </c>
      <c r="C563" t="s">
        <v>50</v>
      </c>
      <c r="D563" t="str">
        <f>IF(COUNTIFS(Verweise!$A$2:$A$4542,Übersicht!$C$7,Verweise!$B$2:$B$4542,B563)=1,"Feiertag",IF(C563="Samstag","",IF(C563="Sonntag","",Übersicht!$C$8)))</f>
        <v>Feiertag</v>
      </c>
    </row>
    <row r="564" spans="1:4" x14ac:dyDescent="0.25">
      <c r="A564" t="s">
        <v>64</v>
      </c>
      <c r="B564" s="48">
        <v>42164</v>
      </c>
      <c r="C564" t="s">
        <v>51</v>
      </c>
      <c r="D564" t="str">
        <f>IF(COUNTIFS(Verweise!$A$2:$A$4542,Übersicht!$C$7,Verweise!$B$2:$B$4542,B564)=1,"Feiertag",IF(C564="Samstag","",IF(C564="Sonntag","",Übersicht!$C$8)))</f>
        <v>Feiertag</v>
      </c>
    </row>
    <row r="565" spans="1:4" x14ac:dyDescent="0.25">
      <c r="A565" t="s">
        <v>64</v>
      </c>
      <c r="B565" s="48">
        <v>42279</v>
      </c>
      <c r="C565" t="s">
        <v>53</v>
      </c>
      <c r="D565" t="str">
        <f>IF(COUNTIFS(Verweise!$A$2:$A$4542,Übersicht!$C$7,Verweise!$B$2:$B$4542,B565)=1,"Feiertag",IF(C565="Samstag","",IF(C565="Sonntag","",Übersicht!$C$8)))</f>
        <v>Feiertag</v>
      </c>
    </row>
    <row r="566" spans="1:4" x14ac:dyDescent="0.25">
      <c r="A566" t="s">
        <v>64</v>
      </c>
      <c r="B566" s="48">
        <v>42362</v>
      </c>
      <c r="C566" t="s">
        <v>55</v>
      </c>
      <c r="D566" t="str">
        <f>IF(COUNTIFS(Verweise!$A$2:$A$4542,Übersicht!$C$7,Verweise!$B$2:$B$4542,B566)=1,"Feiertag",IF(C566="Samstag","",IF(C566="Sonntag","",Übersicht!$C$8)))</f>
        <v>Feiertag</v>
      </c>
    </row>
    <row r="567" spans="1:4" x14ac:dyDescent="0.25">
      <c r="A567" t="s">
        <v>64</v>
      </c>
      <c r="B567" s="48">
        <v>42363</v>
      </c>
      <c r="C567" t="s">
        <v>56</v>
      </c>
      <c r="D567" t="str">
        <f>IF(COUNTIFS(Verweise!$A$2:$A$4542,Übersicht!$C$7,Verweise!$B$2:$B$4542,B567)=1,"Feiertag",IF(C567="Samstag","",IF(C567="Sonntag","",Übersicht!$C$8)))</f>
        <v>Feiertag</v>
      </c>
    </row>
    <row r="568" spans="1:4" x14ac:dyDescent="0.25">
      <c r="A568" t="s">
        <v>65</v>
      </c>
      <c r="B568" s="48">
        <v>42004</v>
      </c>
      <c r="C568" t="s">
        <v>43</v>
      </c>
      <c r="D568" t="str">
        <f>IF(COUNTIFS(Verweise!$A$2:$A$4542,Übersicht!$C$7,Verweise!$B$2:$B$4542,B568)=1,"Feiertag",IF(C568="Samstag","",IF(C568="Sonntag","",Übersicht!$C$8)))</f>
        <v>Feiertag</v>
      </c>
    </row>
    <row r="569" spans="1:4" x14ac:dyDescent="0.25">
      <c r="A569" t="s">
        <v>65</v>
      </c>
      <c r="B569" s="48">
        <v>42112</v>
      </c>
      <c r="C569" t="s">
        <v>45</v>
      </c>
      <c r="D569" t="str">
        <f>IF(COUNTIFS(Verweise!$A$2:$A$4542,Übersicht!$C$7,Verweise!$B$2:$B$4542,B569)=1,"Feiertag",IF(C569="Samstag","",IF(C569="Sonntag","",Übersicht!$C$8)))</f>
        <v>Feiertag</v>
      </c>
    </row>
    <row r="570" spans="1:4" x14ac:dyDescent="0.25">
      <c r="A570" t="s">
        <v>65</v>
      </c>
      <c r="B570" s="48">
        <v>42114</v>
      </c>
      <c r="C570" t="s">
        <v>46</v>
      </c>
      <c r="D570" t="str">
        <f>IF(COUNTIFS(Verweise!$A$2:$A$4542,Übersicht!$C$7,Verweise!$B$2:$B$4542,B570)=1,"Feiertag",IF(C570="Samstag","",IF(C570="Sonntag","",Übersicht!$C$8)))</f>
        <v>Feiertag</v>
      </c>
    </row>
    <row r="571" spans="1:4" x14ac:dyDescent="0.25">
      <c r="A571" t="s">
        <v>65</v>
      </c>
      <c r="B571" s="48">
        <v>42115</v>
      </c>
      <c r="C571" t="s">
        <v>47</v>
      </c>
      <c r="D571" t="str">
        <f>IF(COUNTIFS(Verweise!$A$2:$A$4542,Übersicht!$C$7,Verweise!$B$2:$B$4542,B571)=1,"Feiertag",IF(C571="Samstag","",IF(C571="Sonntag","",Übersicht!$C$8)))</f>
        <v>Feiertag</v>
      </c>
    </row>
    <row r="572" spans="1:4" x14ac:dyDescent="0.25">
      <c r="A572" t="s">
        <v>65</v>
      </c>
      <c r="B572" s="48">
        <v>42124</v>
      </c>
      <c r="C572" t="s">
        <v>48</v>
      </c>
      <c r="D572" t="str">
        <f>IF(COUNTIFS(Verweise!$A$2:$A$4542,Übersicht!$C$7,Verweise!$B$2:$B$4542,B572)=1,"Feiertag",IF(C572="Samstag","",IF(C572="Sonntag","",Übersicht!$C$8)))</f>
        <v>Feiertag</v>
      </c>
    </row>
    <row r="573" spans="1:4" x14ac:dyDescent="0.25">
      <c r="A573" t="s">
        <v>65</v>
      </c>
      <c r="B573" s="48">
        <v>42153</v>
      </c>
      <c r="C573" t="s">
        <v>49</v>
      </c>
      <c r="D573" t="str">
        <f>IF(COUNTIFS(Verweise!$A$2:$A$4542,Übersicht!$C$7,Verweise!$B$2:$B$4542,B573)=1,"Feiertag",IF(C573="Samstag","",IF(C573="Sonntag","",Übersicht!$C$8)))</f>
        <v>Feiertag</v>
      </c>
    </row>
    <row r="574" spans="1:4" x14ac:dyDescent="0.25">
      <c r="A574" t="s">
        <v>65</v>
      </c>
      <c r="B574" s="48">
        <v>42163</v>
      </c>
      <c r="C574" t="s">
        <v>50</v>
      </c>
      <c r="D574" t="str">
        <f>IF(COUNTIFS(Verweise!$A$2:$A$4542,Übersicht!$C$7,Verweise!$B$2:$B$4542,B574)=1,"Feiertag",IF(C574="Samstag","",IF(C574="Sonntag","",Übersicht!$C$8)))</f>
        <v>Feiertag</v>
      </c>
    </row>
    <row r="575" spans="1:4" x14ac:dyDescent="0.25">
      <c r="A575" t="s">
        <v>65</v>
      </c>
      <c r="B575" s="48">
        <v>42164</v>
      </c>
      <c r="C575" t="s">
        <v>51</v>
      </c>
      <c r="D575" t="str">
        <f>IF(COUNTIFS(Verweise!$A$2:$A$4542,Übersicht!$C$7,Verweise!$B$2:$B$4542,B575)=1,"Feiertag",IF(C575="Samstag","",IF(C575="Sonntag","",Übersicht!$C$8)))</f>
        <v>Feiertag</v>
      </c>
    </row>
    <row r="576" spans="1:4" x14ac:dyDescent="0.25">
      <c r="A576" t="s">
        <v>65</v>
      </c>
      <c r="B576" s="48">
        <v>42174</v>
      </c>
      <c r="C576" t="s">
        <v>52</v>
      </c>
      <c r="D576" t="str">
        <f>IF(COUNTIFS(Verweise!$A$2:$A$4542,Übersicht!$C$7,Verweise!$B$2:$B$4542,B576)=1,"Feiertag",IF(C576="Samstag","",IF(C576="Sonntag","",Übersicht!$C$8)))</f>
        <v>Feiertag</v>
      </c>
    </row>
    <row r="577" spans="1:4" x14ac:dyDescent="0.25">
      <c r="A577" t="s">
        <v>65</v>
      </c>
      <c r="B577" s="48">
        <v>42279</v>
      </c>
      <c r="C577" t="s">
        <v>53</v>
      </c>
      <c r="D577" t="str">
        <f>IF(COUNTIFS(Verweise!$A$2:$A$4542,Übersicht!$C$7,Verweise!$B$2:$B$4542,B577)=1,"Feiertag",IF(C577="Samstag","",IF(C577="Sonntag","",Übersicht!$C$8)))</f>
        <v>Feiertag</v>
      </c>
    </row>
    <row r="578" spans="1:4" x14ac:dyDescent="0.25">
      <c r="A578" t="s">
        <v>65</v>
      </c>
      <c r="B578" s="48">
        <v>42362</v>
      </c>
      <c r="C578" t="s">
        <v>55</v>
      </c>
      <c r="D578" t="str">
        <f>IF(COUNTIFS(Verweise!$A$2:$A$4542,Übersicht!$C$7,Verweise!$B$2:$B$4542,B578)=1,"Feiertag",IF(C578="Samstag","",IF(C578="Sonntag","",Übersicht!$C$8)))</f>
        <v>Feiertag</v>
      </c>
    </row>
    <row r="579" spans="1:4" x14ac:dyDescent="0.25">
      <c r="A579" t="s">
        <v>65</v>
      </c>
      <c r="B579" s="48">
        <v>42363</v>
      </c>
      <c r="C579" t="s">
        <v>56</v>
      </c>
      <c r="D579" t="str">
        <f>IF(COUNTIFS(Verweise!$A$2:$A$4542,Übersicht!$C$7,Verweise!$B$2:$B$4542,B579)=1,"Feiertag",IF(C579="Samstag","",IF(C579="Sonntag","",Übersicht!$C$8)))</f>
        <v>Feiertag</v>
      </c>
    </row>
    <row r="580" spans="1:4" x14ac:dyDescent="0.25">
      <c r="A580" t="s">
        <v>66</v>
      </c>
      <c r="B580" s="48">
        <v>42004</v>
      </c>
      <c r="C580" t="s">
        <v>43</v>
      </c>
      <c r="D580" t="str">
        <f>IF(COUNTIFS(Verweise!$A$2:$A$4542,Übersicht!$C$7,Verweise!$B$2:$B$4542,B580)=1,"Feiertag",IF(C580="Samstag","",IF(C580="Sonntag","",Übersicht!$C$8)))</f>
        <v>Feiertag</v>
      </c>
    </row>
    <row r="581" spans="1:4" x14ac:dyDescent="0.25">
      <c r="A581" t="s">
        <v>66</v>
      </c>
      <c r="B581" s="48">
        <v>42112</v>
      </c>
      <c r="C581" t="s">
        <v>45</v>
      </c>
      <c r="D581" t="str">
        <f>IF(COUNTIFS(Verweise!$A$2:$A$4542,Übersicht!$C$7,Verweise!$B$2:$B$4542,B581)=1,"Feiertag",IF(C581="Samstag","",IF(C581="Sonntag","",Übersicht!$C$8)))</f>
        <v>Feiertag</v>
      </c>
    </row>
    <row r="582" spans="1:4" x14ac:dyDescent="0.25">
      <c r="A582" t="s">
        <v>66</v>
      </c>
      <c r="B582" s="48">
        <v>42114</v>
      </c>
      <c r="C582" t="s">
        <v>46</v>
      </c>
      <c r="D582" t="str">
        <f>IF(COUNTIFS(Verweise!$A$2:$A$4542,Übersicht!$C$7,Verweise!$B$2:$B$4542,B582)=1,"Feiertag",IF(C582="Samstag","",IF(C582="Sonntag","",Übersicht!$C$8)))</f>
        <v>Feiertag</v>
      </c>
    </row>
    <row r="583" spans="1:4" x14ac:dyDescent="0.25">
      <c r="A583" t="s">
        <v>66</v>
      </c>
      <c r="B583" s="48">
        <v>42115</v>
      </c>
      <c r="C583" t="s">
        <v>47</v>
      </c>
      <c r="D583" t="str">
        <f>IF(COUNTIFS(Verweise!$A$2:$A$4542,Übersicht!$C$7,Verweise!$B$2:$B$4542,B583)=1,"Feiertag",IF(C583="Samstag","",IF(C583="Sonntag","",Übersicht!$C$8)))</f>
        <v>Feiertag</v>
      </c>
    </row>
    <row r="584" spans="1:4" x14ac:dyDescent="0.25">
      <c r="A584" t="s">
        <v>66</v>
      </c>
      <c r="B584" s="48">
        <v>42124</v>
      </c>
      <c r="C584" t="s">
        <v>48</v>
      </c>
      <c r="D584" t="str">
        <f>IF(COUNTIFS(Verweise!$A$2:$A$4542,Übersicht!$C$7,Verweise!$B$2:$B$4542,B584)=1,"Feiertag",IF(C584="Samstag","",IF(C584="Sonntag","",Übersicht!$C$8)))</f>
        <v>Feiertag</v>
      </c>
    </row>
    <row r="585" spans="1:4" x14ac:dyDescent="0.25">
      <c r="A585" t="s">
        <v>66</v>
      </c>
      <c r="B585" s="48">
        <v>42153</v>
      </c>
      <c r="C585" t="s">
        <v>49</v>
      </c>
      <c r="D585" t="str">
        <f>IF(COUNTIFS(Verweise!$A$2:$A$4542,Übersicht!$C$7,Verweise!$B$2:$B$4542,B585)=1,"Feiertag",IF(C585="Samstag","",IF(C585="Sonntag","",Übersicht!$C$8)))</f>
        <v>Feiertag</v>
      </c>
    </row>
    <row r="586" spans="1:4" x14ac:dyDescent="0.25">
      <c r="A586" t="s">
        <v>66</v>
      </c>
      <c r="B586" s="48">
        <v>42163</v>
      </c>
      <c r="C586" t="s">
        <v>50</v>
      </c>
      <c r="D586" t="str">
        <f>IF(COUNTIFS(Verweise!$A$2:$A$4542,Übersicht!$C$7,Verweise!$B$2:$B$4542,B586)=1,"Feiertag",IF(C586="Samstag","",IF(C586="Sonntag","",Übersicht!$C$8)))</f>
        <v>Feiertag</v>
      </c>
    </row>
    <row r="587" spans="1:4" x14ac:dyDescent="0.25">
      <c r="A587" t="s">
        <v>66</v>
      </c>
      <c r="B587" s="48">
        <v>42164</v>
      </c>
      <c r="C587" t="s">
        <v>51</v>
      </c>
      <c r="D587" t="str">
        <f>IF(COUNTIFS(Verweise!$A$2:$A$4542,Übersicht!$C$7,Verweise!$B$2:$B$4542,B587)=1,"Feiertag",IF(C587="Samstag","",IF(C587="Sonntag","",Übersicht!$C$8)))</f>
        <v>Feiertag</v>
      </c>
    </row>
    <row r="588" spans="1:4" x14ac:dyDescent="0.25">
      <c r="A588" t="s">
        <v>66</v>
      </c>
      <c r="B588" s="48">
        <v>42279</v>
      </c>
      <c r="C588" t="s">
        <v>53</v>
      </c>
      <c r="D588" t="str">
        <f>IF(COUNTIFS(Verweise!$A$2:$A$4542,Übersicht!$C$7,Verweise!$B$2:$B$4542,B588)=1,"Feiertag",IF(C588="Samstag","",IF(C588="Sonntag","",Übersicht!$C$8)))</f>
        <v>Feiertag</v>
      </c>
    </row>
    <row r="589" spans="1:4" x14ac:dyDescent="0.25">
      <c r="A589" t="s">
        <v>66</v>
      </c>
      <c r="B589" s="48">
        <v>42307</v>
      </c>
      <c r="C589" t="s">
        <v>62</v>
      </c>
      <c r="D589" t="str">
        <f>IF(COUNTIFS(Verweise!$A$2:$A$4542,Übersicht!$C$7,Verweise!$B$2:$B$4542,B589)=1,"Feiertag",IF(C589="Samstag","",IF(C589="Sonntag","",Übersicht!$C$8)))</f>
        <v>Büro</v>
      </c>
    </row>
    <row r="590" spans="1:4" x14ac:dyDescent="0.25">
      <c r="A590" t="s">
        <v>66</v>
      </c>
      <c r="B590" s="48">
        <v>42362</v>
      </c>
      <c r="C590" t="s">
        <v>55</v>
      </c>
      <c r="D590" t="str">
        <f>IF(COUNTIFS(Verweise!$A$2:$A$4542,Übersicht!$C$7,Verweise!$B$2:$B$4542,B590)=1,"Feiertag",IF(C590="Samstag","",IF(C590="Sonntag","",Übersicht!$C$8)))</f>
        <v>Feiertag</v>
      </c>
    </row>
    <row r="591" spans="1:4" x14ac:dyDescent="0.25">
      <c r="A591" t="s">
        <v>66</v>
      </c>
      <c r="B591" s="48">
        <v>42363</v>
      </c>
      <c r="C591" t="s">
        <v>56</v>
      </c>
      <c r="D591" t="str">
        <f>IF(COUNTIFS(Verweise!$A$2:$A$4542,Übersicht!$C$7,Verweise!$B$2:$B$4542,B591)=1,"Feiertag",IF(C591="Samstag","",IF(C591="Sonntag","",Übersicht!$C$8)))</f>
        <v>Feiertag</v>
      </c>
    </row>
    <row r="592" spans="1:4" x14ac:dyDescent="0.25">
      <c r="A592" t="s">
        <v>67</v>
      </c>
      <c r="B592" s="48">
        <v>42004</v>
      </c>
      <c r="C592" t="s">
        <v>43</v>
      </c>
      <c r="D592" t="str">
        <f>IF(COUNTIFS(Verweise!$A$2:$A$4542,Übersicht!$C$7,Verweise!$B$2:$B$4542,B592)=1,"Feiertag",IF(C592="Samstag","",IF(C592="Sonntag","",Übersicht!$C$8)))</f>
        <v>Feiertag</v>
      </c>
    </row>
    <row r="593" spans="1:4" x14ac:dyDescent="0.25">
      <c r="A593" t="s">
        <v>67</v>
      </c>
      <c r="B593" s="48">
        <v>42112</v>
      </c>
      <c r="C593" t="s">
        <v>45</v>
      </c>
      <c r="D593" t="str">
        <f>IF(COUNTIFS(Verweise!$A$2:$A$4542,Übersicht!$C$7,Verweise!$B$2:$B$4542,B593)=1,"Feiertag",IF(C593="Samstag","",IF(C593="Sonntag","",Übersicht!$C$8)))</f>
        <v>Feiertag</v>
      </c>
    </row>
    <row r="594" spans="1:4" x14ac:dyDescent="0.25">
      <c r="A594" t="s">
        <v>67</v>
      </c>
      <c r="B594" s="48">
        <v>42114</v>
      </c>
      <c r="C594" t="s">
        <v>46</v>
      </c>
      <c r="D594" t="str">
        <f>IF(COUNTIFS(Verweise!$A$2:$A$4542,Übersicht!$C$7,Verweise!$B$2:$B$4542,B594)=1,"Feiertag",IF(C594="Samstag","",IF(C594="Sonntag","",Übersicht!$C$8)))</f>
        <v>Feiertag</v>
      </c>
    </row>
    <row r="595" spans="1:4" x14ac:dyDescent="0.25">
      <c r="A595" t="s">
        <v>67</v>
      </c>
      <c r="B595" s="48">
        <v>42115</v>
      </c>
      <c r="C595" t="s">
        <v>47</v>
      </c>
      <c r="D595" t="str">
        <f>IF(COUNTIFS(Verweise!$A$2:$A$4542,Übersicht!$C$7,Verweise!$B$2:$B$4542,B595)=1,"Feiertag",IF(C595="Samstag","",IF(C595="Sonntag","",Übersicht!$C$8)))</f>
        <v>Feiertag</v>
      </c>
    </row>
    <row r="596" spans="1:4" x14ac:dyDescent="0.25">
      <c r="A596" t="s">
        <v>67</v>
      </c>
      <c r="B596" s="48">
        <v>42124</v>
      </c>
      <c r="C596" t="s">
        <v>48</v>
      </c>
      <c r="D596" t="str">
        <f>IF(COUNTIFS(Verweise!$A$2:$A$4542,Übersicht!$C$7,Verweise!$B$2:$B$4542,B596)=1,"Feiertag",IF(C596="Samstag","",IF(C596="Sonntag","",Übersicht!$C$8)))</f>
        <v>Feiertag</v>
      </c>
    </row>
    <row r="597" spans="1:4" x14ac:dyDescent="0.25">
      <c r="A597" t="s">
        <v>67</v>
      </c>
      <c r="B597" s="48">
        <v>42153</v>
      </c>
      <c r="C597" t="s">
        <v>49</v>
      </c>
      <c r="D597" t="str">
        <f>IF(COUNTIFS(Verweise!$A$2:$A$4542,Übersicht!$C$7,Verweise!$B$2:$B$4542,B597)=1,"Feiertag",IF(C597="Samstag","",IF(C597="Sonntag","",Übersicht!$C$8)))</f>
        <v>Feiertag</v>
      </c>
    </row>
    <row r="598" spans="1:4" x14ac:dyDescent="0.25">
      <c r="A598" t="s">
        <v>67</v>
      </c>
      <c r="B598" s="48">
        <v>42163</v>
      </c>
      <c r="C598" t="s">
        <v>50</v>
      </c>
      <c r="D598" t="str">
        <f>IF(COUNTIFS(Verweise!$A$2:$A$4542,Übersicht!$C$7,Verweise!$B$2:$B$4542,B598)=1,"Feiertag",IF(C598="Samstag","",IF(C598="Sonntag","",Übersicht!$C$8)))</f>
        <v>Feiertag</v>
      </c>
    </row>
    <row r="599" spans="1:4" x14ac:dyDescent="0.25">
      <c r="A599" t="s">
        <v>67</v>
      </c>
      <c r="B599" s="48">
        <v>42164</v>
      </c>
      <c r="C599" t="s">
        <v>51</v>
      </c>
      <c r="D599" t="str">
        <f>IF(COUNTIFS(Verweise!$A$2:$A$4542,Übersicht!$C$7,Verweise!$B$2:$B$4542,B599)=1,"Feiertag",IF(C599="Samstag","",IF(C599="Sonntag","",Übersicht!$C$8)))</f>
        <v>Feiertag</v>
      </c>
    </row>
    <row r="600" spans="1:4" x14ac:dyDescent="0.25">
      <c r="A600" t="s">
        <v>67</v>
      </c>
      <c r="B600" s="48">
        <v>42279</v>
      </c>
      <c r="C600" t="s">
        <v>53</v>
      </c>
      <c r="D600" t="str">
        <f>IF(COUNTIFS(Verweise!$A$2:$A$4542,Übersicht!$C$7,Verweise!$B$2:$B$4542,B600)=1,"Feiertag",IF(C600="Samstag","",IF(C600="Sonntag","",Übersicht!$C$8)))</f>
        <v>Feiertag</v>
      </c>
    </row>
    <row r="601" spans="1:4" x14ac:dyDescent="0.25">
      <c r="A601" t="s">
        <v>67</v>
      </c>
      <c r="B601" s="48">
        <v>42362</v>
      </c>
      <c r="C601" t="s">
        <v>55</v>
      </c>
      <c r="D601" t="str">
        <f>IF(COUNTIFS(Verweise!$A$2:$A$4542,Übersicht!$C$7,Verweise!$B$2:$B$4542,B601)=1,"Feiertag",IF(C601="Samstag","",IF(C601="Sonntag","",Übersicht!$C$8)))</f>
        <v>Feiertag</v>
      </c>
    </row>
    <row r="602" spans="1:4" x14ac:dyDescent="0.25">
      <c r="A602" t="s">
        <v>67</v>
      </c>
      <c r="B602" s="48">
        <v>42363</v>
      </c>
      <c r="C602" t="s">
        <v>56</v>
      </c>
      <c r="D602" t="str">
        <f>IF(COUNTIFS(Verweise!$A$2:$A$4542,Übersicht!$C$7,Verweise!$B$2:$B$4542,B602)=1,"Feiertag",IF(C602="Samstag","",IF(C602="Sonntag","",Übersicht!$C$8)))</f>
        <v>Feiertag</v>
      </c>
    </row>
    <row r="603" spans="1:4" x14ac:dyDescent="0.25">
      <c r="A603" t="s">
        <v>68</v>
      </c>
      <c r="B603" s="48">
        <v>42004</v>
      </c>
      <c r="C603" t="s">
        <v>43</v>
      </c>
      <c r="D603" t="str">
        <f>IF(COUNTIFS(Verweise!$A$2:$A$4542,Übersicht!$C$7,Verweise!$B$2:$B$4542,B603)=1,"Feiertag",IF(C603="Samstag","",IF(C603="Sonntag","",Übersicht!$C$8)))</f>
        <v>Feiertag</v>
      </c>
    </row>
    <row r="604" spans="1:4" x14ac:dyDescent="0.25">
      <c r="A604" t="s">
        <v>68</v>
      </c>
      <c r="B604" s="48">
        <v>42112</v>
      </c>
      <c r="C604" t="s">
        <v>45</v>
      </c>
      <c r="D604" t="str">
        <f>IF(COUNTIFS(Verweise!$A$2:$A$4542,Übersicht!$C$7,Verweise!$B$2:$B$4542,B604)=1,"Feiertag",IF(C604="Samstag","",IF(C604="Sonntag","",Übersicht!$C$8)))</f>
        <v>Feiertag</v>
      </c>
    </row>
    <row r="605" spans="1:4" x14ac:dyDescent="0.25">
      <c r="A605" t="s">
        <v>68</v>
      </c>
      <c r="B605" s="48">
        <v>42114</v>
      </c>
      <c r="C605" t="s">
        <v>46</v>
      </c>
      <c r="D605" t="str">
        <f>IF(COUNTIFS(Verweise!$A$2:$A$4542,Übersicht!$C$7,Verweise!$B$2:$B$4542,B605)=1,"Feiertag",IF(C605="Samstag","",IF(C605="Sonntag","",Übersicht!$C$8)))</f>
        <v>Feiertag</v>
      </c>
    </row>
    <row r="606" spans="1:4" x14ac:dyDescent="0.25">
      <c r="A606" t="s">
        <v>68</v>
      </c>
      <c r="B606" s="48">
        <v>42115</v>
      </c>
      <c r="C606" t="s">
        <v>47</v>
      </c>
      <c r="D606" t="str">
        <f>IF(COUNTIFS(Verweise!$A$2:$A$4542,Übersicht!$C$7,Verweise!$B$2:$B$4542,B606)=1,"Feiertag",IF(C606="Samstag","",IF(C606="Sonntag","",Übersicht!$C$8)))</f>
        <v>Feiertag</v>
      </c>
    </row>
    <row r="607" spans="1:4" x14ac:dyDescent="0.25">
      <c r="A607" t="s">
        <v>68</v>
      </c>
      <c r="B607" s="48">
        <v>42124</v>
      </c>
      <c r="C607" t="s">
        <v>48</v>
      </c>
      <c r="D607" t="str">
        <f>IF(COUNTIFS(Verweise!$A$2:$A$4542,Übersicht!$C$7,Verweise!$B$2:$B$4542,B607)=1,"Feiertag",IF(C607="Samstag","",IF(C607="Sonntag","",Übersicht!$C$8)))</f>
        <v>Feiertag</v>
      </c>
    </row>
    <row r="608" spans="1:4" x14ac:dyDescent="0.25">
      <c r="A608" t="s">
        <v>68</v>
      </c>
      <c r="B608" s="48">
        <v>42153</v>
      </c>
      <c r="C608" t="s">
        <v>49</v>
      </c>
      <c r="D608" t="str">
        <f>IF(COUNTIFS(Verweise!$A$2:$A$4542,Übersicht!$C$7,Verweise!$B$2:$B$4542,B608)=1,"Feiertag",IF(C608="Samstag","",IF(C608="Sonntag","",Übersicht!$C$8)))</f>
        <v>Feiertag</v>
      </c>
    </row>
    <row r="609" spans="1:4" x14ac:dyDescent="0.25">
      <c r="A609" t="s">
        <v>68</v>
      </c>
      <c r="B609" s="48">
        <v>42163</v>
      </c>
      <c r="C609" t="s">
        <v>50</v>
      </c>
      <c r="D609" t="str">
        <f>IF(COUNTIFS(Verweise!$A$2:$A$4542,Übersicht!$C$7,Verweise!$B$2:$B$4542,B609)=1,"Feiertag",IF(C609="Samstag","",IF(C609="Sonntag","",Übersicht!$C$8)))</f>
        <v>Feiertag</v>
      </c>
    </row>
    <row r="610" spans="1:4" x14ac:dyDescent="0.25">
      <c r="A610" t="s">
        <v>68</v>
      </c>
      <c r="B610" s="48">
        <v>42164</v>
      </c>
      <c r="C610" t="s">
        <v>51</v>
      </c>
      <c r="D610" t="str">
        <f>IF(COUNTIFS(Verweise!$A$2:$A$4542,Übersicht!$C$7,Verweise!$B$2:$B$4542,B610)=1,"Feiertag",IF(C610="Samstag","",IF(C610="Sonntag","",Übersicht!$C$8)))</f>
        <v>Feiertag</v>
      </c>
    </row>
    <row r="611" spans="1:4" x14ac:dyDescent="0.25">
      <c r="A611" t="s">
        <v>68</v>
      </c>
      <c r="B611" s="48">
        <v>42174</v>
      </c>
      <c r="C611" t="s">
        <v>52</v>
      </c>
      <c r="D611" t="str">
        <f>IF(COUNTIFS(Verweise!$A$2:$A$4542,Übersicht!$C$7,Verweise!$B$2:$B$4542,B611)=1,"Feiertag",IF(C611="Samstag","",IF(C611="Sonntag","",Übersicht!$C$8)))</f>
        <v>Feiertag</v>
      </c>
    </row>
    <row r="612" spans="1:4" x14ac:dyDescent="0.25">
      <c r="A612" t="s">
        <v>68</v>
      </c>
      <c r="B612" s="48">
        <v>42279</v>
      </c>
      <c r="C612" t="s">
        <v>53</v>
      </c>
      <c r="D612" t="str">
        <f>IF(COUNTIFS(Verweise!$A$2:$A$4542,Übersicht!$C$7,Verweise!$B$2:$B$4542,B612)=1,"Feiertag",IF(C612="Samstag","",IF(C612="Sonntag","",Übersicht!$C$8)))</f>
        <v>Feiertag</v>
      </c>
    </row>
    <row r="613" spans="1:4" x14ac:dyDescent="0.25">
      <c r="A613" t="s">
        <v>68</v>
      </c>
      <c r="B613" s="48">
        <v>42308</v>
      </c>
      <c r="C613" t="s">
        <v>54</v>
      </c>
      <c r="D613" t="str">
        <f>IF(COUNTIFS(Verweise!$A$2:$A$4542,Übersicht!$C$7,Verweise!$B$2:$B$4542,B613)=1,"Feiertag",IF(C613="Samstag","",IF(C613="Sonntag","",Übersicht!$C$8)))</f>
        <v>Feiertag</v>
      </c>
    </row>
    <row r="614" spans="1:4" x14ac:dyDescent="0.25">
      <c r="A614" t="s">
        <v>68</v>
      </c>
      <c r="B614" s="48">
        <v>42362</v>
      </c>
      <c r="C614" t="s">
        <v>55</v>
      </c>
      <c r="D614" t="str">
        <f>IF(COUNTIFS(Verweise!$A$2:$A$4542,Übersicht!$C$7,Verweise!$B$2:$B$4542,B614)=1,"Feiertag",IF(C614="Samstag","",IF(C614="Sonntag","",Übersicht!$C$8)))</f>
        <v>Feiertag</v>
      </c>
    </row>
    <row r="615" spans="1:4" x14ac:dyDescent="0.25">
      <c r="A615" t="s">
        <v>68</v>
      </c>
      <c r="B615" s="48">
        <v>42363</v>
      </c>
      <c r="C615" t="s">
        <v>56</v>
      </c>
      <c r="D615" t="str">
        <f>IF(COUNTIFS(Verweise!$A$2:$A$4542,Übersicht!$C$7,Verweise!$B$2:$B$4542,B615)=1,"Feiertag",IF(C615="Samstag","",IF(C615="Sonntag","",Übersicht!$C$8)))</f>
        <v>Feiertag</v>
      </c>
    </row>
    <row r="616" spans="1:4" x14ac:dyDescent="0.25">
      <c r="A616" t="s">
        <v>69</v>
      </c>
      <c r="B616" s="48">
        <v>42004</v>
      </c>
      <c r="C616" t="s">
        <v>43</v>
      </c>
      <c r="D616" t="str">
        <f>IF(COUNTIFS(Verweise!$A$2:$A$4542,Übersicht!$C$7,Verweise!$B$2:$B$4542,B616)=1,"Feiertag",IF(C616="Samstag","",IF(C616="Sonntag","",Übersicht!$C$8)))</f>
        <v>Feiertag</v>
      </c>
    </row>
    <row r="617" spans="1:4" x14ac:dyDescent="0.25">
      <c r="A617" t="s">
        <v>69</v>
      </c>
      <c r="B617" s="48">
        <v>42112</v>
      </c>
      <c r="C617" t="s">
        <v>45</v>
      </c>
      <c r="D617" t="str">
        <f>IF(COUNTIFS(Verweise!$A$2:$A$4542,Übersicht!$C$7,Verweise!$B$2:$B$4542,B617)=1,"Feiertag",IF(C617="Samstag","",IF(C617="Sonntag","",Übersicht!$C$8)))</f>
        <v>Feiertag</v>
      </c>
    </row>
    <row r="618" spans="1:4" x14ac:dyDescent="0.25">
      <c r="A618" t="s">
        <v>69</v>
      </c>
      <c r="B618" s="48">
        <v>42114</v>
      </c>
      <c r="C618" t="s">
        <v>46</v>
      </c>
      <c r="D618" t="str">
        <f>IF(COUNTIFS(Verweise!$A$2:$A$4542,Übersicht!$C$7,Verweise!$B$2:$B$4542,B618)=1,"Feiertag",IF(C618="Samstag","",IF(C618="Sonntag","",Übersicht!$C$8)))</f>
        <v>Feiertag</v>
      </c>
    </row>
    <row r="619" spans="1:4" x14ac:dyDescent="0.25">
      <c r="A619" t="s">
        <v>69</v>
      </c>
      <c r="B619" s="48">
        <v>42115</v>
      </c>
      <c r="C619" t="s">
        <v>47</v>
      </c>
      <c r="D619" t="str">
        <f>IF(COUNTIFS(Verweise!$A$2:$A$4542,Übersicht!$C$7,Verweise!$B$2:$B$4542,B619)=1,"Feiertag",IF(C619="Samstag","",IF(C619="Sonntag","",Übersicht!$C$8)))</f>
        <v>Feiertag</v>
      </c>
    </row>
    <row r="620" spans="1:4" x14ac:dyDescent="0.25">
      <c r="A620" t="s">
        <v>69</v>
      </c>
      <c r="B620" s="48">
        <v>42124</v>
      </c>
      <c r="C620" t="s">
        <v>48</v>
      </c>
      <c r="D620" t="str">
        <f>IF(COUNTIFS(Verweise!$A$2:$A$4542,Übersicht!$C$7,Verweise!$B$2:$B$4542,B620)=1,"Feiertag",IF(C620="Samstag","",IF(C620="Sonntag","",Übersicht!$C$8)))</f>
        <v>Feiertag</v>
      </c>
    </row>
    <row r="621" spans="1:4" x14ac:dyDescent="0.25">
      <c r="A621" t="s">
        <v>69</v>
      </c>
      <c r="B621" s="48">
        <v>42153</v>
      </c>
      <c r="C621" t="s">
        <v>49</v>
      </c>
      <c r="D621" t="str">
        <f>IF(COUNTIFS(Verweise!$A$2:$A$4542,Übersicht!$C$7,Verweise!$B$2:$B$4542,B621)=1,"Feiertag",IF(C621="Samstag","",IF(C621="Sonntag","",Übersicht!$C$8)))</f>
        <v>Feiertag</v>
      </c>
    </row>
    <row r="622" spans="1:4" x14ac:dyDescent="0.25">
      <c r="A622" t="s">
        <v>69</v>
      </c>
      <c r="B622" s="48">
        <v>42163</v>
      </c>
      <c r="C622" t="s">
        <v>50</v>
      </c>
      <c r="D622" t="str">
        <f>IF(COUNTIFS(Verweise!$A$2:$A$4542,Übersicht!$C$7,Verweise!$B$2:$B$4542,B622)=1,"Feiertag",IF(C622="Samstag","",IF(C622="Sonntag","",Übersicht!$C$8)))</f>
        <v>Feiertag</v>
      </c>
    </row>
    <row r="623" spans="1:4" x14ac:dyDescent="0.25">
      <c r="A623" t="s">
        <v>69</v>
      </c>
      <c r="B623" s="48">
        <v>42164</v>
      </c>
      <c r="C623" t="s">
        <v>51</v>
      </c>
      <c r="D623" t="str">
        <f>IF(COUNTIFS(Verweise!$A$2:$A$4542,Übersicht!$C$7,Verweise!$B$2:$B$4542,B623)=1,"Feiertag",IF(C623="Samstag","",IF(C623="Sonntag","",Übersicht!$C$8)))</f>
        <v>Feiertag</v>
      </c>
    </row>
    <row r="624" spans="1:4" x14ac:dyDescent="0.25">
      <c r="A624" t="s">
        <v>69</v>
      </c>
      <c r="B624" s="48">
        <v>42174</v>
      </c>
      <c r="C624" t="s">
        <v>52</v>
      </c>
      <c r="D624" t="str">
        <f>IF(COUNTIFS(Verweise!$A$2:$A$4542,Übersicht!$C$7,Verweise!$B$2:$B$4542,B624)=1,"Feiertag",IF(C624="Samstag","",IF(C624="Sonntag","",Übersicht!$C$8)))</f>
        <v>Feiertag</v>
      </c>
    </row>
    <row r="625" spans="1:4" x14ac:dyDescent="0.25">
      <c r="A625" t="s">
        <v>69</v>
      </c>
      <c r="B625" s="48">
        <v>42279</v>
      </c>
      <c r="C625" t="s">
        <v>53</v>
      </c>
      <c r="D625" t="str">
        <f>IF(COUNTIFS(Verweise!$A$2:$A$4542,Übersicht!$C$7,Verweise!$B$2:$B$4542,B625)=1,"Feiertag",IF(C625="Samstag","",IF(C625="Sonntag","",Übersicht!$C$8)))</f>
        <v>Feiertag</v>
      </c>
    </row>
    <row r="626" spans="1:4" x14ac:dyDescent="0.25">
      <c r="A626" t="s">
        <v>69</v>
      </c>
      <c r="B626" s="48">
        <v>42308</v>
      </c>
      <c r="C626" t="s">
        <v>54</v>
      </c>
      <c r="D626" t="str">
        <f>IF(COUNTIFS(Verweise!$A$2:$A$4542,Übersicht!$C$7,Verweise!$B$2:$B$4542,B626)=1,"Feiertag",IF(C626="Samstag","",IF(C626="Sonntag","",Übersicht!$C$8)))</f>
        <v>Feiertag</v>
      </c>
    </row>
    <row r="627" spans="1:4" x14ac:dyDescent="0.25">
      <c r="A627" t="s">
        <v>69</v>
      </c>
      <c r="B627" s="48">
        <v>42362</v>
      </c>
      <c r="C627" t="s">
        <v>55</v>
      </c>
      <c r="D627" t="str">
        <f>IF(COUNTIFS(Verweise!$A$2:$A$4542,Übersicht!$C$7,Verweise!$B$2:$B$4542,B627)=1,"Feiertag",IF(C627="Samstag","",IF(C627="Sonntag","",Übersicht!$C$8)))</f>
        <v>Feiertag</v>
      </c>
    </row>
    <row r="628" spans="1:4" x14ac:dyDescent="0.25">
      <c r="A628" t="s">
        <v>69</v>
      </c>
      <c r="B628" s="48">
        <v>42363</v>
      </c>
      <c r="C628" t="s">
        <v>56</v>
      </c>
      <c r="D628" t="str">
        <f>IF(COUNTIFS(Verweise!$A$2:$A$4542,Übersicht!$C$7,Verweise!$B$2:$B$4542,B628)=1,"Feiertag",IF(C628="Samstag","",IF(C628="Sonntag","",Übersicht!$C$8)))</f>
        <v>Feiertag</v>
      </c>
    </row>
    <row r="629" spans="1:4" x14ac:dyDescent="0.25">
      <c r="A629" t="s">
        <v>70</v>
      </c>
      <c r="B629" s="48">
        <v>42004</v>
      </c>
      <c r="C629" t="s">
        <v>43</v>
      </c>
      <c r="D629" t="str">
        <f>IF(COUNTIFS(Verweise!$A$2:$A$4542,Übersicht!$C$7,Verweise!$B$2:$B$4542,B629)=1,"Feiertag",IF(C629="Samstag","",IF(C629="Sonntag","",Übersicht!$C$8)))</f>
        <v>Feiertag</v>
      </c>
    </row>
    <row r="630" spans="1:4" x14ac:dyDescent="0.25">
      <c r="A630" t="s">
        <v>70</v>
      </c>
      <c r="B630" s="48">
        <v>42112</v>
      </c>
      <c r="C630" t="s">
        <v>45</v>
      </c>
      <c r="D630" t="str">
        <f>IF(COUNTIFS(Verweise!$A$2:$A$4542,Übersicht!$C$7,Verweise!$B$2:$B$4542,B630)=1,"Feiertag",IF(C630="Samstag","",IF(C630="Sonntag","",Übersicht!$C$8)))</f>
        <v>Feiertag</v>
      </c>
    </row>
    <row r="631" spans="1:4" x14ac:dyDescent="0.25">
      <c r="A631" t="s">
        <v>70</v>
      </c>
      <c r="B631" s="48">
        <v>42114</v>
      </c>
      <c r="C631" t="s">
        <v>46</v>
      </c>
      <c r="D631" t="str">
        <f>IF(COUNTIFS(Verweise!$A$2:$A$4542,Übersicht!$C$7,Verweise!$B$2:$B$4542,B631)=1,"Feiertag",IF(C631="Samstag","",IF(C631="Sonntag","",Übersicht!$C$8)))</f>
        <v>Feiertag</v>
      </c>
    </row>
    <row r="632" spans="1:4" x14ac:dyDescent="0.25">
      <c r="A632" t="s">
        <v>70</v>
      </c>
      <c r="B632" s="48">
        <v>42115</v>
      </c>
      <c r="C632" t="s">
        <v>47</v>
      </c>
      <c r="D632" t="str">
        <f>IF(COUNTIFS(Verweise!$A$2:$A$4542,Übersicht!$C$7,Verweise!$B$2:$B$4542,B632)=1,"Feiertag",IF(C632="Samstag","",IF(C632="Sonntag","",Übersicht!$C$8)))</f>
        <v>Feiertag</v>
      </c>
    </row>
    <row r="633" spans="1:4" x14ac:dyDescent="0.25">
      <c r="A633" t="s">
        <v>70</v>
      </c>
      <c r="B633" s="48">
        <v>42124</v>
      </c>
      <c r="C633" t="s">
        <v>48</v>
      </c>
      <c r="D633" t="str">
        <f>IF(COUNTIFS(Verweise!$A$2:$A$4542,Übersicht!$C$7,Verweise!$B$2:$B$4542,B633)=1,"Feiertag",IF(C633="Samstag","",IF(C633="Sonntag","",Übersicht!$C$8)))</f>
        <v>Feiertag</v>
      </c>
    </row>
    <row r="634" spans="1:4" x14ac:dyDescent="0.25">
      <c r="A634" t="s">
        <v>70</v>
      </c>
      <c r="B634" s="48">
        <v>42153</v>
      </c>
      <c r="C634" t="s">
        <v>49</v>
      </c>
      <c r="D634" t="str">
        <f>IF(COUNTIFS(Verweise!$A$2:$A$4542,Übersicht!$C$7,Verweise!$B$2:$B$4542,B634)=1,"Feiertag",IF(C634="Samstag","",IF(C634="Sonntag","",Übersicht!$C$8)))</f>
        <v>Feiertag</v>
      </c>
    </row>
    <row r="635" spans="1:4" x14ac:dyDescent="0.25">
      <c r="A635" t="s">
        <v>70</v>
      </c>
      <c r="B635" s="48">
        <v>42163</v>
      </c>
      <c r="C635" t="s">
        <v>50</v>
      </c>
      <c r="D635" t="str">
        <f>IF(COUNTIFS(Verweise!$A$2:$A$4542,Übersicht!$C$7,Verweise!$B$2:$B$4542,B635)=1,"Feiertag",IF(C635="Samstag","",IF(C635="Sonntag","",Übersicht!$C$8)))</f>
        <v>Feiertag</v>
      </c>
    </row>
    <row r="636" spans="1:4" x14ac:dyDescent="0.25">
      <c r="A636" t="s">
        <v>70</v>
      </c>
      <c r="B636" s="48">
        <v>42164</v>
      </c>
      <c r="C636" t="s">
        <v>51</v>
      </c>
      <c r="D636" t="str">
        <f>IF(COUNTIFS(Verweise!$A$2:$A$4542,Übersicht!$C$7,Verweise!$B$2:$B$4542,B636)=1,"Feiertag",IF(C636="Samstag","",IF(C636="Sonntag","",Übersicht!$C$8)))</f>
        <v>Feiertag</v>
      </c>
    </row>
    <row r="637" spans="1:4" x14ac:dyDescent="0.25">
      <c r="A637" t="s">
        <v>70</v>
      </c>
      <c r="B637" s="48">
        <v>42174</v>
      </c>
      <c r="C637" t="s">
        <v>52</v>
      </c>
      <c r="D637" t="str">
        <f>IF(COUNTIFS(Verweise!$A$2:$A$4542,Übersicht!$C$7,Verweise!$B$2:$B$4542,B637)=1,"Feiertag",IF(C637="Samstag","",IF(C637="Sonntag","",Übersicht!$C$8)))</f>
        <v>Feiertag</v>
      </c>
    </row>
    <row r="638" spans="1:4" x14ac:dyDescent="0.25">
      <c r="A638" t="s">
        <v>70</v>
      </c>
      <c r="B638" s="48">
        <v>42230</v>
      </c>
      <c r="C638" t="s">
        <v>59</v>
      </c>
      <c r="D638" t="str">
        <f>IF(COUNTIFS(Verweise!$A$2:$A$4542,Übersicht!$C$7,Verweise!$B$2:$B$4542,B638)=1,"Feiertag",IF(C638="Samstag","",IF(C638="Sonntag","",Übersicht!$C$8)))</f>
        <v>Büro</v>
      </c>
    </row>
    <row r="639" spans="1:4" x14ac:dyDescent="0.25">
      <c r="A639" t="s">
        <v>70</v>
      </c>
      <c r="B639" s="48">
        <v>42279</v>
      </c>
      <c r="C639" t="s">
        <v>53</v>
      </c>
      <c r="D639" t="str">
        <f>IF(COUNTIFS(Verweise!$A$2:$A$4542,Übersicht!$C$7,Verweise!$B$2:$B$4542,B639)=1,"Feiertag",IF(C639="Samstag","",IF(C639="Sonntag","",Übersicht!$C$8)))</f>
        <v>Feiertag</v>
      </c>
    </row>
    <row r="640" spans="1:4" x14ac:dyDescent="0.25">
      <c r="A640" t="s">
        <v>70</v>
      </c>
      <c r="B640" s="48">
        <v>42308</v>
      </c>
      <c r="C640" t="s">
        <v>54</v>
      </c>
      <c r="D640" t="str">
        <f>IF(COUNTIFS(Verweise!$A$2:$A$4542,Übersicht!$C$7,Verweise!$B$2:$B$4542,B640)=1,"Feiertag",IF(C640="Samstag","",IF(C640="Sonntag","",Übersicht!$C$8)))</f>
        <v>Feiertag</v>
      </c>
    </row>
    <row r="641" spans="1:4" x14ac:dyDescent="0.25">
      <c r="A641" t="s">
        <v>70</v>
      </c>
      <c r="B641" s="48">
        <v>42362</v>
      </c>
      <c r="C641" t="s">
        <v>55</v>
      </c>
      <c r="D641" t="str">
        <f>IF(COUNTIFS(Verweise!$A$2:$A$4542,Übersicht!$C$7,Verweise!$B$2:$B$4542,B641)=1,"Feiertag",IF(C641="Samstag","",IF(C641="Sonntag","",Übersicht!$C$8)))</f>
        <v>Feiertag</v>
      </c>
    </row>
    <row r="642" spans="1:4" x14ac:dyDescent="0.25">
      <c r="A642" t="s">
        <v>70</v>
      </c>
      <c r="B642" s="48">
        <v>42363</v>
      </c>
      <c r="C642" t="s">
        <v>56</v>
      </c>
      <c r="D642" t="str">
        <f>IF(COUNTIFS(Verweise!$A$2:$A$4542,Übersicht!$C$7,Verweise!$B$2:$B$4542,B642)=1,"Feiertag",IF(C642="Samstag","",IF(C642="Sonntag","",Übersicht!$C$8)))</f>
        <v>Feiertag</v>
      </c>
    </row>
    <row r="643" spans="1:4" x14ac:dyDescent="0.25">
      <c r="A643" t="s">
        <v>71</v>
      </c>
      <c r="B643" s="48">
        <v>42004</v>
      </c>
      <c r="C643" t="s">
        <v>43</v>
      </c>
      <c r="D643" t="str">
        <f>IF(COUNTIFS(Verweise!$A$2:$A$4542,Übersicht!$C$7,Verweise!$B$2:$B$4542,B643)=1,"Feiertag",IF(C643="Samstag","",IF(C643="Sonntag","",Übersicht!$C$8)))</f>
        <v>Feiertag</v>
      </c>
    </row>
    <row r="644" spans="1:4" x14ac:dyDescent="0.25">
      <c r="A644" t="s">
        <v>71</v>
      </c>
      <c r="B644" s="48">
        <v>42112</v>
      </c>
      <c r="C644" t="s">
        <v>45</v>
      </c>
      <c r="D644" t="str">
        <f>IF(COUNTIFS(Verweise!$A$2:$A$4542,Übersicht!$C$7,Verweise!$B$2:$B$4542,B644)=1,"Feiertag",IF(C644="Samstag","",IF(C644="Sonntag","",Übersicht!$C$8)))</f>
        <v>Feiertag</v>
      </c>
    </row>
    <row r="645" spans="1:4" x14ac:dyDescent="0.25">
      <c r="A645" t="s">
        <v>71</v>
      </c>
      <c r="B645" s="48">
        <v>42114</v>
      </c>
      <c r="C645" t="s">
        <v>46</v>
      </c>
      <c r="D645" t="str">
        <f>IF(COUNTIFS(Verweise!$A$2:$A$4542,Übersicht!$C$7,Verweise!$B$2:$B$4542,B645)=1,"Feiertag",IF(C645="Samstag","",IF(C645="Sonntag","",Übersicht!$C$8)))</f>
        <v>Feiertag</v>
      </c>
    </row>
    <row r="646" spans="1:4" x14ac:dyDescent="0.25">
      <c r="A646" t="s">
        <v>71</v>
      </c>
      <c r="B646" s="48">
        <v>42115</v>
      </c>
      <c r="C646" t="s">
        <v>47</v>
      </c>
      <c r="D646" t="str">
        <f>IF(COUNTIFS(Verweise!$A$2:$A$4542,Übersicht!$C$7,Verweise!$B$2:$B$4542,B646)=1,"Feiertag",IF(C646="Samstag","",IF(C646="Sonntag","",Übersicht!$C$8)))</f>
        <v>Feiertag</v>
      </c>
    </row>
    <row r="647" spans="1:4" x14ac:dyDescent="0.25">
      <c r="A647" t="s">
        <v>71</v>
      </c>
      <c r="B647" s="48">
        <v>42124</v>
      </c>
      <c r="C647" t="s">
        <v>48</v>
      </c>
      <c r="D647" t="str">
        <f>IF(COUNTIFS(Verweise!$A$2:$A$4542,Übersicht!$C$7,Verweise!$B$2:$B$4542,B647)=1,"Feiertag",IF(C647="Samstag","",IF(C647="Sonntag","",Übersicht!$C$8)))</f>
        <v>Feiertag</v>
      </c>
    </row>
    <row r="648" spans="1:4" x14ac:dyDescent="0.25">
      <c r="A648" t="s">
        <v>71</v>
      </c>
      <c r="B648" s="48">
        <v>42153</v>
      </c>
      <c r="C648" t="s">
        <v>49</v>
      </c>
      <c r="D648" t="str">
        <f>IF(COUNTIFS(Verweise!$A$2:$A$4542,Übersicht!$C$7,Verweise!$B$2:$B$4542,B648)=1,"Feiertag",IF(C648="Samstag","",IF(C648="Sonntag","",Übersicht!$C$8)))</f>
        <v>Feiertag</v>
      </c>
    </row>
    <row r="649" spans="1:4" x14ac:dyDescent="0.25">
      <c r="A649" t="s">
        <v>71</v>
      </c>
      <c r="B649" s="48">
        <v>42163</v>
      </c>
      <c r="C649" t="s">
        <v>50</v>
      </c>
      <c r="D649" t="str">
        <f>IF(COUNTIFS(Verweise!$A$2:$A$4542,Übersicht!$C$7,Verweise!$B$2:$B$4542,B649)=1,"Feiertag",IF(C649="Samstag","",IF(C649="Sonntag","",Übersicht!$C$8)))</f>
        <v>Feiertag</v>
      </c>
    </row>
    <row r="650" spans="1:4" x14ac:dyDescent="0.25">
      <c r="A650" t="s">
        <v>71</v>
      </c>
      <c r="B650" s="48">
        <v>42164</v>
      </c>
      <c r="C650" t="s">
        <v>51</v>
      </c>
      <c r="D650" t="str">
        <f>IF(COUNTIFS(Verweise!$A$2:$A$4542,Übersicht!$C$7,Verweise!$B$2:$B$4542,B650)=1,"Feiertag",IF(C650="Samstag","",IF(C650="Sonntag","",Übersicht!$C$8)))</f>
        <v>Feiertag</v>
      </c>
    </row>
    <row r="651" spans="1:4" x14ac:dyDescent="0.25">
      <c r="A651" t="s">
        <v>71</v>
      </c>
      <c r="B651" s="48">
        <v>42279</v>
      </c>
      <c r="C651" t="s">
        <v>53</v>
      </c>
      <c r="D651" t="str">
        <f>IF(COUNTIFS(Verweise!$A$2:$A$4542,Übersicht!$C$7,Verweise!$B$2:$B$4542,B651)=1,"Feiertag",IF(C651="Samstag","",IF(C651="Sonntag","",Übersicht!$C$8)))</f>
        <v>Feiertag</v>
      </c>
    </row>
    <row r="652" spans="1:4" x14ac:dyDescent="0.25">
      <c r="A652" t="s">
        <v>71</v>
      </c>
      <c r="B652" s="48">
        <v>42307</v>
      </c>
      <c r="C652" t="s">
        <v>62</v>
      </c>
      <c r="D652" t="str">
        <f>IF(COUNTIFS(Verweise!$A$2:$A$4542,Übersicht!$C$7,Verweise!$B$2:$B$4542,B652)=1,"Feiertag",IF(C652="Samstag","",IF(C652="Sonntag","",Übersicht!$C$8)))</f>
        <v>Büro</v>
      </c>
    </row>
    <row r="653" spans="1:4" x14ac:dyDescent="0.25">
      <c r="A653" t="s">
        <v>71</v>
      </c>
      <c r="B653" s="48">
        <v>42327</v>
      </c>
      <c r="C653" t="s">
        <v>72</v>
      </c>
      <c r="D653" t="str">
        <f>IF(COUNTIFS(Verweise!$A$2:$A$4542,Übersicht!$C$7,Verweise!$B$2:$B$4542,B653)=1,"Feiertag",IF(C653="Samstag","",IF(C653="Sonntag","",Übersicht!$C$8)))</f>
        <v>Büro</v>
      </c>
    </row>
    <row r="654" spans="1:4" x14ac:dyDescent="0.25">
      <c r="A654" t="s">
        <v>71</v>
      </c>
      <c r="B654" s="48">
        <v>42362</v>
      </c>
      <c r="C654" t="s">
        <v>55</v>
      </c>
      <c r="D654" t="str">
        <f>IF(COUNTIFS(Verweise!$A$2:$A$4542,Übersicht!$C$7,Verweise!$B$2:$B$4542,B654)=1,"Feiertag",IF(C654="Samstag","",IF(C654="Sonntag","",Übersicht!$C$8)))</f>
        <v>Feiertag</v>
      </c>
    </row>
    <row r="655" spans="1:4" x14ac:dyDescent="0.25">
      <c r="A655" t="s">
        <v>71</v>
      </c>
      <c r="B655" s="48">
        <v>42363</v>
      </c>
      <c r="C655" t="s">
        <v>56</v>
      </c>
      <c r="D655" t="str">
        <f>IF(COUNTIFS(Verweise!$A$2:$A$4542,Übersicht!$C$7,Verweise!$B$2:$B$4542,B655)=1,"Feiertag",IF(C655="Samstag","",IF(C655="Sonntag","",Übersicht!$C$8)))</f>
        <v>Feiertag</v>
      </c>
    </row>
    <row r="656" spans="1:4" x14ac:dyDescent="0.25">
      <c r="A656" t="s">
        <v>73</v>
      </c>
      <c r="B656" s="48">
        <v>42004</v>
      </c>
      <c r="C656" t="s">
        <v>43</v>
      </c>
      <c r="D656" t="str">
        <f>IF(COUNTIFS(Verweise!$A$2:$A$4542,Übersicht!$C$7,Verweise!$B$2:$B$4542,B656)=1,"Feiertag",IF(C656="Samstag","",IF(C656="Sonntag","",Übersicht!$C$8)))</f>
        <v>Feiertag</v>
      </c>
    </row>
    <row r="657" spans="1:4" x14ac:dyDescent="0.25">
      <c r="A657" t="s">
        <v>73</v>
      </c>
      <c r="B657" s="48">
        <v>42112</v>
      </c>
      <c r="C657" t="s">
        <v>45</v>
      </c>
      <c r="D657" t="str">
        <f>IF(COUNTIFS(Verweise!$A$2:$A$4542,Übersicht!$C$7,Verweise!$B$2:$B$4542,B657)=1,"Feiertag",IF(C657="Samstag","",IF(C657="Sonntag","",Übersicht!$C$8)))</f>
        <v>Feiertag</v>
      </c>
    </row>
    <row r="658" spans="1:4" x14ac:dyDescent="0.25">
      <c r="A658" t="s">
        <v>73</v>
      </c>
      <c r="B658" s="48">
        <v>42114</v>
      </c>
      <c r="C658" t="s">
        <v>46</v>
      </c>
      <c r="D658" t="str">
        <f>IF(COUNTIFS(Verweise!$A$2:$A$4542,Übersicht!$C$7,Verweise!$B$2:$B$4542,B658)=1,"Feiertag",IF(C658="Samstag","",IF(C658="Sonntag","",Übersicht!$C$8)))</f>
        <v>Feiertag</v>
      </c>
    </row>
    <row r="659" spans="1:4" x14ac:dyDescent="0.25">
      <c r="A659" t="s">
        <v>73</v>
      </c>
      <c r="B659" s="48">
        <v>42115</v>
      </c>
      <c r="C659" t="s">
        <v>47</v>
      </c>
      <c r="D659" t="str">
        <f>IF(COUNTIFS(Verweise!$A$2:$A$4542,Übersicht!$C$7,Verweise!$B$2:$B$4542,B659)=1,"Feiertag",IF(C659="Samstag","",IF(C659="Sonntag","",Übersicht!$C$8)))</f>
        <v>Feiertag</v>
      </c>
    </row>
    <row r="660" spans="1:4" x14ac:dyDescent="0.25">
      <c r="A660" t="s">
        <v>73</v>
      </c>
      <c r="B660" s="48">
        <v>42124</v>
      </c>
      <c r="C660" t="s">
        <v>48</v>
      </c>
      <c r="D660" t="str">
        <f>IF(COUNTIFS(Verweise!$A$2:$A$4542,Übersicht!$C$7,Verweise!$B$2:$B$4542,B660)=1,"Feiertag",IF(C660="Samstag","",IF(C660="Sonntag","",Übersicht!$C$8)))</f>
        <v>Feiertag</v>
      </c>
    </row>
    <row r="661" spans="1:4" x14ac:dyDescent="0.25">
      <c r="A661" t="s">
        <v>73</v>
      </c>
      <c r="B661" s="48">
        <v>42153</v>
      </c>
      <c r="C661" t="s">
        <v>49</v>
      </c>
      <c r="D661" t="str">
        <f>IF(COUNTIFS(Verweise!$A$2:$A$4542,Übersicht!$C$7,Verweise!$B$2:$B$4542,B661)=1,"Feiertag",IF(C661="Samstag","",IF(C661="Sonntag","",Übersicht!$C$8)))</f>
        <v>Feiertag</v>
      </c>
    </row>
    <row r="662" spans="1:4" x14ac:dyDescent="0.25">
      <c r="A662" t="s">
        <v>73</v>
      </c>
      <c r="B662" s="48">
        <v>42163</v>
      </c>
      <c r="C662" t="s">
        <v>50</v>
      </c>
      <c r="D662" t="str">
        <f>IF(COUNTIFS(Verweise!$A$2:$A$4542,Übersicht!$C$7,Verweise!$B$2:$B$4542,B662)=1,"Feiertag",IF(C662="Samstag","",IF(C662="Sonntag","",Übersicht!$C$8)))</f>
        <v>Feiertag</v>
      </c>
    </row>
    <row r="663" spans="1:4" x14ac:dyDescent="0.25">
      <c r="A663" t="s">
        <v>73</v>
      </c>
      <c r="B663" s="48">
        <v>42164</v>
      </c>
      <c r="C663" t="s">
        <v>51</v>
      </c>
      <c r="D663" t="str">
        <f>IF(COUNTIFS(Verweise!$A$2:$A$4542,Übersicht!$C$7,Verweise!$B$2:$B$4542,B663)=1,"Feiertag",IF(C663="Samstag","",IF(C663="Sonntag","",Übersicht!$C$8)))</f>
        <v>Feiertag</v>
      </c>
    </row>
    <row r="664" spans="1:4" x14ac:dyDescent="0.25">
      <c r="A664" t="s">
        <v>73</v>
      </c>
      <c r="B664" s="48">
        <v>42174</v>
      </c>
      <c r="C664" t="s">
        <v>52</v>
      </c>
      <c r="D664" t="str">
        <f>IF(COUNTIFS(Verweise!$A$2:$A$4542,Übersicht!$C$7,Verweise!$B$2:$B$4542,B664)=1,"Feiertag",IF(C664="Samstag","",IF(C664="Sonntag","",Übersicht!$C$8)))</f>
        <v>Feiertag</v>
      </c>
    </row>
    <row r="665" spans="1:4" x14ac:dyDescent="0.25">
      <c r="A665" t="s">
        <v>73</v>
      </c>
      <c r="B665" s="48">
        <v>42279</v>
      </c>
      <c r="C665" t="s">
        <v>53</v>
      </c>
      <c r="D665" t="str">
        <f>IF(COUNTIFS(Verweise!$A$2:$A$4542,Übersicht!$C$7,Verweise!$B$2:$B$4542,B665)=1,"Feiertag",IF(C665="Samstag","",IF(C665="Sonntag","",Übersicht!$C$8)))</f>
        <v>Feiertag</v>
      </c>
    </row>
    <row r="666" spans="1:4" x14ac:dyDescent="0.25">
      <c r="A666" t="s">
        <v>73</v>
      </c>
      <c r="B666" s="48">
        <v>42307</v>
      </c>
      <c r="C666" t="s">
        <v>62</v>
      </c>
      <c r="D666" t="str">
        <f>IF(COUNTIFS(Verweise!$A$2:$A$4542,Übersicht!$C$7,Verweise!$B$2:$B$4542,B666)=1,"Feiertag",IF(C666="Samstag","",IF(C666="Sonntag","",Übersicht!$C$8)))</f>
        <v>Büro</v>
      </c>
    </row>
    <row r="667" spans="1:4" x14ac:dyDescent="0.25">
      <c r="A667" t="s">
        <v>73</v>
      </c>
      <c r="B667" s="48">
        <v>42327</v>
      </c>
      <c r="C667" t="s">
        <v>72</v>
      </c>
      <c r="D667" t="str">
        <f>IF(COUNTIFS(Verweise!$A$2:$A$4542,Übersicht!$C$7,Verweise!$B$2:$B$4542,B667)=1,"Feiertag",IF(C667="Samstag","",IF(C667="Sonntag","",Übersicht!$C$8)))</f>
        <v>Büro</v>
      </c>
    </row>
    <row r="668" spans="1:4" x14ac:dyDescent="0.25">
      <c r="A668" t="s">
        <v>73</v>
      </c>
      <c r="B668" s="48">
        <v>42362</v>
      </c>
      <c r="C668" t="s">
        <v>55</v>
      </c>
      <c r="D668" t="str">
        <f>IF(COUNTIFS(Verweise!$A$2:$A$4542,Übersicht!$C$7,Verweise!$B$2:$B$4542,B668)=1,"Feiertag",IF(C668="Samstag","",IF(C668="Sonntag","",Übersicht!$C$8)))</f>
        <v>Feiertag</v>
      </c>
    </row>
    <row r="669" spans="1:4" x14ac:dyDescent="0.25">
      <c r="A669" t="s">
        <v>73</v>
      </c>
      <c r="B669" s="48">
        <v>42363</v>
      </c>
      <c r="C669" t="s">
        <v>56</v>
      </c>
      <c r="D669" t="str">
        <f>IF(COUNTIFS(Verweise!$A$2:$A$4542,Übersicht!$C$7,Verweise!$B$2:$B$4542,B669)=1,"Feiertag",IF(C669="Samstag","",IF(C669="Sonntag","",Übersicht!$C$8)))</f>
        <v>Feiertag</v>
      </c>
    </row>
    <row r="670" spans="1:4" x14ac:dyDescent="0.25">
      <c r="A670" t="s">
        <v>74</v>
      </c>
      <c r="B670" s="48">
        <v>42004</v>
      </c>
      <c r="C670" t="s">
        <v>43</v>
      </c>
      <c r="D670" t="str">
        <f>IF(COUNTIFS(Verweise!$A$2:$A$4542,Übersicht!$C$7,Verweise!$B$2:$B$4542,B670)=1,"Feiertag",IF(C670="Samstag","",IF(C670="Sonntag","",Übersicht!$C$8)))</f>
        <v>Feiertag</v>
      </c>
    </row>
    <row r="671" spans="1:4" x14ac:dyDescent="0.25">
      <c r="A671" t="s">
        <v>74</v>
      </c>
      <c r="B671" s="48">
        <v>42009</v>
      </c>
      <c r="C671" t="s">
        <v>44</v>
      </c>
      <c r="D671" t="str">
        <f>IF(COUNTIFS(Verweise!$A$2:$A$4542,Übersicht!$C$7,Verweise!$B$2:$B$4542,B671)=1,"Feiertag",IF(C671="Samstag","",IF(C671="Sonntag","",Übersicht!$C$8)))</f>
        <v>Büro</v>
      </c>
    </row>
    <row r="672" spans="1:4" x14ac:dyDescent="0.25">
      <c r="A672" t="s">
        <v>74</v>
      </c>
      <c r="B672" s="48">
        <v>42112</v>
      </c>
      <c r="C672" t="s">
        <v>45</v>
      </c>
      <c r="D672" t="str">
        <f>IF(COUNTIFS(Verweise!$A$2:$A$4542,Übersicht!$C$7,Verweise!$B$2:$B$4542,B672)=1,"Feiertag",IF(C672="Samstag","",IF(C672="Sonntag","",Übersicht!$C$8)))</f>
        <v>Feiertag</v>
      </c>
    </row>
    <row r="673" spans="1:4" x14ac:dyDescent="0.25">
      <c r="A673" t="s">
        <v>74</v>
      </c>
      <c r="B673" s="48">
        <v>42114</v>
      </c>
      <c r="C673" t="s">
        <v>46</v>
      </c>
      <c r="D673" t="str">
        <f>IF(COUNTIFS(Verweise!$A$2:$A$4542,Übersicht!$C$7,Verweise!$B$2:$B$4542,B673)=1,"Feiertag",IF(C673="Samstag","",IF(C673="Sonntag","",Übersicht!$C$8)))</f>
        <v>Feiertag</v>
      </c>
    </row>
    <row r="674" spans="1:4" x14ac:dyDescent="0.25">
      <c r="A674" t="s">
        <v>74</v>
      </c>
      <c r="B674" s="48">
        <v>42115</v>
      </c>
      <c r="C674" t="s">
        <v>47</v>
      </c>
      <c r="D674" t="str">
        <f>IF(COUNTIFS(Verweise!$A$2:$A$4542,Übersicht!$C$7,Verweise!$B$2:$B$4542,B674)=1,"Feiertag",IF(C674="Samstag","",IF(C674="Sonntag","",Übersicht!$C$8)))</f>
        <v>Feiertag</v>
      </c>
    </row>
    <row r="675" spans="1:4" x14ac:dyDescent="0.25">
      <c r="A675" t="s">
        <v>74</v>
      </c>
      <c r="B675" s="48">
        <v>42124</v>
      </c>
      <c r="C675" t="s">
        <v>48</v>
      </c>
      <c r="D675" t="str">
        <f>IF(COUNTIFS(Verweise!$A$2:$A$4542,Übersicht!$C$7,Verweise!$B$2:$B$4542,B675)=1,"Feiertag",IF(C675="Samstag","",IF(C675="Sonntag","",Übersicht!$C$8)))</f>
        <v>Feiertag</v>
      </c>
    </row>
    <row r="676" spans="1:4" x14ac:dyDescent="0.25">
      <c r="A676" t="s">
        <v>74</v>
      </c>
      <c r="B676" s="48">
        <v>42153</v>
      </c>
      <c r="C676" t="s">
        <v>49</v>
      </c>
      <c r="D676" t="str">
        <f>IF(COUNTIFS(Verweise!$A$2:$A$4542,Übersicht!$C$7,Verweise!$B$2:$B$4542,B676)=1,"Feiertag",IF(C676="Samstag","",IF(C676="Sonntag","",Übersicht!$C$8)))</f>
        <v>Feiertag</v>
      </c>
    </row>
    <row r="677" spans="1:4" x14ac:dyDescent="0.25">
      <c r="A677" t="s">
        <v>74</v>
      </c>
      <c r="B677" s="48">
        <v>42163</v>
      </c>
      <c r="C677" t="s">
        <v>50</v>
      </c>
      <c r="D677" t="str">
        <f>IF(COUNTIFS(Verweise!$A$2:$A$4542,Übersicht!$C$7,Verweise!$B$2:$B$4542,B677)=1,"Feiertag",IF(C677="Samstag","",IF(C677="Sonntag","",Übersicht!$C$8)))</f>
        <v>Feiertag</v>
      </c>
    </row>
    <row r="678" spans="1:4" x14ac:dyDescent="0.25">
      <c r="A678" t="s">
        <v>74</v>
      </c>
      <c r="B678" s="48">
        <v>42164</v>
      </c>
      <c r="C678" t="s">
        <v>51</v>
      </c>
      <c r="D678" t="str">
        <f>IF(COUNTIFS(Verweise!$A$2:$A$4542,Übersicht!$C$7,Verweise!$B$2:$B$4542,B678)=1,"Feiertag",IF(C678="Samstag","",IF(C678="Sonntag","",Übersicht!$C$8)))</f>
        <v>Feiertag</v>
      </c>
    </row>
    <row r="679" spans="1:4" x14ac:dyDescent="0.25">
      <c r="A679" t="s">
        <v>74</v>
      </c>
      <c r="B679" s="48">
        <v>42279</v>
      </c>
      <c r="C679" t="s">
        <v>53</v>
      </c>
      <c r="D679" t="str">
        <f>IF(COUNTIFS(Verweise!$A$2:$A$4542,Übersicht!$C$7,Verweise!$B$2:$B$4542,B679)=1,"Feiertag",IF(C679="Samstag","",IF(C679="Sonntag","",Übersicht!$C$8)))</f>
        <v>Feiertag</v>
      </c>
    </row>
    <row r="680" spans="1:4" x14ac:dyDescent="0.25">
      <c r="A680" t="s">
        <v>74</v>
      </c>
      <c r="B680" s="48">
        <v>42307</v>
      </c>
      <c r="C680" t="s">
        <v>62</v>
      </c>
      <c r="D680" t="str">
        <f>IF(COUNTIFS(Verweise!$A$2:$A$4542,Übersicht!$C$7,Verweise!$B$2:$B$4542,B680)=1,"Feiertag",IF(C680="Samstag","",IF(C680="Sonntag","",Übersicht!$C$8)))</f>
        <v>Büro</v>
      </c>
    </row>
    <row r="681" spans="1:4" x14ac:dyDescent="0.25">
      <c r="A681" t="s">
        <v>74</v>
      </c>
      <c r="B681" s="48">
        <v>42362</v>
      </c>
      <c r="C681" t="s">
        <v>55</v>
      </c>
      <c r="D681" t="str">
        <f>IF(COUNTIFS(Verweise!$A$2:$A$4542,Übersicht!$C$7,Verweise!$B$2:$B$4542,B681)=1,"Feiertag",IF(C681="Samstag","",IF(C681="Sonntag","",Übersicht!$C$8)))</f>
        <v>Feiertag</v>
      </c>
    </row>
    <row r="682" spans="1:4" x14ac:dyDescent="0.25">
      <c r="A682" t="s">
        <v>74</v>
      </c>
      <c r="B682" s="48">
        <v>42363</v>
      </c>
      <c r="C682" t="s">
        <v>56</v>
      </c>
      <c r="D682" t="str">
        <f>IF(COUNTIFS(Verweise!$A$2:$A$4542,Übersicht!$C$7,Verweise!$B$2:$B$4542,B682)=1,"Feiertag",IF(C682="Samstag","",IF(C682="Sonntag","",Übersicht!$C$8)))</f>
        <v>Feiertag</v>
      </c>
    </row>
    <row r="683" spans="1:4" x14ac:dyDescent="0.25">
      <c r="A683" t="s">
        <v>75</v>
      </c>
      <c r="B683" s="48">
        <v>42004</v>
      </c>
      <c r="C683" t="s">
        <v>43</v>
      </c>
      <c r="D683" t="str">
        <f>IF(COUNTIFS(Verweise!$A$2:$A$4542,Übersicht!$C$7,Verweise!$B$2:$B$4542,B683)=1,"Feiertag",IF(C683="Samstag","",IF(C683="Sonntag","",Übersicht!$C$8)))</f>
        <v>Feiertag</v>
      </c>
    </row>
    <row r="684" spans="1:4" x14ac:dyDescent="0.25">
      <c r="A684" t="s">
        <v>75</v>
      </c>
      <c r="B684" s="48">
        <v>42112</v>
      </c>
      <c r="C684" t="s">
        <v>45</v>
      </c>
      <c r="D684" t="str">
        <f>IF(COUNTIFS(Verweise!$A$2:$A$4542,Übersicht!$C$7,Verweise!$B$2:$B$4542,B684)=1,"Feiertag",IF(C684="Samstag","",IF(C684="Sonntag","",Übersicht!$C$8)))</f>
        <v>Feiertag</v>
      </c>
    </row>
    <row r="685" spans="1:4" x14ac:dyDescent="0.25">
      <c r="A685" t="s">
        <v>75</v>
      </c>
      <c r="B685" s="48">
        <v>42114</v>
      </c>
      <c r="C685" t="s">
        <v>46</v>
      </c>
      <c r="D685" t="str">
        <f>IF(COUNTIFS(Verweise!$A$2:$A$4542,Übersicht!$C$7,Verweise!$B$2:$B$4542,B685)=1,"Feiertag",IF(C685="Samstag","",IF(C685="Sonntag","",Übersicht!$C$8)))</f>
        <v>Feiertag</v>
      </c>
    </row>
    <row r="686" spans="1:4" x14ac:dyDescent="0.25">
      <c r="A686" t="s">
        <v>75</v>
      </c>
      <c r="B686" s="48">
        <v>42115</v>
      </c>
      <c r="C686" t="s">
        <v>47</v>
      </c>
      <c r="D686" t="str">
        <f>IF(COUNTIFS(Verweise!$A$2:$A$4542,Übersicht!$C$7,Verweise!$B$2:$B$4542,B686)=1,"Feiertag",IF(C686="Samstag","",IF(C686="Sonntag","",Übersicht!$C$8)))</f>
        <v>Feiertag</v>
      </c>
    </row>
    <row r="687" spans="1:4" x14ac:dyDescent="0.25">
      <c r="A687" t="s">
        <v>75</v>
      </c>
      <c r="B687" s="48">
        <v>42124</v>
      </c>
      <c r="C687" t="s">
        <v>48</v>
      </c>
      <c r="D687" t="str">
        <f>IF(COUNTIFS(Verweise!$A$2:$A$4542,Übersicht!$C$7,Verweise!$B$2:$B$4542,B687)=1,"Feiertag",IF(C687="Samstag","",IF(C687="Sonntag","",Übersicht!$C$8)))</f>
        <v>Feiertag</v>
      </c>
    </row>
    <row r="688" spans="1:4" x14ac:dyDescent="0.25">
      <c r="A688" t="s">
        <v>75</v>
      </c>
      <c r="B688" s="48">
        <v>42153</v>
      </c>
      <c r="C688" t="s">
        <v>49</v>
      </c>
      <c r="D688" t="str">
        <f>IF(COUNTIFS(Verweise!$A$2:$A$4542,Übersicht!$C$7,Verweise!$B$2:$B$4542,B688)=1,"Feiertag",IF(C688="Samstag","",IF(C688="Sonntag","",Übersicht!$C$8)))</f>
        <v>Feiertag</v>
      </c>
    </row>
    <row r="689" spans="1:4" x14ac:dyDescent="0.25">
      <c r="A689" t="s">
        <v>75</v>
      </c>
      <c r="B689" s="48">
        <v>42163</v>
      </c>
      <c r="C689" t="s">
        <v>50</v>
      </c>
      <c r="D689" t="str">
        <f>IF(COUNTIFS(Verweise!$A$2:$A$4542,Übersicht!$C$7,Verweise!$B$2:$B$4542,B689)=1,"Feiertag",IF(C689="Samstag","",IF(C689="Sonntag","",Übersicht!$C$8)))</f>
        <v>Feiertag</v>
      </c>
    </row>
    <row r="690" spans="1:4" x14ac:dyDescent="0.25">
      <c r="A690" t="s">
        <v>75</v>
      </c>
      <c r="B690" s="48">
        <v>42164</v>
      </c>
      <c r="C690" t="s">
        <v>51</v>
      </c>
      <c r="D690" t="str">
        <f>IF(COUNTIFS(Verweise!$A$2:$A$4542,Übersicht!$C$7,Verweise!$B$2:$B$4542,B690)=1,"Feiertag",IF(C690="Samstag","",IF(C690="Sonntag","",Übersicht!$C$8)))</f>
        <v>Feiertag</v>
      </c>
    </row>
    <row r="691" spans="1:4" x14ac:dyDescent="0.25">
      <c r="A691" t="s">
        <v>75</v>
      </c>
      <c r="B691" s="48">
        <v>42279</v>
      </c>
      <c r="C691" t="s">
        <v>53</v>
      </c>
      <c r="D691" t="str">
        <f>IF(COUNTIFS(Verweise!$A$2:$A$4542,Übersicht!$C$7,Verweise!$B$2:$B$4542,B691)=1,"Feiertag",IF(C691="Samstag","",IF(C691="Sonntag","",Übersicht!$C$8)))</f>
        <v>Feiertag</v>
      </c>
    </row>
    <row r="692" spans="1:4" x14ac:dyDescent="0.25">
      <c r="A692" t="s">
        <v>75</v>
      </c>
      <c r="B692" s="48">
        <v>42362</v>
      </c>
      <c r="C692" t="s">
        <v>55</v>
      </c>
      <c r="D692" t="str">
        <f>IF(COUNTIFS(Verweise!$A$2:$A$4542,Übersicht!$C$7,Verweise!$B$2:$B$4542,B692)=1,"Feiertag",IF(C692="Samstag","",IF(C692="Sonntag","",Übersicht!$C$8)))</f>
        <v>Feiertag</v>
      </c>
    </row>
    <row r="693" spans="1:4" x14ac:dyDescent="0.25">
      <c r="A693" t="s">
        <v>75</v>
      </c>
      <c r="B693" s="48">
        <v>42363</v>
      </c>
      <c r="C693" t="s">
        <v>56</v>
      </c>
      <c r="D693" t="str">
        <f>IF(COUNTIFS(Verweise!$A$2:$A$4542,Übersicht!$C$7,Verweise!$B$2:$B$4542,B693)=1,"Feiertag",IF(C693="Samstag","",IF(C693="Sonntag","",Übersicht!$C$8)))</f>
        <v>Feiertag</v>
      </c>
    </row>
    <row r="694" spans="1:4" x14ac:dyDescent="0.25">
      <c r="A694" t="s">
        <v>76</v>
      </c>
      <c r="B694" s="48">
        <v>42004</v>
      </c>
      <c r="C694" t="s">
        <v>43</v>
      </c>
      <c r="D694" t="str">
        <f>IF(COUNTIFS(Verweise!$A$2:$A$4542,Übersicht!$C$7,Verweise!$B$2:$B$4542,B694)=1,"Feiertag",IF(C694="Samstag","",IF(C694="Sonntag","",Übersicht!$C$8)))</f>
        <v>Feiertag</v>
      </c>
    </row>
    <row r="695" spans="1:4" x14ac:dyDescent="0.25">
      <c r="A695" t="s">
        <v>76</v>
      </c>
      <c r="B695" s="48">
        <v>42112</v>
      </c>
      <c r="C695" t="s">
        <v>45</v>
      </c>
      <c r="D695" t="str">
        <f>IF(COUNTIFS(Verweise!$A$2:$A$4542,Übersicht!$C$7,Verweise!$B$2:$B$4542,B695)=1,"Feiertag",IF(C695="Samstag","",IF(C695="Sonntag","",Übersicht!$C$8)))</f>
        <v>Feiertag</v>
      </c>
    </row>
    <row r="696" spans="1:4" x14ac:dyDescent="0.25">
      <c r="A696" t="s">
        <v>76</v>
      </c>
      <c r="B696" s="48">
        <v>42114</v>
      </c>
      <c r="C696" t="s">
        <v>46</v>
      </c>
      <c r="D696" t="str">
        <f>IF(COUNTIFS(Verweise!$A$2:$A$4542,Übersicht!$C$7,Verweise!$B$2:$B$4542,B696)=1,"Feiertag",IF(C696="Samstag","",IF(C696="Sonntag","",Übersicht!$C$8)))</f>
        <v>Feiertag</v>
      </c>
    </row>
    <row r="697" spans="1:4" x14ac:dyDescent="0.25">
      <c r="A697" t="s">
        <v>76</v>
      </c>
      <c r="B697" s="48">
        <v>42115</v>
      </c>
      <c r="C697" t="s">
        <v>47</v>
      </c>
      <c r="D697" t="str">
        <f>IF(COUNTIFS(Verweise!$A$2:$A$4542,Übersicht!$C$7,Verweise!$B$2:$B$4542,B697)=1,"Feiertag",IF(C697="Samstag","",IF(C697="Sonntag","",Übersicht!$C$8)))</f>
        <v>Feiertag</v>
      </c>
    </row>
    <row r="698" spans="1:4" x14ac:dyDescent="0.25">
      <c r="A698" t="s">
        <v>76</v>
      </c>
      <c r="B698" s="48">
        <v>42124</v>
      </c>
      <c r="C698" t="s">
        <v>48</v>
      </c>
      <c r="D698" t="str">
        <f>IF(COUNTIFS(Verweise!$A$2:$A$4542,Übersicht!$C$7,Verweise!$B$2:$B$4542,B698)=1,"Feiertag",IF(C698="Samstag","",IF(C698="Sonntag","",Übersicht!$C$8)))</f>
        <v>Feiertag</v>
      </c>
    </row>
    <row r="699" spans="1:4" x14ac:dyDescent="0.25">
      <c r="A699" t="s">
        <v>76</v>
      </c>
      <c r="B699" s="48">
        <v>42153</v>
      </c>
      <c r="C699" t="s">
        <v>49</v>
      </c>
      <c r="D699" t="str">
        <f>IF(COUNTIFS(Verweise!$A$2:$A$4542,Übersicht!$C$7,Verweise!$B$2:$B$4542,B699)=1,"Feiertag",IF(C699="Samstag","",IF(C699="Sonntag","",Übersicht!$C$8)))</f>
        <v>Feiertag</v>
      </c>
    </row>
    <row r="700" spans="1:4" x14ac:dyDescent="0.25">
      <c r="A700" t="s">
        <v>76</v>
      </c>
      <c r="B700" s="48">
        <v>42163</v>
      </c>
      <c r="C700" t="s">
        <v>50</v>
      </c>
      <c r="D700" t="str">
        <f>IF(COUNTIFS(Verweise!$A$2:$A$4542,Übersicht!$C$7,Verweise!$B$2:$B$4542,B700)=1,"Feiertag",IF(C700="Samstag","",IF(C700="Sonntag","",Übersicht!$C$8)))</f>
        <v>Feiertag</v>
      </c>
    </row>
    <row r="701" spans="1:4" x14ac:dyDescent="0.25">
      <c r="A701" t="s">
        <v>76</v>
      </c>
      <c r="B701" s="48">
        <v>42164</v>
      </c>
      <c r="C701" t="s">
        <v>51</v>
      </c>
      <c r="D701" t="str">
        <f>IF(COUNTIFS(Verweise!$A$2:$A$4542,Übersicht!$C$7,Verweise!$B$2:$B$4542,B701)=1,"Feiertag",IF(C701="Samstag","",IF(C701="Sonntag","",Übersicht!$C$8)))</f>
        <v>Feiertag</v>
      </c>
    </row>
    <row r="702" spans="1:4" x14ac:dyDescent="0.25">
      <c r="A702" t="s">
        <v>76</v>
      </c>
      <c r="B702" s="48">
        <v>42279</v>
      </c>
      <c r="C702" t="s">
        <v>53</v>
      </c>
      <c r="D702" t="str">
        <f>IF(COUNTIFS(Verweise!$A$2:$A$4542,Übersicht!$C$7,Verweise!$B$2:$B$4542,B702)=1,"Feiertag",IF(C702="Samstag","",IF(C702="Sonntag","",Übersicht!$C$8)))</f>
        <v>Feiertag</v>
      </c>
    </row>
    <row r="703" spans="1:4" x14ac:dyDescent="0.25">
      <c r="A703" t="s">
        <v>76</v>
      </c>
      <c r="B703" s="48">
        <v>42307</v>
      </c>
      <c r="C703" t="s">
        <v>62</v>
      </c>
      <c r="D703" t="str">
        <f>IF(COUNTIFS(Verweise!$A$2:$A$4542,Übersicht!$C$7,Verweise!$B$2:$B$4542,B703)=1,"Feiertag",IF(C703="Samstag","",IF(C703="Sonntag","",Übersicht!$C$8)))</f>
        <v>Büro</v>
      </c>
    </row>
    <row r="704" spans="1:4" x14ac:dyDescent="0.25">
      <c r="A704" t="s">
        <v>76</v>
      </c>
      <c r="B704" s="48">
        <v>42362</v>
      </c>
      <c r="C704" t="s">
        <v>55</v>
      </c>
      <c r="D704" t="str">
        <f>IF(COUNTIFS(Verweise!$A$2:$A$4542,Übersicht!$C$7,Verweise!$B$2:$B$4542,B704)=1,"Feiertag",IF(C704="Samstag","",IF(C704="Sonntag","",Übersicht!$C$8)))</f>
        <v>Feiertag</v>
      </c>
    </row>
    <row r="705" spans="1:4" x14ac:dyDescent="0.25">
      <c r="A705" t="s">
        <v>76</v>
      </c>
      <c r="B705" s="48">
        <v>42363</v>
      </c>
      <c r="C705" t="s">
        <v>56</v>
      </c>
      <c r="D705" t="str">
        <f>IF(COUNTIFS(Verweise!$A$2:$A$4542,Übersicht!$C$7,Verweise!$B$2:$B$4542,B705)=1,"Feiertag",IF(C705="Samstag","",IF(C705="Sonntag","",Übersicht!$C$8)))</f>
        <v>Feiertag</v>
      </c>
    </row>
    <row r="706" spans="1:4" x14ac:dyDescent="0.25">
      <c r="A706" t="s">
        <v>77</v>
      </c>
      <c r="B706" s="48">
        <v>42004</v>
      </c>
      <c r="C706" t="s">
        <v>43</v>
      </c>
      <c r="D706" t="str">
        <f>IF(COUNTIFS(Verweise!$A$2:$A$4542,Übersicht!$C$7,Verweise!$B$2:$B$4542,B706)=1,"Feiertag",IF(C706="Samstag","",IF(C706="Sonntag","",Übersicht!$C$8)))</f>
        <v>Feiertag</v>
      </c>
    </row>
    <row r="707" spans="1:4" x14ac:dyDescent="0.25">
      <c r="A707" t="s">
        <v>77</v>
      </c>
      <c r="B707" s="48">
        <v>42112</v>
      </c>
      <c r="C707" t="s">
        <v>45</v>
      </c>
      <c r="D707" t="str">
        <f>IF(COUNTIFS(Verweise!$A$2:$A$4542,Übersicht!$C$7,Verweise!$B$2:$B$4542,B707)=1,"Feiertag",IF(C707="Samstag","",IF(C707="Sonntag","",Übersicht!$C$8)))</f>
        <v>Feiertag</v>
      </c>
    </row>
    <row r="708" spans="1:4" x14ac:dyDescent="0.25">
      <c r="A708" t="s">
        <v>77</v>
      </c>
      <c r="B708" s="48">
        <v>42114</v>
      </c>
      <c r="C708" t="s">
        <v>46</v>
      </c>
      <c r="D708" t="str">
        <f>IF(COUNTIFS(Verweise!$A$2:$A$4542,Übersicht!$C$7,Verweise!$B$2:$B$4542,B708)=1,"Feiertag",IF(C708="Samstag","",IF(C708="Sonntag","",Übersicht!$C$8)))</f>
        <v>Feiertag</v>
      </c>
    </row>
    <row r="709" spans="1:4" x14ac:dyDescent="0.25">
      <c r="A709" t="s">
        <v>77</v>
      </c>
      <c r="B709" s="48">
        <v>42115</v>
      </c>
      <c r="C709" t="s">
        <v>47</v>
      </c>
      <c r="D709" t="str">
        <f>IF(COUNTIFS(Verweise!$A$2:$A$4542,Übersicht!$C$7,Verweise!$B$2:$B$4542,B709)=1,"Feiertag",IF(C709="Samstag","",IF(C709="Sonntag","",Übersicht!$C$8)))</f>
        <v>Feiertag</v>
      </c>
    </row>
    <row r="710" spans="1:4" x14ac:dyDescent="0.25">
      <c r="A710" t="s">
        <v>77</v>
      </c>
      <c r="B710" s="48">
        <v>42124</v>
      </c>
      <c r="C710" t="s">
        <v>48</v>
      </c>
      <c r="D710" t="str">
        <f>IF(COUNTIFS(Verweise!$A$2:$A$4542,Übersicht!$C$7,Verweise!$B$2:$B$4542,B710)=1,"Feiertag",IF(C710="Samstag","",IF(C710="Sonntag","",Übersicht!$C$8)))</f>
        <v>Feiertag</v>
      </c>
    </row>
    <row r="711" spans="1:4" x14ac:dyDescent="0.25">
      <c r="A711" t="s">
        <v>77</v>
      </c>
      <c r="B711" s="48">
        <v>42153</v>
      </c>
      <c r="C711" t="s">
        <v>49</v>
      </c>
      <c r="D711" t="str">
        <f>IF(COUNTIFS(Verweise!$A$2:$A$4542,Übersicht!$C$7,Verweise!$B$2:$B$4542,B711)=1,"Feiertag",IF(C711="Samstag","",IF(C711="Sonntag","",Übersicht!$C$8)))</f>
        <v>Feiertag</v>
      </c>
    </row>
    <row r="712" spans="1:4" x14ac:dyDescent="0.25">
      <c r="A712" t="s">
        <v>77</v>
      </c>
      <c r="B712" s="48">
        <v>42163</v>
      </c>
      <c r="C712" t="s">
        <v>50</v>
      </c>
      <c r="D712" t="str">
        <f>IF(COUNTIFS(Verweise!$A$2:$A$4542,Übersicht!$C$7,Verweise!$B$2:$B$4542,B712)=1,"Feiertag",IF(C712="Samstag","",IF(C712="Sonntag","",Übersicht!$C$8)))</f>
        <v>Feiertag</v>
      </c>
    </row>
    <row r="713" spans="1:4" x14ac:dyDescent="0.25">
      <c r="A713" t="s">
        <v>77</v>
      </c>
      <c r="B713" s="48">
        <v>42164</v>
      </c>
      <c r="C713" t="s">
        <v>51</v>
      </c>
      <c r="D713" t="str">
        <f>IF(COUNTIFS(Verweise!$A$2:$A$4542,Übersicht!$C$7,Verweise!$B$2:$B$4542,B713)=1,"Feiertag",IF(C713="Samstag","",IF(C713="Sonntag","",Übersicht!$C$8)))</f>
        <v>Feiertag</v>
      </c>
    </row>
    <row r="714" spans="1:4" x14ac:dyDescent="0.25">
      <c r="A714" t="s">
        <v>77</v>
      </c>
      <c r="B714" s="48">
        <v>42174</v>
      </c>
      <c r="C714" t="s">
        <v>52</v>
      </c>
      <c r="D714" t="str">
        <f>IF(COUNTIFS(Verweise!$A$2:$A$4542,Übersicht!$C$7,Verweise!$B$2:$B$4542,B714)=1,"Feiertag",IF(C714="Samstag","",IF(C714="Sonntag","",Übersicht!$C$8)))</f>
        <v>Feiertag</v>
      </c>
    </row>
    <row r="715" spans="1:4" x14ac:dyDescent="0.25">
      <c r="A715" t="s">
        <v>77</v>
      </c>
      <c r="B715" s="48">
        <v>42279</v>
      </c>
      <c r="C715" t="s">
        <v>53</v>
      </c>
      <c r="D715" t="str">
        <f>IF(COUNTIFS(Verweise!$A$2:$A$4542,Übersicht!$C$7,Verweise!$B$2:$B$4542,B715)=1,"Feiertag",IF(C715="Samstag","",IF(C715="Sonntag","",Übersicht!$C$8)))</f>
        <v>Feiertag</v>
      </c>
    </row>
    <row r="716" spans="1:4" x14ac:dyDescent="0.25">
      <c r="A716" t="s">
        <v>77</v>
      </c>
      <c r="B716" s="48">
        <v>42307</v>
      </c>
      <c r="C716" t="s">
        <v>62</v>
      </c>
      <c r="D716" t="str">
        <f>IF(COUNTIFS(Verweise!$A$2:$A$4542,Übersicht!$C$7,Verweise!$B$2:$B$4542,B716)=1,"Feiertag",IF(C716="Samstag","",IF(C716="Sonntag","",Übersicht!$C$8)))</f>
        <v>Büro</v>
      </c>
    </row>
    <row r="717" spans="1:4" x14ac:dyDescent="0.25">
      <c r="A717" t="s">
        <v>77</v>
      </c>
      <c r="B717" s="48">
        <v>42362</v>
      </c>
      <c r="C717" t="s">
        <v>55</v>
      </c>
      <c r="D717" t="str">
        <f>IF(COUNTIFS(Verweise!$A$2:$A$4542,Übersicht!$C$7,Verweise!$B$2:$B$4542,B717)=1,"Feiertag",IF(C717="Samstag","",IF(C717="Sonntag","",Übersicht!$C$8)))</f>
        <v>Feiertag</v>
      </c>
    </row>
    <row r="718" spans="1:4" x14ac:dyDescent="0.25">
      <c r="A718" t="s">
        <v>77</v>
      </c>
      <c r="B718" s="48">
        <v>42363</v>
      </c>
      <c r="C718" t="s">
        <v>56</v>
      </c>
      <c r="D718" t="str">
        <f>IF(COUNTIFS(Verweise!$A$2:$A$4542,Übersicht!$C$7,Verweise!$B$2:$B$4542,B718)=1,"Feiertag",IF(C718="Samstag","",IF(C718="Sonntag","",Übersicht!$C$8)))</f>
        <v>Feiertag</v>
      </c>
    </row>
    <row r="719" spans="1:4" x14ac:dyDescent="0.25">
      <c r="A719" t="s">
        <v>42</v>
      </c>
      <c r="B719" s="48">
        <v>42369</v>
      </c>
      <c r="C719" t="s">
        <v>43</v>
      </c>
      <c r="D719" t="str">
        <f>IF(COUNTIFS(Verweise!$A$2:$A$4542,Übersicht!$C$7,Verweise!$B$2:$B$4542,B719)=1,"Feiertag",IF(C719="Samstag","",IF(C719="Sonntag","",Übersicht!$C$8)))</f>
        <v>Feiertag</v>
      </c>
    </row>
    <row r="720" spans="1:4" x14ac:dyDescent="0.25">
      <c r="A720" t="s">
        <v>42</v>
      </c>
      <c r="B720" s="48">
        <v>42374</v>
      </c>
      <c r="C720" t="s">
        <v>44</v>
      </c>
      <c r="D720" t="str">
        <f>IF(COUNTIFS(Verweise!$A$2:$A$4542,Übersicht!$C$7,Verweise!$B$2:$B$4542,B720)=1,"Feiertag",IF(C720="Samstag","",IF(C720="Sonntag","",Übersicht!$C$8)))</f>
        <v>Büro</v>
      </c>
    </row>
    <row r="721" spans="1:4" x14ac:dyDescent="0.25">
      <c r="A721" t="s">
        <v>42</v>
      </c>
      <c r="B721" s="48">
        <v>42469</v>
      </c>
      <c r="C721" t="s">
        <v>45</v>
      </c>
      <c r="D721" t="str">
        <f>IF(COUNTIFS(Verweise!$A$2:$A$4542,Übersicht!$C$7,Verweise!$B$2:$B$4542,B721)=1,"Feiertag",IF(C721="Samstag","",IF(C721="Sonntag","",Übersicht!$C$8)))</f>
        <v>Feiertag</v>
      </c>
    </row>
    <row r="722" spans="1:4" x14ac:dyDescent="0.25">
      <c r="A722" t="s">
        <v>42</v>
      </c>
      <c r="B722" s="48">
        <v>42471</v>
      </c>
      <c r="C722" t="s">
        <v>46</v>
      </c>
      <c r="D722" t="str">
        <f>IF(COUNTIFS(Verweise!$A$2:$A$4542,Übersicht!$C$7,Verweise!$B$2:$B$4542,B722)=1,"Feiertag",IF(C722="Samstag","",IF(C722="Sonntag","",Übersicht!$C$8)))</f>
        <v>Feiertag</v>
      </c>
    </row>
    <row r="723" spans="1:4" x14ac:dyDescent="0.25">
      <c r="A723" t="s">
        <v>42</v>
      </c>
      <c r="B723" s="48">
        <v>42472</v>
      </c>
      <c r="C723" t="s">
        <v>47</v>
      </c>
      <c r="D723" t="str">
        <f>IF(COUNTIFS(Verweise!$A$2:$A$4542,Übersicht!$C$7,Verweise!$B$2:$B$4542,B723)=1,"Feiertag",IF(C723="Samstag","",IF(C723="Sonntag","",Übersicht!$C$8)))</f>
        <v>Feiertag</v>
      </c>
    </row>
    <row r="724" spans="1:4" x14ac:dyDescent="0.25">
      <c r="A724" t="s">
        <v>42</v>
      </c>
      <c r="B724" s="48">
        <v>42490</v>
      </c>
      <c r="C724" t="s">
        <v>48</v>
      </c>
      <c r="D724" t="str">
        <f>IF(COUNTIFS(Verweise!$A$2:$A$4542,Übersicht!$C$7,Verweise!$B$2:$B$4542,B724)=1,"Feiertag",IF(C724="Samstag","",IF(C724="Sonntag","",Übersicht!$C$8)))</f>
        <v>Feiertag</v>
      </c>
    </row>
    <row r="725" spans="1:4" x14ac:dyDescent="0.25">
      <c r="A725" t="s">
        <v>42</v>
      </c>
      <c r="B725" s="48">
        <v>42510</v>
      </c>
      <c r="C725" t="s">
        <v>49</v>
      </c>
      <c r="D725" t="str">
        <f>IF(COUNTIFS(Verweise!$A$2:$A$4542,Übersicht!$C$7,Verweise!$B$2:$B$4542,B725)=1,"Feiertag",IF(C725="Samstag","",IF(C725="Sonntag","",Übersicht!$C$8)))</f>
        <v>Feiertag</v>
      </c>
    </row>
    <row r="726" spans="1:4" x14ac:dyDescent="0.25">
      <c r="A726" t="s">
        <v>42</v>
      </c>
      <c r="B726" s="48">
        <v>42520</v>
      </c>
      <c r="C726" t="s">
        <v>50</v>
      </c>
      <c r="D726" t="str">
        <f>IF(COUNTIFS(Verweise!$A$2:$A$4542,Übersicht!$C$7,Verweise!$B$2:$B$4542,B726)=1,"Feiertag",IF(C726="Samstag","",IF(C726="Sonntag","",Übersicht!$C$8)))</f>
        <v>Feiertag</v>
      </c>
    </row>
    <row r="727" spans="1:4" x14ac:dyDescent="0.25">
      <c r="A727" t="s">
        <v>42</v>
      </c>
      <c r="B727" s="48">
        <v>42521</v>
      </c>
      <c r="C727" t="s">
        <v>51</v>
      </c>
      <c r="D727" t="str">
        <f>IF(COUNTIFS(Verweise!$A$2:$A$4542,Übersicht!$C$7,Verweise!$B$2:$B$4542,B727)=1,"Feiertag",IF(C727="Samstag","",IF(C727="Sonntag","",Übersicht!$C$8)))</f>
        <v>Feiertag</v>
      </c>
    </row>
    <row r="728" spans="1:4" x14ac:dyDescent="0.25">
      <c r="A728" t="s">
        <v>42</v>
      </c>
      <c r="B728" s="48">
        <v>42531</v>
      </c>
      <c r="C728" t="s">
        <v>52</v>
      </c>
      <c r="D728" t="str">
        <f>IF(COUNTIFS(Verweise!$A$2:$A$4542,Übersicht!$C$7,Verweise!$B$2:$B$4542,B728)=1,"Feiertag",IF(C728="Samstag","",IF(C728="Sonntag","",Übersicht!$C$8)))</f>
        <v>Feiertag</v>
      </c>
    </row>
    <row r="729" spans="1:4" x14ac:dyDescent="0.25">
      <c r="A729" t="s">
        <v>42</v>
      </c>
      <c r="B729" s="48">
        <v>42645</v>
      </c>
      <c r="C729" t="s">
        <v>53</v>
      </c>
      <c r="D729" t="str">
        <f>IF(COUNTIFS(Verweise!$A$2:$A$4542,Übersicht!$C$7,Verweise!$B$2:$B$4542,B729)=1,"Feiertag",IF(C729="Samstag","",IF(C729="Sonntag","",Übersicht!$C$8)))</f>
        <v>Feiertag</v>
      </c>
    </row>
    <row r="730" spans="1:4" x14ac:dyDescent="0.25">
      <c r="A730" t="s">
        <v>42</v>
      </c>
      <c r="B730" s="48">
        <v>42674</v>
      </c>
      <c r="C730" t="s">
        <v>54</v>
      </c>
      <c r="D730" t="str">
        <f>IF(COUNTIFS(Verweise!$A$2:$A$4542,Übersicht!$C$7,Verweise!$B$2:$B$4542,B730)=1,"Feiertag",IF(C730="Samstag","",IF(C730="Sonntag","",Übersicht!$C$8)))</f>
        <v>Feiertag</v>
      </c>
    </row>
    <row r="731" spans="1:4" x14ac:dyDescent="0.25">
      <c r="A731" t="s">
        <v>42</v>
      </c>
      <c r="B731" s="48">
        <v>42728</v>
      </c>
      <c r="C731" t="s">
        <v>55</v>
      </c>
      <c r="D731" t="str">
        <f>IF(COUNTIFS(Verweise!$A$2:$A$4542,Übersicht!$C$7,Verweise!$B$2:$B$4542,B731)=1,"Feiertag",IF(C731="Samstag","",IF(C731="Sonntag","",Übersicht!$C$8)))</f>
        <v>Feiertag</v>
      </c>
    </row>
    <row r="732" spans="1:4" x14ac:dyDescent="0.25">
      <c r="A732" t="s">
        <v>42</v>
      </c>
      <c r="B732" s="48">
        <v>42729</v>
      </c>
      <c r="C732" t="s">
        <v>56</v>
      </c>
      <c r="D732" t="str">
        <f>IF(COUNTIFS(Verweise!$A$2:$A$4542,Übersicht!$C$7,Verweise!$B$2:$B$4542,B732)=1,"Feiertag",IF(C732="Samstag","",IF(C732="Sonntag","",Übersicht!$C$8)))</f>
        <v>Feiertag</v>
      </c>
    </row>
    <row r="733" spans="1:4" x14ac:dyDescent="0.25">
      <c r="A733" t="s">
        <v>57</v>
      </c>
      <c r="B733" s="48">
        <v>42369</v>
      </c>
      <c r="C733" t="s">
        <v>43</v>
      </c>
      <c r="D733" t="str">
        <f>IF(COUNTIFS(Verweise!$A$2:$A$4542,Übersicht!$C$7,Verweise!$B$2:$B$4542,B733)=1,"Feiertag",IF(C733="Samstag","",IF(C733="Sonntag","",Übersicht!$C$8)))</f>
        <v>Feiertag</v>
      </c>
    </row>
    <row r="734" spans="1:4" x14ac:dyDescent="0.25">
      <c r="A734" t="s">
        <v>57</v>
      </c>
      <c r="B734" s="48">
        <v>42374</v>
      </c>
      <c r="C734" t="s">
        <v>44</v>
      </c>
      <c r="D734" t="str">
        <f>IF(COUNTIFS(Verweise!$A$2:$A$4542,Übersicht!$C$7,Verweise!$B$2:$B$4542,B734)=1,"Feiertag",IF(C734="Samstag","",IF(C734="Sonntag","",Übersicht!$C$8)))</f>
        <v>Büro</v>
      </c>
    </row>
    <row r="735" spans="1:4" x14ac:dyDescent="0.25">
      <c r="A735" t="s">
        <v>57</v>
      </c>
      <c r="B735" s="48">
        <v>42469</v>
      </c>
      <c r="C735" t="s">
        <v>45</v>
      </c>
      <c r="D735" t="str">
        <f>IF(COUNTIFS(Verweise!$A$2:$A$4542,Übersicht!$C$7,Verweise!$B$2:$B$4542,B735)=1,"Feiertag",IF(C735="Samstag","",IF(C735="Sonntag","",Übersicht!$C$8)))</f>
        <v>Feiertag</v>
      </c>
    </row>
    <row r="736" spans="1:4" x14ac:dyDescent="0.25">
      <c r="A736" t="s">
        <v>57</v>
      </c>
      <c r="B736" s="48">
        <v>42471</v>
      </c>
      <c r="C736" t="s">
        <v>46</v>
      </c>
      <c r="D736" t="str">
        <f>IF(COUNTIFS(Verweise!$A$2:$A$4542,Übersicht!$C$7,Verweise!$B$2:$B$4542,B736)=1,"Feiertag",IF(C736="Samstag","",IF(C736="Sonntag","",Übersicht!$C$8)))</f>
        <v>Feiertag</v>
      </c>
    </row>
    <row r="737" spans="1:4" x14ac:dyDescent="0.25">
      <c r="A737" t="s">
        <v>57</v>
      </c>
      <c r="B737" s="48">
        <v>42472</v>
      </c>
      <c r="C737" t="s">
        <v>47</v>
      </c>
      <c r="D737" t="str">
        <f>IF(COUNTIFS(Verweise!$A$2:$A$4542,Übersicht!$C$7,Verweise!$B$2:$B$4542,B737)=1,"Feiertag",IF(C737="Samstag","",IF(C737="Sonntag","",Übersicht!$C$8)))</f>
        <v>Feiertag</v>
      </c>
    </row>
    <row r="738" spans="1:4" x14ac:dyDescent="0.25">
      <c r="A738" t="s">
        <v>57</v>
      </c>
      <c r="B738" s="48">
        <v>42490</v>
      </c>
      <c r="C738" t="s">
        <v>48</v>
      </c>
      <c r="D738" t="str">
        <f>IF(COUNTIFS(Verweise!$A$2:$A$4542,Übersicht!$C$7,Verweise!$B$2:$B$4542,B738)=1,"Feiertag",IF(C738="Samstag","",IF(C738="Sonntag","",Übersicht!$C$8)))</f>
        <v>Feiertag</v>
      </c>
    </row>
    <row r="739" spans="1:4" x14ac:dyDescent="0.25">
      <c r="A739" t="s">
        <v>57</v>
      </c>
      <c r="B739" s="48">
        <v>42510</v>
      </c>
      <c r="C739" t="s">
        <v>49</v>
      </c>
      <c r="D739" t="str">
        <f>IF(COUNTIFS(Verweise!$A$2:$A$4542,Übersicht!$C$7,Verweise!$B$2:$B$4542,B739)=1,"Feiertag",IF(C739="Samstag","",IF(C739="Sonntag","",Übersicht!$C$8)))</f>
        <v>Feiertag</v>
      </c>
    </row>
    <row r="740" spans="1:4" x14ac:dyDescent="0.25">
      <c r="A740" t="s">
        <v>57</v>
      </c>
      <c r="B740" s="48">
        <v>42520</v>
      </c>
      <c r="C740" t="s">
        <v>50</v>
      </c>
      <c r="D740" t="str">
        <f>IF(COUNTIFS(Verweise!$A$2:$A$4542,Übersicht!$C$7,Verweise!$B$2:$B$4542,B740)=1,"Feiertag",IF(C740="Samstag","",IF(C740="Sonntag","",Übersicht!$C$8)))</f>
        <v>Feiertag</v>
      </c>
    </row>
    <row r="741" spans="1:4" x14ac:dyDescent="0.25">
      <c r="A741" t="s">
        <v>57</v>
      </c>
      <c r="B741" s="48">
        <v>42521</v>
      </c>
      <c r="C741" t="s">
        <v>51</v>
      </c>
      <c r="D741" t="str">
        <f>IF(COUNTIFS(Verweise!$A$2:$A$4542,Übersicht!$C$7,Verweise!$B$2:$B$4542,B741)=1,"Feiertag",IF(C741="Samstag","",IF(C741="Sonntag","",Übersicht!$C$8)))</f>
        <v>Feiertag</v>
      </c>
    </row>
    <row r="742" spans="1:4" x14ac:dyDescent="0.25">
      <c r="A742" t="s">
        <v>57</v>
      </c>
      <c r="B742" s="48">
        <v>42531</v>
      </c>
      <c r="C742" t="s">
        <v>52</v>
      </c>
      <c r="D742" t="str">
        <f>IF(COUNTIFS(Verweise!$A$2:$A$4542,Übersicht!$C$7,Verweise!$B$2:$B$4542,B742)=1,"Feiertag",IF(C742="Samstag","",IF(C742="Sonntag","",Übersicht!$C$8)))</f>
        <v>Feiertag</v>
      </c>
    </row>
    <row r="743" spans="1:4" x14ac:dyDescent="0.25">
      <c r="A743" t="s">
        <v>57</v>
      </c>
      <c r="B743" s="48">
        <v>42645</v>
      </c>
      <c r="C743" t="s">
        <v>53</v>
      </c>
      <c r="D743" t="str">
        <f>IF(COUNTIFS(Verweise!$A$2:$A$4542,Übersicht!$C$7,Verweise!$B$2:$B$4542,B743)=1,"Feiertag",IF(C743="Samstag","",IF(C743="Sonntag","",Übersicht!$C$8)))</f>
        <v>Feiertag</v>
      </c>
    </row>
    <row r="744" spans="1:4" x14ac:dyDescent="0.25">
      <c r="A744" t="s">
        <v>57</v>
      </c>
      <c r="B744" s="48">
        <v>42674</v>
      </c>
      <c r="C744" t="s">
        <v>54</v>
      </c>
      <c r="D744" t="str">
        <f>IF(COUNTIFS(Verweise!$A$2:$A$4542,Übersicht!$C$7,Verweise!$B$2:$B$4542,B744)=1,"Feiertag",IF(C744="Samstag","",IF(C744="Sonntag","",Übersicht!$C$8)))</f>
        <v>Feiertag</v>
      </c>
    </row>
    <row r="745" spans="1:4" x14ac:dyDescent="0.25">
      <c r="A745" t="s">
        <v>57</v>
      </c>
      <c r="B745" s="48">
        <v>42728</v>
      </c>
      <c r="C745" t="s">
        <v>55</v>
      </c>
      <c r="D745" t="str">
        <f>IF(COUNTIFS(Verweise!$A$2:$A$4542,Übersicht!$C$7,Verweise!$B$2:$B$4542,B745)=1,"Feiertag",IF(C745="Samstag","",IF(C745="Sonntag","",Übersicht!$C$8)))</f>
        <v>Feiertag</v>
      </c>
    </row>
    <row r="746" spans="1:4" x14ac:dyDescent="0.25">
      <c r="A746" t="s">
        <v>57</v>
      </c>
      <c r="B746" s="48">
        <v>42729</v>
      </c>
      <c r="C746" t="s">
        <v>56</v>
      </c>
      <c r="D746" t="str">
        <f>IF(COUNTIFS(Verweise!$A$2:$A$4542,Übersicht!$C$7,Verweise!$B$2:$B$4542,B746)=1,"Feiertag",IF(C746="Samstag","",IF(C746="Sonntag","",Übersicht!$C$8)))</f>
        <v>Feiertag</v>
      </c>
    </row>
    <row r="747" spans="1:4" x14ac:dyDescent="0.25">
      <c r="A747" t="s">
        <v>58</v>
      </c>
      <c r="B747" s="48">
        <v>42369</v>
      </c>
      <c r="C747" t="s">
        <v>43</v>
      </c>
      <c r="D747" t="str">
        <f>IF(COUNTIFS(Verweise!$A$2:$A$4542,Übersicht!$C$7,Verweise!$B$2:$B$4542,B747)=1,"Feiertag",IF(C747="Samstag","",IF(C747="Sonntag","",Übersicht!$C$8)))</f>
        <v>Feiertag</v>
      </c>
    </row>
    <row r="748" spans="1:4" x14ac:dyDescent="0.25">
      <c r="A748" t="s">
        <v>58</v>
      </c>
      <c r="B748" s="48">
        <v>42374</v>
      </c>
      <c r="C748" t="s">
        <v>44</v>
      </c>
      <c r="D748" t="str">
        <f>IF(COUNTIFS(Verweise!$A$2:$A$4542,Übersicht!$C$7,Verweise!$B$2:$B$4542,B748)=1,"Feiertag",IF(C748="Samstag","",IF(C748="Sonntag","",Übersicht!$C$8)))</f>
        <v>Büro</v>
      </c>
    </row>
    <row r="749" spans="1:4" x14ac:dyDescent="0.25">
      <c r="A749" t="s">
        <v>58</v>
      </c>
      <c r="B749" s="48">
        <v>42469</v>
      </c>
      <c r="C749" t="s">
        <v>45</v>
      </c>
      <c r="D749" t="str">
        <f>IF(COUNTIFS(Verweise!$A$2:$A$4542,Übersicht!$C$7,Verweise!$B$2:$B$4542,B749)=1,"Feiertag",IF(C749="Samstag","",IF(C749="Sonntag","",Übersicht!$C$8)))</f>
        <v>Feiertag</v>
      </c>
    </row>
    <row r="750" spans="1:4" x14ac:dyDescent="0.25">
      <c r="A750" t="s">
        <v>58</v>
      </c>
      <c r="B750" s="48">
        <v>42471</v>
      </c>
      <c r="C750" t="s">
        <v>46</v>
      </c>
      <c r="D750" t="str">
        <f>IF(COUNTIFS(Verweise!$A$2:$A$4542,Übersicht!$C$7,Verweise!$B$2:$B$4542,B750)=1,"Feiertag",IF(C750="Samstag","",IF(C750="Sonntag","",Übersicht!$C$8)))</f>
        <v>Feiertag</v>
      </c>
    </row>
    <row r="751" spans="1:4" x14ac:dyDescent="0.25">
      <c r="A751" t="s">
        <v>58</v>
      </c>
      <c r="B751" s="48">
        <v>42472</v>
      </c>
      <c r="C751" t="s">
        <v>47</v>
      </c>
      <c r="D751" t="str">
        <f>IF(COUNTIFS(Verweise!$A$2:$A$4542,Übersicht!$C$7,Verweise!$B$2:$B$4542,B751)=1,"Feiertag",IF(C751="Samstag","",IF(C751="Sonntag","",Übersicht!$C$8)))</f>
        <v>Feiertag</v>
      </c>
    </row>
    <row r="752" spans="1:4" x14ac:dyDescent="0.25">
      <c r="A752" t="s">
        <v>58</v>
      </c>
      <c r="B752" s="48">
        <v>42490</v>
      </c>
      <c r="C752" t="s">
        <v>48</v>
      </c>
      <c r="D752" t="str">
        <f>IF(COUNTIFS(Verweise!$A$2:$A$4542,Übersicht!$C$7,Verweise!$B$2:$B$4542,B752)=1,"Feiertag",IF(C752="Samstag","",IF(C752="Sonntag","",Übersicht!$C$8)))</f>
        <v>Feiertag</v>
      </c>
    </row>
    <row r="753" spans="1:4" x14ac:dyDescent="0.25">
      <c r="A753" t="s">
        <v>58</v>
      </c>
      <c r="B753" s="48">
        <v>42510</v>
      </c>
      <c r="C753" t="s">
        <v>49</v>
      </c>
      <c r="D753" t="str">
        <f>IF(COUNTIFS(Verweise!$A$2:$A$4542,Übersicht!$C$7,Verweise!$B$2:$B$4542,B753)=1,"Feiertag",IF(C753="Samstag","",IF(C753="Sonntag","",Übersicht!$C$8)))</f>
        <v>Feiertag</v>
      </c>
    </row>
    <row r="754" spans="1:4" x14ac:dyDescent="0.25">
      <c r="A754" t="s">
        <v>58</v>
      </c>
      <c r="B754" s="48">
        <v>42520</v>
      </c>
      <c r="C754" t="s">
        <v>50</v>
      </c>
      <c r="D754" t="str">
        <f>IF(COUNTIFS(Verweise!$A$2:$A$4542,Übersicht!$C$7,Verweise!$B$2:$B$4542,B754)=1,"Feiertag",IF(C754="Samstag","",IF(C754="Sonntag","",Übersicht!$C$8)))</f>
        <v>Feiertag</v>
      </c>
    </row>
    <row r="755" spans="1:4" x14ac:dyDescent="0.25">
      <c r="A755" t="s">
        <v>58</v>
      </c>
      <c r="B755" s="48">
        <v>42521</v>
      </c>
      <c r="C755" t="s">
        <v>51</v>
      </c>
      <c r="D755" t="str">
        <f>IF(COUNTIFS(Verweise!$A$2:$A$4542,Übersicht!$C$7,Verweise!$B$2:$B$4542,B755)=1,"Feiertag",IF(C755="Samstag","",IF(C755="Sonntag","",Übersicht!$C$8)))</f>
        <v>Feiertag</v>
      </c>
    </row>
    <row r="756" spans="1:4" x14ac:dyDescent="0.25">
      <c r="A756" t="s">
        <v>58</v>
      </c>
      <c r="B756" s="48">
        <v>42531</v>
      </c>
      <c r="C756" t="s">
        <v>52</v>
      </c>
      <c r="D756" t="str">
        <f>IF(COUNTIFS(Verweise!$A$2:$A$4542,Übersicht!$C$7,Verweise!$B$2:$B$4542,B756)=1,"Feiertag",IF(C756="Samstag","",IF(C756="Sonntag","",Übersicht!$C$8)))</f>
        <v>Feiertag</v>
      </c>
    </row>
    <row r="757" spans="1:4" x14ac:dyDescent="0.25">
      <c r="A757" t="s">
        <v>58</v>
      </c>
      <c r="B757" s="48">
        <v>42596</v>
      </c>
      <c r="C757" t="s">
        <v>59</v>
      </c>
      <c r="D757" t="str">
        <f>IF(COUNTIFS(Verweise!$A$2:$A$4542,Übersicht!$C$7,Verweise!$B$2:$B$4542,B757)=1,"Feiertag",IF(C757="Samstag","",IF(C757="Sonntag","",Übersicht!$C$8)))</f>
        <v>Büro</v>
      </c>
    </row>
    <row r="758" spans="1:4" x14ac:dyDescent="0.25">
      <c r="A758" t="s">
        <v>58</v>
      </c>
      <c r="B758" s="48">
        <v>42645</v>
      </c>
      <c r="C758" t="s">
        <v>53</v>
      </c>
      <c r="D758" t="str">
        <f>IF(COUNTIFS(Verweise!$A$2:$A$4542,Übersicht!$C$7,Verweise!$B$2:$B$4542,B758)=1,"Feiertag",IF(C758="Samstag","",IF(C758="Sonntag","",Übersicht!$C$8)))</f>
        <v>Feiertag</v>
      </c>
    </row>
    <row r="759" spans="1:4" x14ac:dyDescent="0.25">
      <c r="A759" t="s">
        <v>58</v>
      </c>
      <c r="B759" s="48">
        <v>42674</v>
      </c>
      <c r="C759" t="s">
        <v>54</v>
      </c>
      <c r="D759" t="str">
        <f>IF(COUNTIFS(Verweise!$A$2:$A$4542,Übersicht!$C$7,Verweise!$B$2:$B$4542,B759)=1,"Feiertag",IF(C759="Samstag","",IF(C759="Sonntag","",Übersicht!$C$8)))</f>
        <v>Feiertag</v>
      </c>
    </row>
    <row r="760" spans="1:4" x14ac:dyDescent="0.25">
      <c r="A760" t="s">
        <v>58</v>
      </c>
      <c r="B760" s="48">
        <v>42728</v>
      </c>
      <c r="C760" t="s">
        <v>55</v>
      </c>
      <c r="D760" t="str">
        <f>IF(COUNTIFS(Verweise!$A$2:$A$4542,Übersicht!$C$7,Verweise!$B$2:$B$4542,B760)=1,"Feiertag",IF(C760="Samstag","",IF(C760="Sonntag","",Übersicht!$C$8)))</f>
        <v>Feiertag</v>
      </c>
    </row>
    <row r="761" spans="1:4" x14ac:dyDescent="0.25">
      <c r="A761" t="s">
        <v>58</v>
      </c>
      <c r="B761" s="48">
        <v>42729</v>
      </c>
      <c r="C761" t="s">
        <v>56</v>
      </c>
      <c r="D761" t="str">
        <f>IF(COUNTIFS(Verweise!$A$2:$A$4542,Übersicht!$C$7,Verweise!$B$2:$B$4542,B761)=1,"Feiertag",IF(C761="Samstag","",IF(C761="Sonntag","",Übersicht!$C$8)))</f>
        <v>Feiertag</v>
      </c>
    </row>
    <row r="762" spans="1:4" x14ac:dyDescent="0.25">
      <c r="A762" t="s">
        <v>60</v>
      </c>
      <c r="B762" s="48">
        <v>42369</v>
      </c>
      <c r="C762" t="s">
        <v>43</v>
      </c>
      <c r="D762" t="str">
        <f>IF(COUNTIFS(Verweise!$A$2:$A$4542,Übersicht!$C$7,Verweise!$B$2:$B$4542,B762)=1,"Feiertag",IF(C762="Samstag","",IF(C762="Sonntag","",Übersicht!$C$8)))</f>
        <v>Feiertag</v>
      </c>
    </row>
    <row r="763" spans="1:4" x14ac:dyDescent="0.25">
      <c r="A763" t="s">
        <v>60</v>
      </c>
      <c r="B763" s="48">
        <v>42469</v>
      </c>
      <c r="C763" t="s">
        <v>45</v>
      </c>
      <c r="D763" t="str">
        <f>IF(COUNTIFS(Verweise!$A$2:$A$4542,Übersicht!$C$7,Verweise!$B$2:$B$4542,B763)=1,"Feiertag",IF(C763="Samstag","",IF(C763="Sonntag","",Übersicht!$C$8)))</f>
        <v>Feiertag</v>
      </c>
    </row>
    <row r="764" spans="1:4" x14ac:dyDescent="0.25">
      <c r="A764" t="s">
        <v>60</v>
      </c>
      <c r="B764" s="48">
        <v>42471</v>
      </c>
      <c r="C764" t="s">
        <v>46</v>
      </c>
      <c r="D764" t="str">
        <f>IF(COUNTIFS(Verweise!$A$2:$A$4542,Übersicht!$C$7,Verweise!$B$2:$B$4542,B764)=1,"Feiertag",IF(C764="Samstag","",IF(C764="Sonntag","",Übersicht!$C$8)))</f>
        <v>Feiertag</v>
      </c>
    </row>
    <row r="765" spans="1:4" x14ac:dyDescent="0.25">
      <c r="A765" t="s">
        <v>60</v>
      </c>
      <c r="B765" s="48">
        <v>42472</v>
      </c>
      <c r="C765" t="s">
        <v>47</v>
      </c>
      <c r="D765" t="str">
        <f>IF(COUNTIFS(Verweise!$A$2:$A$4542,Übersicht!$C$7,Verweise!$B$2:$B$4542,B765)=1,"Feiertag",IF(C765="Samstag","",IF(C765="Sonntag","",Übersicht!$C$8)))</f>
        <v>Feiertag</v>
      </c>
    </row>
    <row r="766" spans="1:4" x14ac:dyDescent="0.25">
      <c r="A766" t="s">
        <v>60</v>
      </c>
      <c r="B766" s="48">
        <v>42490</v>
      </c>
      <c r="C766" t="s">
        <v>48</v>
      </c>
      <c r="D766" t="str">
        <f>IF(COUNTIFS(Verweise!$A$2:$A$4542,Übersicht!$C$7,Verweise!$B$2:$B$4542,B766)=1,"Feiertag",IF(C766="Samstag","",IF(C766="Sonntag","",Übersicht!$C$8)))</f>
        <v>Feiertag</v>
      </c>
    </row>
    <row r="767" spans="1:4" x14ac:dyDescent="0.25">
      <c r="A767" t="s">
        <v>60</v>
      </c>
      <c r="B767" s="48">
        <v>42510</v>
      </c>
      <c r="C767" t="s">
        <v>49</v>
      </c>
      <c r="D767" t="str">
        <f>IF(COUNTIFS(Verweise!$A$2:$A$4542,Übersicht!$C$7,Verweise!$B$2:$B$4542,B767)=1,"Feiertag",IF(C767="Samstag","",IF(C767="Sonntag","",Übersicht!$C$8)))</f>
        <v>Feiertag</v>
      </c>
    </row>
    <row r="768" spans="1:4" x14ac:dyDescent="0.25">
      <c r="A768" t="s">
        <v>60</v>
      </c>
      <c r="B768" s="48">
        <v>42520</v>
      </c>
      <c r="C768" t="s">
        <v>50</v>
      </c>
      <c r="D768" t="str">
        <f>IF(COUNTIFS(Verweise!$A$2:$A$4542,Übersicht!$C$7,Verweise!$B$2:$B$4542,B768)=1,"Feiertag",IF(C768="Samstag","",IF(C768="Sonntag","",Übersicht!$C$8)))</f>
        <v>Feiertag</v>
      </c>
    </row>
    <row r="769" spans="1:4" x14ac:dyDescent="0.25">
      <c r="A769" t="s">
        <v>60</v>
      </c>
      <c r="B769" s="48">
        <v>42521</v>
      </c>
      <c r="C769" t="s">
        <v>51</v>
      </c>
      <c r="D769" t="str">
        <f>IF(COUNTIFS(Verweise!$A$2:$A$4542,Übersicht!$C$7,Verweise!$B$2:$B$4542,B769)=1,"Feiertag",IF(C769="Samstag","",IF(C769="Sonntag","",Übersicht!$C$8)))</f>
        <v>Feiertag</v>
      </c>
    </row>
    <row r="770" spans="1:4" x14ac:dyDescent="0.25">
      <c r="A770" t="s">
        <v>60</v>
      </c>
      <c r="B770" s="48">
        <v>42645</v>
      </c>
      <c r="C770" t="s">
        <v>53</v>
      </c>
      <c r="D770" t="str">
        <f>IF(COUNTIFS(Verweise!$A$2:$A$4542,Übersicht!$C$7,Verweise!$B$2:$B$4542,B770)=1,"Feiertag",IF(C770="Samstag","",IF(C770="Sonntag","",Übersicht!$C$8)))</f>
        <v>Feiertag</v>
      </c>
    </row>
    <row r="771" spans="1:4" x14ac:dyDescent="0.25">
      <c r="A771" t="s">
        <v>60</v>
      </c>
      <c r="B771" s="48">
        <v>42728</v>
      </c>
      <c r="C771" t="s">
        <v>55</v>
      </c>
      <c r="D771" t="str">
        <f>IF(COUNTIFS(Verweise!$A$2:$A$4542,Übersicht!$C$7,Verweise!$B$2:$B$4542,B771)=1,"Feiertag",IF(C771="Samstag","",IF(C771="Sonntag","",Übersicht!$C$8)))</f>
        <v>Feiertag</v>
      </c>
    </row>
    <row r="772" spans="1:4" x14ac:dyDescent="0.25">
      <c r="A772" t="s">
        <v>60</v>
      </c>
      <c r="B772" s="48">
        <v>42729</v>
      </c>
      <c r="C772" t="s">
        <v>56</v>
      </c>
      <c r="D772" t="str">
        <f>IF(COUNTIFS(Verweise!$A$2:$A$4542,Übersicht!$C$7,Verweise!$B$2:$B$4542,B772)=1,"Feiertag",IF(C772="Samstag","",IF(C772="Sonntag","",Übersicht!$C$8)))</f>
        <v>Feiertag</v>
      </c>
    </row>
    <row r="773" spans="1:4" x14ac:dyDescent="0.25">
      <c r="A773" t="s">
        <v>61</v>
      </c>
      <c r="B773" s="48">
        <v>42369</v>
      </c>
      <c r="C773" t="s">
        <v>43</v>
      </c>
      <c r="D773" t="str">
        <f>IF(COUNTIFS(Verweise!$A$2:$A$4542,Übersicht!$C$7,Verweise!$B$2:$B$4542,B773)=1,"Feiertag",IF(C773="Samstag","",IF(C773="Sonntag","",Übersicht!$C$8)))</f>
        <v>Feiertag</v>
      </c>
    </row>
    <row r="774" spans="1:4" x14ac:dyDescent="0.25">
      <c r="A774" t="s">
        <v>61</v>
      </c>
      <c r="B774" s="48">
        <v>42469</v>
      </c>
      <c r="C774" t="s">
        <v>45</v>
      </c>
      <c r="D774" t="str">
        <f>IF(COUNTIFS(Verweise!$A$2:$A$4542,Übersicht!$C$7,Verweise!$B$2:$B$4542,B774)=1,"Feiertag",IF(C774="Samstag","",IF(C774="Sonntag","",Übersicht!$C$8)))</f>
        <v>Feiertag</v>
      </c>
    </row>
    <row r="775" spans="1:4" x14ac:dyDescent="0.25">
      <c r="A775" t="s">
        <v>61</v>
      </c>
      <c r="B775" s="48">
        <v>42471</v>
      </c>
      <c r="C775" t="s">
        <v>46</v>
      </c>
      <c r="D775" t="str">
        <f>IF(COUNTIFS(Verweise!$A$2:$A$4542,Übersicht!$C$7,Verweise!$B$2:$B$4542,B775)=1,"Feiertag",IF(C775="Samstag","",IF(C775="Sonntag","",Übersicht!$C$8)))</f>
        <v>Feiertag</v>
      </c>
    </row>
    <row r="776" spans="1:4" x14ac:dyDescent="0.25">
      <c r="A776" t="s">
        <v>61</v>
      </c>
      <c r="B776" s="48">
        <v>42472</v>
      </c>
      <c r="C776" t="s">
        <v>47</v>
      </c>
      <c r="D776" t="str">
        <f>IF(COUNTIFS(Verweise!$A$2:$A$4542,Übersicht!$C$7,Verweise!$B$2:$B$4542,B776)=1,"Feiertag",IF(C776="Samstag","",IF(C776="Sonntag","",Übersicht!$C$8)))</f>
        <v>Feiertag</v>
      </c>
    </row>
    <row r="777" spans="1:4" x14ac:dyDescent="0.25">
      <c r="A777" t="s">
        <v>61</v>
      </c>
      <c r="B777" s="48">
        <v>42490</v>
      </c>
      <c r="C777" t="s">
        <v>48</v>
      </c>
      <c r="D777" t="str">
        <f>IF(COUNTIFS(Verweise!$A$2:$A$4542,Übersicht!$C$7,Verweise!$B$2:$B$4542,B777)=1,"Feiertag",IF(C777="Samstag","",IF(C777="Sonntag","",Übersicht!$C$8)))</f>
        <v>Feiertag</v>
      </c>
    </row>
    <row r="778" spans="1:4" x14ac:dyDescent="0.25">
      <c r="A778" t="s">
        <v>61</v>
      </c>
      <c r="B778" s="48">
        <v>42510</v>
      </c>
      <c r="C778" t="s">
        <v>49</v>
      </c>
      <c r="D778" t="str">
        <f>IF(COUNTIFS(Verweise!$A$2:$A$4542,Übersicht!$C$7,Verweise!$B$2:$B$4542,B778)=1,"Feiertag",IF(C778="Samstag","",IF(C778="Sonntag","",Übersicht!$C$8)))</f>
        <v>Feiertag</v>
      </c>
    </row>
    <row r="779" spans="1:4" x14ac:dyDescent="0.25">
      <c r="A779" t="s">
        <v>61</v>
      </c>
      <c r="B779" s="48">
        <v>42520</v>
      </c>
      <c r="C779" t="s">
        <v>50</v>
      </c>
      <c r="D779" t="str">
        <f>IF(COUNTIFS(Verweise!$A$2:$A$4542,Übersicht!$C$7,Verweise!$B$2:$B$4542,B779)=1,"Feiertag",IF(C779="Samstag","",IF(C779="Sonntag","",Übersicht!$C$8)))</f>
        <v>Feiertag</v>
      </c>
    </row>
    <row r="780" spans="1:4" x14ac:dyDescent="0.25">
      <c r="A780" t="s">
        <v>61</v>
      </c>
      <c r="B780" s="48">
        <v>42521</v>
      </c>
      <c r="C780" t="s">
        <v>51</v>
      </c>
      <c r="D780" t="str">
        <f>IF(COUNTIFS(Verweise!$A$2:$A$4542,Übersicht!$C$7,Verweise!$B$2:$B$4542,B780)=1,"Feiertag",IF(C780="Samstag","",IF(C780="Sonntag","",Übersicht!$C$8)))</f>
        <v>Feiertag</v>
      </c>
    </row>
    <row r="781" spans="1:4" x14ac:dyDescent="0.25">
      <c r="A781" t="s">
        <v>61</v>
      </c>
      <c r="B781" s="48">
        <v>42645</v>
      </c>
      <c r="C781" t="s">
        <v>53</v>
      </c>
      <c r="D781" t="str">
        <f>IF(COUNTIFS(Verweise!$A$2:$A$4542,Übersicht!$C$7,Verweise!$B$2:$B$4542,B781)=1,"Feiertag",IF(C781="Samstag","",IF(C781="Sonntag","",Übersicht!$C$8)))</f>
        <v>Feiertag</v>
      </c>
    </row>
    <row r="782" spans="1:4" x14ac:dyDescent="0.25">
      <c r="A782" t="s">
        <v>61</v>
      </c>
      <c r="B782" s="48">
        <v>42673</v>
      </c>
      <c r="C782" t="s">
        <v>62</v>
      </c>
      <c r="D782" t="str">
        <f>IF(COUNTIFS(Verweise!$A$2:$A$4542,Übersicht!$C$7,Verweise!$B$2:$B$4542,B782)=1,"Feiertag",IF(C782="Samstag","",IF(C782="Sonntag","",Übersicht!$C$8)))</f>
        <v>Büro</v>
      </c>
    </row>
    <row r="783" spans="1:4" x14ac:dyDescent="0.25">
      <c r="A783" t="s">
        <v>61</v>
      </c>
      <c r="B783" s="48">
        <v>42728</v>
      </c>
      <c r="C783" t="s">
        <v>55</v>
      </c>
      <c r="D783" t="str">
        <f>IF(COUNTIFS(Verweise!$A$2:$A$4542,Übersicht!$C$7,Verweise!$B$2:$B$4542,B783)=1,"Feiertag",IF(C783="Samstag","",IF(C783="Sonntag","",Übersicht!$C$8)))</f>
        <v>Feiertag</v>
      </c>
    </row>
    <row r="784" spans="1:4" x14ac:dyDescent="0.25">
      <c r="A784" t="s">
        <v>61</v>
      </c>
      <c r="B784" s="48">
        <v>42729</v>
      </c>
      <c r="C784" t="s">
        <v>56</v>
      </c>
      <c r="D784" t="str">
        <f>IF(COUNTIFS(Verweise!$A$2:$A$4542,Übersicht!$C$7,Verweise!$B$2:$B$4542,B784)=1,"Feiertag",IF(C784="Samstag","",IF(C784="Sonntag","",Übersicht!$C$8)))</f>
        <v>Feiertag</v>
      </c>
    </row>
    <row r="785" spans="1:4" x14ac:dyDescent="0.25">
      <c r="A785" t="s">
        <v>63</v>
      </c>
      <c r="B785" s="48">
        <v>42369</v>
      </c>
      <c r="C785" t="s">
        <v>43</v>
      </c>
      <c r="D785" t="str">
        <f>IF(COUNTIFS(Verweise!$A$2:$A$4542,Übersicht!$C$7,Verweise!$B$2:$B$4542,B785)=1,"Feiertag",IF(C785="Samstag","",IF(C785="Sonntag","",Übersicht!$C$8)))</f>
        <v>Feiertag</v>
      </c>
    </row>
    <row r="786" spans="1:4" x14ac:dyDescent="0.25">
      <c r="A786" t="s">
        <v>63</v>
      </c>
      <c r="B786" s="48">
        <v>42469</v>
      </c>
      <c r="C786" t="s">
        <v>45</v>
      </c>
      <c r="D786" t="str">
        <f>IF(COUNTIFS(Verweise!$A$2:$A$4542,Übersicht!$C$7,Verweise!$B$2:$B$4542,B786)=1,"Feiertag",IF(C786="Samstag","",IF(C786="Sonntag","",Übersicht!$C$8)))</f>
        <v>Feiertag</v>
      </c>
    </row>
    <row r="787" spans="1:4" x14ac:dyDescent="0.25">
      <c r="A787" t="s">
        <v>63</v>
      </c>
      <c r="B787" s="48">
        <v>42471</v>
      </c>
      <c r="C787" t="s">
        <v>46</v>
      </c>
      <c r="D787" t="str">
        <f>IF(COUNTIFS(Verweise!$A$2:$A$4542,Übersicht!$C$7,Verweise!$B$2:$B$4542,B787)=1,"Feiertag",IF(C787="Samstag","",IF(C787="Sonntag","",Übersicht!$C$8)))</f>
        <v>Feiertag</v>
      </c>
    </row>
    <row r="788" spans="1:4" x14ac:dyDescent="0.25">
      <c r="A788" t="s">
        <v>63</v>
      </c>
      <c r="B788" s="48">
        <v>42472</v>
      </c>
      <c r="C788" t="s">
        <v>47</v>
      </c>
      <c r="D788" t="str">
        <f>IF(COUNTIFS(Verweise!$A$2:$A$4542,Übersicht!$C$7,Verweise!$B$2:$B$4542,B788)=1,"Feiertag",IF(C788="Samstag","",IF(C788="Sonntag","",Übersicht!$C$8)))</f>
        <v>Feiertag</v>
      </c>
    </row>
    <row r="789" spans="1:4" x14ac:dyDescent="0.25">
      <c r="A789" t="s">
        <v>63</v>
      </c>
      <c r="B789" s="48">
        <v>42490</v>
      </c>
      <c r="C789" t="s">
        <v>48</v>
      </c>
      <c r="D789" t="str">
        <f>IF(COUNTIFS(Verweise!$A$2:$A$4542,Übersicht!$C$7,Verweise!$B$2:$B$4542,B789)=1,"Feiertag",IF(C789="Samstag","",IF(C789="Sonntag","",Übersicht!$C$8)))</f>
        <v>Feiertag</v>
      </c>
    </row>
    <row r="790" spans="1:4" x14ac:dyDescent="0.25">
      <c r="A790" t="s">
        <v>63</v>
      </c>
      <c r="B790" s="48">
        <v>42510</v>
      </c>
      <c r="C790" t="s">
        <v>49</v>
      </c>
      <c r="D790" t="str">
        <f>IF(COUNTIFS(Verweise!$A$2:$A$4542,Übersicht!$C$7,Verweise!$B$2:$B$4542,B790)=1,"Feiertag",IF(C790="Samstag","",IF(C790="Sonntag","",Übersicht!$C$8)))</f>
        <v>Feiertag</v>
      </c>
    </row>
    <row r="791" spans="1:4" x14ac:dyDescent="0.25">
      <c r="A791" t="s">
        <v>63</v>
      </c>
      <c r="B791" s="48">
        <v>42520</v>
      </c>
      <c r="C791" t="s">
        <v>50</v>
      </c>
      <c r="D791" t="str">
        <f>IF(COUNTIFS(Verweise!$A$2:$A$4542,Übersicht!$C$7,Verweise!$B$2:$B$4542,B791)=1,"Feiertag",IF(C791="Samstag","",IF(C791="Sonntag","",Übersicht!$C$8)))</f>
        <v>Feiertag</v>
      </c>
    </row>
    <row r="792" spans="1:4" x14ac:dyDescent="0.25">
      <c r="A792" t="s">
        <v>63</v>
      </c>
      <c r="B792" s="48">
        <v>42521</v>
      </c>
      <c r="C792" t="s">
        <v>51</v>
      </c>
      <c r="D792" t="str">
        <f>IF(COUNTIFS(Verweise!$A$2:$A$4542,Übersicht!$C$7,Verweise!$B$2:$B$4542,B792)=1,"Feiertag",IF(C792="Samstag","",IF(C792="Sonntag","",Übersicht!$C$8)))</f>
        <v>Feiertag</v>
      </c>
    </row>
    <row r="793" spans="1:4" x14ac:dyDescent="0.25">
      <c r="A793" t="s">
        <v>63</v>
      </c>
      <c r="B793" s="48">
        <v>42645</v>
      </c>
      <c r="C793" t="s">
        <v>53</v>
      </c>
      <c r="D793" t="str">
        <f>IF(COUNTIFS(Verweise!$A$2:$A$4542,Übersicht!$C$7,Verweise!$B$2:$B$4542,B793)=1,"Feiertag",IF(C793="Samstag","",IF(C793="Sonntag","",Übersicht!$C$8)))</f>
        <v>Feiertag</v>
      </c>
    </row>
    <row r="794" spans="1:4" x14ac:dyDescent="0.25">
      <c r="A794" t="s">
        <v>63</v>
      </c>
      <c r="B794" s="48">
        <v>42728</v>
      </c>
      <c r="C794" t="s">
        <v>55</v>
      </c>
      <c r="D794" t="str">
        <f>IF(COUNTIFS(Verweise!$A$2:$A$4542,Übersicht!$C$7,Verweise!$B$2:$B$4542,B794)=1,"Feiertag",IF(C794="Samstag","",IF(C794="Sonntag","",Übersicht!$C$8)))</f>
        <v>Feiertag</v>
      </c>
    </row>
    <row r="795" spans="1:4" x14ac:dyDescent="0.25">
      <c r="A795" t="s">
        <v>63</v>
      </c>
      <c r="B795" s="48">
        <v>42729</v>
      </c>
      <c r="C795" t="s">
        <v>56</v>
      </c>
      <c r="D795" t="str">
        <f>IF(COUNTIFS(Verweise!$A$2:$A$4542,Übersicht!$C$7,Verweise!$B$2:$B$4542,B795)=1,"Feiertag",IF(C795="Samstag","",IF(C795="Sonntag","",Übersicht!$C$8)))</f>
        <v>Feiertag</v>
      </c>
    </row>
    <row r="796" spans="1:4" x14ac:dyDescent="0.25">
      <c r="A796" t="s">
        <v>64</v>
      </c>
      <c r="B796" s="48">
        <v>42369</v>
      </c>
      <c r="C796" t="s">
        <v>43</v>
      </c>
      <c r="D796" t="str">
        <f>IF(COUNTIFS(Verweise!$A$2:$A$4542,Übersicht!$C$7,Verweise!$B$2:$B$4542,B796)=1,"Feiertag",IF(C796="Samstag","",IF(C796="Sonntag","",Übersicht!$C$8)))</f>
        <v>Feiertag</v>
      </c>
    </row>
    <row r="797" spans="1:4" x14ac:dyDescent="0.25">
      <c r="A797" t="s">
        <v>64</v>
      </c>
      <c r="B797" s="48">
        <v>42469</v>
      </c>
      <c r="C797" t="s">
        <v>45</v>
      </c>
      <c r="D797" t="str">
        <f>IF(COUNTIFS(Verweise!$A$2:$A$4542,Übersicht!$C$7,Verweise!$B$2:$B$4542,B797)=1,"Feiertag",IF(C797="Samstag","",IF(C797="Sonntag","",Übersicht!$C$8)))</f>
        <v>Feiertag</v>
      </c>
    </row>
    <row r="798" spans="1:4" x14ac:dyDescent="0.25">
      <c r="A798" t="s">
        <v>64</v>
      </c>
      <c r="B798" s="48">
        <v>42471</v>
      </c>
      <c r="C798" t="s">
        <v>46</v>
      </c>
      <c r="D798" t="str">
        <f>IF(COUNTIFS(Verweise!$A$2:$A$4542,Übersicht!$C$7,Verweise!$B$2:$B$4542,B798)=1,"Feiertag",IF(C798="Samstag","",IF(C798="Sonntag","",Übersicht!$C$8)))</f>
        <v>Feiertag</v>
      </c>
    </row>
    <row r="799" spans="1:4" x14ac:dyDescent="0.25">
      <c r="A799" t="s">
        <v>64</v>
      </c>
      <c r="B799" s="48">
        <v>42472</v>
      </c>
      <c r="C799" t="s">
        <v>47</v>
      </c>
      <c r="D799" t="str">
        <f>IF(COUNTIFS(Verweise!$A$2:$A$4542,Übersicht!$C$7,Verweise!$B$2:$B$4542,B799)=1,"Feiertag",IF(C799="Samstag","",IF(C799="Sonntag","",Übersicht!$C$8)))</f>
        <v>Feiertag</v>
      </c>
    </row>
    <row r="800" spans="1:4" x14ac:dyDescent="0.25">
      <c r="A800" t="s">
        <v>64</v>
      </c>
      <c r="B800" s="48">
        <v>42490</v>
      </c>
      <c r="C800" t="s">
        <v>48</v>
      </c>
      <c r="D800" t="str">
        <f>IF(COUNTIFS(Verweise!$A$2:$A$4542,Übersicht!$C$7,Verweise!$B$2:$B$4542,B800)=1,"Feiertag",IF(C800="Samstag","",IF(C800="Sonntag","",Übersicht!$C$8)))</f>
        <v>Feiertag</v>
      </c>
    </row>
    <row r="801" spans="1:4" x14ac:dyDescent="0.25">
      <c r="A801" t="s">
        <v>64</v>
      </c>
      <c r="B801" s="48">
        <v>42510</v>
      </c>
      <c r="C801" t="s">
        <v>49</v>
      </c>
      <c r="D801" t="str">
        <f>IF(COUNTIFS(Verweise!$A$2:$A$4542,Übersicht!$C$7,Verweise!$B$2:$B$4542,B801)=1,"Feiertag",IF(C801="Samstag","",IF(C801="Sonntag","",Übersicht!$C$8)))</f>
        <v>Feiertag</v>
      </c>
    </row>
    <row r="802" spans="1:4" x14ac:dyDescent="0.25">
      <c r="A802" t="s">
        <v>64</v>
      </c>
      <c r="B802" s="48">
        <v>42520</v>
      </c>
      <c r="C802" t="s">
        <v>50</v>
      </c>
      <c r="D802" t="str">
        <f>IF(COUNTIFS(Verweise!$A$2:$A$4542,Übersicht!$C$7,Verweise!$B$2:$B$4542,B802)=1,"Feiertag",IF(C802="Samstag","",IF(C802="Sonntag","",Übersicht!$C$8)))</f>
        <v>Feiertag</v>
      </c>
    </row>
    <row r="803" spans="1:4" x14ac:dyDescent="0.25">
      <c r="A803" t="s">
        <v>64</v>
      </c>
      <c r="B803" s="48">
        <v>42521</v>
      </c>
      <c r="C803" t="s">
        <v>51</v>
      </c>
      <c r="D803" t="str">
        <f>IF(COUNTIFS(Verweise!$A$2:$A$4542,Übersicht!$C$7,Verweise!$B$2:$B$4542,B803)=1,"Feiertag",IF(C803="Samstag","",IF(C803="Sonntag","",Übersicht!$C$8)))</f>
        <v>Feiertag</v>
      </c>
    </row>
    <row r="804" spans="1:4" x14ac:dyDescent="0.25">
      <c r="A804" t="s">
        <v>64</v>
      </c>
      <c r="B804" s="48">
        <v>42645</v>
      </c>
      <c r="C804" t="s">
        <v>53</v>
      </c>
      <c r="D804" t="str">
        <f>IF(COUNTIFS(Verweise!$A$2:$A$4542,Übersicht!$C$7,Verweise!$B$2:$B$4542,B804)=1,"Feiertag",IF(C804="Samstag","",IF(C804="Sonntag","",Übersicht!$C$8)))</f>
        <v>Feiertag</v>
      </c>
    </row>
    <row r="805" spans="1:4" x14ac:dyDescent="0.25">
      <c r="A805" t="s">
        <v>64</v>
      </c>
      <c r="B805" s="48">
        <v>42728</v>
      </c>
      <c r="C805" t="s">
        <v>55</v>
      </c>
      <c r="D805" t="str">
        <f>IF(COUNTIFS(Verweise!$A$2:$A$4542,Übersicht!$C$7,Verweise!$B$2:$B$4542,B805)=1,"Feiertag",IF(C805="Samstag","",IF(C805="Sonntag","",Übersicht!$C$8)))</f>
        <v>Feiertag</v>
      </c>
    </row>
    <row r="806" spans="1:4" x14ac:dyDescent="0.25">
      <c r="A806" t="s">
        <v>64</v>
      </c>
      <c r="B806" s="48">
        <v>42729</v>
      </c>
      <c r="C806" t="s">
        <v>56</v>
      </c>
      <c r="D806" t="str">
        <f>IF(COUNTIFS(Verweise!$A$2:$A$4542,Übersicht!$C$7,Verweise!$B$2:$B$4542,B806)=1,"Feiertag",IF(C806="Samstag","",IF(C806="Sonntag","",Übersicht!$C$8)))</f>
        <v>Feiertag</v>
      </c>
    </row>
    <row r="807" spans="1:4" x14ac:dyDescent="0.25">
      <c r="A807" t="s">
        <v>65</v>
      </c>
      <c r="B807" s="48">
        <v>42369</v>
      </c>
      <c r="C807" t="s">
        <v>43</v>
      </c>
      <c r="D807" t="str">
        <f>IF(COUNTIFS(Verweise!$A$2:$A$4542,Übersicht!$C$7,Verweise!$B$2:$B$4542,B807)=1,"Feiertag",IF(C807="Samstag","",IF(C807="Sonntag","",Übersicht!$C$8)))</f>
        <v>Feiertag</v>
      </c>
    </row>
    <row r="808" spans="1:4" x14ac:dyDescent="0.25">
      <c r="A808" t="s">
        <v>65</v>
      </c>
      <c r="B808" s="48">
        <v>42469</v>
      </c>
      <c r="C808" t="s">
        <v>45</v>
      </c>
      <c r="D808" t="str">
        <f>IF(COUNTIFS(Verweise!$A$2:$A$4542,Übersicht!$C$7,Verweise!$B$2:$B$4542,B808)=1,"Feiertag",IF(C808="Samstag","",IF(C808="Sonntag","",Übersicht!$C$8)))</f>
        <v>Feiertag</v>
      </c>
    </row>
    <row r="809" spans="1:4" x14ac:dyDescent="0.25">
      <c r="A809" t="s">
        <v>65</v>
      </c>
      <c r="B809" s="48">
        <v>42471</v>
      </c>
      <c r="C809" t="s">
        <v>46</v>
      </c>
      <c r="D809" t="str">
        <f>IF(COUNTIFS(Verweise!$A$2:$A$4542,Übersicht!$C$7,Verweise!$B$2:$B$4542,B809)=1,"Feiertag",IF(C809="Samstag","",IF(C809="Sonntag","",Übersicht!$C$8)))</f>
        <v>Feiertag</v>
      </c>
    </row>
    <row r="810" spans="1:4" x14ac:dyDescent="0.25">
      <c r="A810" t="s">
        <v>65</v>
      </c>
      <c r="B810" s="48">
        <v>42472</v>
      </c>
      <c r="C810" t="s">
        <v>47</v>
      </c>
      <c r="D810" t="str">
        <f>IF(COUNTIFS(Verweise!$A$2:$A$4542,Übersicht!$C$7,Verweise!$B$2:$B$4542,B810)=1,"Feiertag",IF(C810="Samstag","",IF(C810="Sonntag","",Übersicht!$C$8)))</f>
        <v>Feiertag</v>
      </c>
    </row>
    <row r="811" spans="1:4" x14ac:dyDescent="0.25">
      <c r="A811" t="s">
        <v>65</v>
      </c>
      <c r="B811" s="48">
        <v>42490</v>
      </c>
      <c r="C811" t="s">
        <v>48</v>
      </c>
      <c r="D811" t="str">
        <f>IF(COUNTIFS(Verweise!$A$2:$A$4542,Übersicht!$C$7,Verweise!$B$2:$B$4542,B811)=1,"Feiertag",IF(C811="Samstag","",IF(C811="Sonntag","",Übersicht!$C$8)))</f>
        <v>Feiertag</v>
      </c>
    </row>
    <row r="812" spans="1:4" x14ac:dyDescent="0.25">
      <c r="A812" t="s">
        <v>65</v>
      </c>
      <c r="B812" s="48">
        <v>42510</v>
      </c>
      <c r="C812" t="s">
        <v>49</v>
      </c>
      <c r="D812" t="str">
        <f>IF(COUNTIFS(Verweise!$A$2:$A$4542,Übersicht!$C$7,Verweise!$B$2:$B$4542,B812)=1,"Feiertag",IF(C812="Samstag","",IF(C812="Sonntag","",Übersicht!$C$8)))</f>
        <v>Feiertag</v>
      </c>
    </row>
    <row r="813" spans="1:4" x14ac:dyDescent="0.25">
      <c r="A813" t="s">
        <v>65</v>
      </c>
      <c r="B813" s="48">
        <v>42520</v>
      </c>
      <c r="C813" t="s">
        <v>50</v>
      </c>
      <c r="D813" t="str">
        <f>IF(COUNTIFS(Verweise!$A$2:$A$4542,Übersicht!$C$7,Verweise!$B$2:$B$4542,B813)=1,"Feiertag",IF(C813="Samstag","",IF(C813="Sonntag","",Übersicht!$C$8)))</f>
        <v>Feiertag</v>
      </c>
    </row>
    <row r="814" spans="1:4" x14ac:dyDescent="0.25">
      <c r="A814" t="s">
        <v>65</v>
      </c>
      <c r="B814" s="48">
        <v>42521</v>
      </c>
      <c r="C814" t="s">
        <v>51</v>
      </c>
      <c r="D814" t="str">
        <f>IF(COUNTIFS(Verweise!$A$2:$A$4542,Übersicht!$C$7,Verweise!$B$2:$B$4542,B814)=1,"Feiertag",IF(C814="Samstag","",IF(C814="Sonntag","",Übersicht!$C$8)))</f>
        <v>Feiertag</v>
      </c>
    </row>
    <row r="815" spans="1:4" x14ac:dyDescent="0.25">
      <c r="A815" t="s">
        <v>65</v>
      </c>
      <c r="B815" s="48">
        <v>42531</v>
      </c>
      <c r="C815" t="s">
        <v>52</v>
      </c>
      <c r="D815" t="str">
        <f>IF(COUNTIFS(Verweise!$A$2:$A$4542,Übersicht!$C$7,Verweise!$B$2:$B$4542,B815)=1,"Feiertag",IF(C815="Samstag","",IF(C815="Sonntag","",Übersicht!$C$8)))</f>
        <v>Feiertag</v>
      </c>
    </row>
    <row r="816" spans="1:4" x14ac:dyDescent="0.25">
      <c r="A816" t="s">
        <v>65</v>
      </c>
      <c r="B816" s="48">
        <v>42645</v>
      </c>
      <c r="C816" t="s">
        <v>53</v>
      </c>
      <c r="D816" t="str">
        <f>IF(COUNTIFS(Verweise!$A$2:$A$4542,Übersicht!$C$7,Verweise!$B$2:$B$4542,B816)=1,"Feiertag",IF(C816="Samstag","",IF(C816="Sonntag","",Übersicht!$C$8)))</f>
        <v>Feiertag</v>
      </c>
    </row>
    <row r="817" spans="1:4" x14ac:dyDescent="0.25">
      <c r="A817" t="s">
        <v>65</v>
      </c>
      <c r="B817" s="48">
        <v>42728</v>
      </c>
      <c r="C817" t="s">
        <v>55</v>
      </c>
      <c r="D817" t="str">
        <f>IF(COUNTIFS(Verweise!$A$2:$A$4542,Übersicht!$C$7,Verweise!$B$2:$B$4542,B817)=1,"Feiertag",IF(C817="Samstag","",IF(C817="Sonntag","",Übersicht!$C$8)))</f>
        <v>Feiertag</v>
      </c>
    </row>
    <row r="818" spans="1:4" x14ac:dyDescent="0.25">
      <c r="A818" t="s">
        <v>65</v>
      </c>
      <c r="B818" s="48">
        <v>42729</v>
      </c>
      <c r="C818" t="s">
        <v>56</v>
      </c>
      <c r="D818" t="str">
        <f>IF(COUNTIFS(Verweise!$A$2:$A$4542,Übersicht!$C$7,Verweise!$B$2:$B$4542,B818)=1,"Feiertag",IF(C818="Samstag","",IF(C818="Sonntag","",Übersicht!$C$8)))</f>
        <v>Feiertag</v>
      </c>
    </row>
    <row r="819" spans="1:4" x14ac:dyDescent="0.25">
      <c r="A819" t="s">
        <v>66</v>
      </c>
      <c r="B819" s="48">
        <v>42369</v>
      </c>
      <c r="C819" t="s">
        <v>43</v>
      </c>
      <c r="D819" t="str">
        <f>IF(COUNTIFS(Verweise!$A$2:$A$4542,Übersicht!$C$7,Verweise!$B$2:$B$4542,B819)=1,"Feiertag",IF(C819="Samstag","",IF(C819="Sonntag","",Übersicht!$C$8)))</f>
        <v>Feiertag</v>
      </c>
    </row>
    <row r="820" spans="1:4" x14ac:dyDescent="0.25">
      <c r="A820" t="s">
        <v>66</v>
      </c>
      <c r="B820" s="48">
        <v>42469</v>
      </c>
      <c r="C820" t="s">
        <v>45</v>
      </c>
      <c r="D820" t="str">
        <f>IF(COUNTIFS(Verweise!$A$2:$A$4542,Übersicht!$C$7,Verweise!$B$2:$B$4542,B820)=1,"Feiertag",IF(C820="Samstag","",IF(C820="Sonntag","",Übersicht!$C$8)))</f>
        <v>Feiertag</v>
      </c>
    </row>
    <row r="821" spans="1:4" x14ac:dyDescent="0.25">
      <c r="A821" t="s">
        <v>66</v>
      </c>
      <c r="B821" s="48">
        <v>42471</v>
      </c>
      <c r="C821" t="s">
        <v>46</v>
      </c>
      <c r="D821" t="str">
        <f>IF(COUNTIFS(Verweise!$A$2:$A$4542,Übersicht!$C$7,Verweise!$B$2:$B$4542,B821)=1,"Feiertag",IF(C821="Samstag","",IF(C821="Sonntag","",Übersicht!$C$8)))</f>
        <v>Feiertag</v>
      </c>
    </row>
    <row r="822" spans="1:4" x14ac:dyDescent="0.25">
      <c r="A822" t="s">
        <v>66</v>
      </c>
      <c r="B822" s="48">
        <v>42472</v>
      </c>
      <c r="C822" t="s">
        <v>47</v>
      </c>
      <c r="D822" t="str">
        <f>IF(COUNTIFS(Verweise!$A$2:$A$4542,Übersicht!$C$7,Verweise!$B$2:$B$4542,B822)=1,"Feiertag",IF(C822="Samstag","",IF(C822="Sonntag","",Übersicht!$C$8)))</f>
        <v>Feiertag</v>
      </c>
    </row>
    <row r="823" spans="1:4" x14ac:dyDescent="0.25">
      <c r="A823" t="s">
        <v>66</v>
      </c>
      <c r="B823" s="48">
        <v>42490</v>
      </c>
      <c r="C823" t="s">
        <v>48</v>
      </c>
      <c r="D823" t="str">
        <f>IF(COUNTIFS(Verweise!$A$2:$A$4542,Übersicht!$C$7,Verweise!$B$2:$B$4542,B823)=1,"Feiertag",IF(C823="Samstag","",IF(C823="Sonntag","",Übersicht!$C$8)))</f>
        <v>Feiertag</v>
      </c>
    </row>
    <row r="824" spans="1:4" x14ac:dyDescent="0.25">
      <c r="A824" t="s">
        <v>66</v>
      </c>
      <c r="B824" s="48">
        <v>42510</v>
      </c>
      <c r="C824" t="s">
        <v>49</v>
      </c>
      <c r="D824" t="str">
        <f>IF(COUNTIFS(Verweise!$A$2:$A$4542,Übersicht!$C$7,Verweise!$B$2:$B$4542,B824)=1,"Feiertag",IF(C824="Samstag","",IF(C824="Sonntag","",Übersicht!$C$8)))</f>
        <v>Feiertag</v>
      </c>
    </row>
    <row r="825" spans="1:4" x14ac:dyDescent="0.25">
      <c r="A825" t="s">
        <v>66</v>
      </c>
      <c r="B825" s="48">
        <v>42520</v>
      </c>
      <c r="C825" t="s">
        <v>50</v>
      </c>
      <c r="D825" t="str">
        <f>IF(COUNTIFS(Verweise!$A$2:$A$4542,Übersicht!$C$7,Verweise!$B$2:$B$4542,B825)=1,"Feiertag",IF(C825="Samstag","",IF(C825="Sonntag","",Übersicht!$C$8)))</f>
        <v>Feiertag</v>
      </c>
    </row>
    <row r="826" spans="1:4" x14ac:dyDescent="0.25">
      <c r="A826" t="s">
        <v>66</v>
      </c>
      <c r="B826" s="48">
        <v>42521</v>
      </c>
      <c r="C826" t="s">
        <v>51</v>
      </c>
      <c r="D826" t="str">
        <f>IF(COUNTIFS(Verweise!$A$2:$A$4542,Übersicht!$C$7,Verweise!$B$2:$B$4542,B826)=1,"Feiertag",IF(C826="Samstag","",IF(C826="Sonntag","",Übersicht!$C$8)))</f>
        <v>Feiertag</v>
      </c>
    </row>
    <row r="827" spans="1:4" x14ac:dyDescent="0.25">
      <c r="A827" t="s">
        <v>66</v>
      </c>
      <c r="B827" s="48">
        <v>42645</v>
      </c>
      <c r="C827" t="s">
        <v>53</v>
      </c>
      <c r="D827" t="str">
        <f>IF(COUNTIFS(Verweise!$A$2:$A$4542,Übersicht!$C$7,Verweise!$B$2:$B$4542,B827)=1,"Feiertag",IF(C827="Samstag","",IF(C827="Sonntag","",Übersicht!$C$8)))</f>
        <v>Feiertag</v>
      </c>
    </row>
    <row r="828" spans="1:4" x14ac:dyDescent="0.25">
      <c r="A828" t="s">
        <v>66</v>
      </c>
      <c r="B828" s="48">
        <v>42673</v>
      </c>
      <c r="C828" t="s">
        <v>62</v>
      </c>
      <c r="D828" t="str">
        <f>IF(COUNTIFS(Verweise!$A$2:$A$4542,Übersicht!$C$7,Verweise!$B$2:$B$4542,B828)=1,"Feiertag",IF(C828="Samstag","",IF(C828="Sonntag","",Übersicht!$C$8)))</f>
        <v>Büro</v>
      </c>
    </row>
    <row r="829" spans="1:4" x14ac:dyDescent="0.25">
      <c r="A829" t="s">
        <v>66</v>
      </c>
      <c r="B829" s="48">
        <v>42728</v>
      </c>
      <c r="C829" t="s">
        <v>55</v>
      </c>
      <c r="D829" t="str">
        <f>IF(COUNTIFS(Verweise!$A$2:$A$4542,Übersicht!$C$7,Verweise!$B$2:$B$4542,B829)=1,"Feiertag",IF(C829="Samstag","",IF(C829="Sonntag","",Übersicht!$C$8)))</f>
        <v>Feiertag</v>
      </c>
    </row>
    <row r="830" spans="1:4" x14ac:dyDescent="0.25">
      <c r="A830" t="s">
        <v>66</v>
      </c>
      <c r="B830" s="48">
        <v>42729</v>
      </c>
      <c r="C830" t="s">
        <v>56</v>
      </c>
      <c r="D830" t="str">
        <f>IF(COUNTIFS(Verweise!$A$2:$A$4542,Übersicht!$C$7,Verweise!$B$2:$B$4542,B830)=1,"Feiertag",IF(C830="Samstag","",IF(C830="Sonntag","",Übersicht!$C$8)))</f>
        <v>Feiertag</v>
      </c>
    </row>
    <row r="831" spans="1:4" x14ac:dyDescent="0.25">
      <c r="A831" t="s">
        <v>67</v>
      </c>
      <c r="B831" s="48">
        <v>42369</v>
      </c>
      <c r="C831" t="s">
        <v>43</v>
      </c>
      <c r="D831" t="str">
        <f>IF(COUNTIFS(Verweise!$A$2:$A$4542,Übersicht!$C$7,Verweise!$B$2:$B$4542,B831)=1,"Feiertag",IF(C831="Samstag","",IF(C831="Sonntag","",Übersicht!$C$8)))</f>
        <v>Feiertag</v>
      </c>
    </row>
    <row r="832" spans="1:4" x14ac:dyDescent="0.25">
      <c r="A832" t="s">
        <v>67</v>
      </c>
      <c r="B832" s="48">
        <v>42469</v>
      </c>
      <c r="C832" t="s">
        <v>45</v>
      </c>
      <c r="D832" t="str">
        <f>IF(COUNTIFS(Verweise!$A$2:$A$4542,Übersicht!$C$7,Verweise!$B$2:$B$4542,B832)=1,"Feiertag",IF(C832="Samstag","",IF(C832="Sonntag","",Übersicht!$C$8)))</f>
        <v>Feiertag</v>
      </c>
    </row>
    <row r="833" spans="1:4" x14ac:dyDescent="0.25">
      <c r="A833" t="s">
        <v>67</v>
      </c>
      <c r="B833" s="48">
        <v>42471</v>
      </c>
      <c r="C833" t="s">
        <v>46</v>
      </c>
      <c r="D833" t="str">
        <f>IF(COUNTIFS(Verweise!$A$2:$A$4542,Übersicht!$C$7,Verweise!$B$2:$B$4542,B833)=1,"Feiertag",IF(C833="Samstag","",IF(C833="Sonntag","",Übersicht!$C$8)))</f>
        <v>Feiertag</v>
      </c>
    </row>
    <row r="834" spans="1:4" x14ac:dyDescent="0.25">
      <c r="A834" t="s">
        <v>67</v>
      </c>
      <c r="B834" s="48">
        <v>42472</v>
      </c>
      <c r="C834" t="s">
        <v>47</v>
      </c>
      <c r="D834" t="str">
        <f>IF(COUNTIFS(Verweise!$A$2:$A$4542,Übersicht!$C$7,Verweise!$B$2:$B$4542,B834)=1,"Feiertag",IF(C834="Samstag","",IF(C834="Sonntag","",Übersicht!$C$8)))</f>
        <v>Feiertag</v>
      </c>
    </row>
    <row r="835" spans="1:4" x14ac:dyDescent="0.25">
      <c r="A835" t="s">
        <v>67</v>
      </c>
      <c r="B835" s="48">
        <v>42490</v>
      </c>
      <c r="C835" t="s">
        <v>48</v>
      </c>
      <c r="D835" t="str">
        <f>IF(COUNTIFS(Verweise!$A$2:$A$4542,Übersicht!$C$7,Verweise!$B$2:$B$4542,B835)=1,"Feiertag",IF(C835="Samstag","",IF(C835="Sonntag","",Übersicht!$C$8)))</f>
        <v>Feiertag</v>
      </c>
    </row>
    <row r="836" spans="1:4" x14ac:dyDescent="0.25">
      <c r="A836" t="s">
        <v>67</v>
      </c>
      <c r="B836" s="48">
        <v>42510</v>
      </c>
      <c r="C836" t="s">
        <v>49</v>
      </c>
      <c r="D836" t="str">
        <f>IF(COUNTIFS(Verweise!$A$2:$A$4542,Übersicht!$C$7,Verweise!$B$2:$B$4542,B836)=1,"Feiertag",IF(C836="Samstag","",IF(C836="Sonntag","",Übersicht!$C$8)))</f>
        <v>Feiertag</v>
      </c>
    </row>
    <row r="837" spans="1:4" x14ac:dyDescent="0.25">
      <c r="A837" t="s">
        <v>67</v>
      </c>
      <c r="B837" s="48">
        <v>42520</v>
      </c>
      <c r="C837" t="s">
        <v>50</v>
      </c>
      <c r="D837" t="str">
        <f>IF(COUNTIFS(Verweise!$A$2:$A$4542,Übersicht!$C$7,Verweise!$B$2:$B$4542,B837)=1,"Feiertag",IF(C837="Samstag","",IF(C837="Sonntag","",Übersicht!$C$8)))</f>
        <v>Feiertag</v>
      </c>
    </row>
    <row r="838" spans="1:4" x14ac:dyDescent="0.25">
      <c r="A838" t="s">
        <v>67</v>
      </c>
      <c r="B838" s="48">
        <v>42521</v>
      </c>
      <c r="C838" t="s">
        <v>51</v>
      </c>
      <c r="D838" t="str">
        <f>IF(COUNTIFS(Verweise!$A$2:$A$4542,Übersicht!$C$7,Verweise!$B$2:$B$4542,B838)=1,"Feiertag",IF(C838="Samstag","",IF(C838="Sonntag","",Übersicht!$C$8)))</f>
        <v>Feiertag</v>
      </c>
    </row>
    <row r="839" spans="1:4" x14ac:dyDescent="0.25">
      <c r="A839" t="s">
        <v>67</v>
      </c>
      <c r="B839" s="48">
        <v>42645</v>
      </c>
      <c r="C839" t="s">
        <v>53</v>
      </c>
      <c r="D839" t="str">
        <f>IF(COUNTIFS(Verweise!$A$2:$A$4542,Übersicht!$C$7,Verweise!$B$2:$B$4542,B839)=1,"Feiertag",IF(C839="Samstag","",IF(C839="Sonntag","",Übersicht!$C$8)))</f>
        <v>Feiertag</v>
      </c>
    </row>
    <row r="840" spans="1:4" x14ac:dyDescent="0.25">
      <c r="A840" t="s">
        <v>67</v>
      </c>
      <c r="B840" s="48">
        <v>42728</v>
      </c>
      <c r="C840" t="s">
        <v>55</v>
      </c>
      <c r="D840" t="str">
        <f>IF(COUNTIFS(Verweise!$A$2:$A$4542,Übersicht!$C$7,Verweise!$B$2:$B$4542,B840)=1,"Feiertag",IF(C840="Samstag","",IF(C840="Sonntag","",Übersicht!$C$8)))</f>
        <v>Feiertag</v>
      </c>
    </row>
    <row r="841" spans="1:4" x14ac:dyDescent="0.25">
      <c r="A841" t="s">
        <v>67</v>
      </c>
      <c r="B841" s="48">
        <v>42729</v>
      </c>
      <c r="C841" t="s">
        <v>56</v>
      </c>
      <c r="D841" t="str">
        <f>IF(COUNTIFS(Verweise!$A$2:$A$4542,Übersicht!$C$7,Verweise!$B$2:$B$4542,B841)=1,"Feiertag",IF(C841="Samstag","",IF(C841="Sonntag","",Übersicht!$C$8)))</f>
        <v>Feiertag</v>
      </c>
    </row>
    <row r="842" spans="1:4" x14ac:dyDescent="0.25">
      <c r="A842" t="s">
        <v>68</v>
      </c>
      <c r="B842" s="48">
        <v>42369</v>
      </c>
      <c r="C842" t="s">
        <v>43</v>
      </c>
      <c r="D842" t="str">
        <f>IF(COUNTIFS(Verweise!$A$2:$A$4542,Übersicht!$C$7,Verweise!$B$2:$B$4542,B842)=1,"Feiertag",IF(C842="Samstag","",IF(C842="Sonntag","",Übersicht!$C$8)))</f>
        <v>Feiertag</v>
      </c>
    </row>
    <row r="843" spans="1:4" x14ac:dyDescent="0.25">
      <c r="A843" t="s">
        <v>68</v>
      </c>
      <c r="B843" s="48">
        <v>42469</v>
      </c>
      <c r="C843" t="s">
        <v>45</v>
      </c>
      <c r="D843" t="str">
        <f>IF(COUNTIFS(Verweise!$A$2:$A$4542,Übersicht!$C$7,Verweise!$B$2:$B$4542,B843)=1,"Feiertag",IF(C843="Samstag","",IF(C843="Sonntag","",Übersicht!$C$8)))</f>
        <v>Feiertag</v>
      </c>
    </row>
    <row r="844" spans="1:4" x14ac:dyDescent="0.25">
      <c r="A844" t="s">
        <v>68</v>
      </c>
      <c r="B844" s="48">
        <v>42471</v>
      </c>
      <c r="C844" t="s">
        <v>46</v>
      </c>
      <c r="D844" t="str">
        <f>IF(COUNTIFS(Verweise!$A$2:$A$4542,Übersicht!$C$7,Verweise!$B$2:$B$4542,B844)=1,"Feiertag",IF(C844="Samstag","",IF(C844="Sonntag","",Übersicht!$C$8)))</f>
        <v>Feiertag</v>
      </c>
    </row>
    <row r="845" spans="1:4" x14ac:dyDescent="0.25">
      <c r="A845" t="s">
        <v>68</v>
      </c>
      <c r="B845" s="48">
        <v>42472</v>
      </c>
      <c r="C845" t="s">
        <v>47</v>
      </c>
      <c r="D845" t="str">
        <f>IF(COUNTIFS(Verweise!$A$2:$A$4542,Übersicht!$C$7,Verweise!$B$2:$B$4542,B845)=1,"Feiertag",IF(C845="Samstag","",IF(C845="Sonntag","",Übersicht!$C$8)))</f>
        <v>Feiertag</v>
      </c>
    </row>
    <row r="846" spans="1:4" x14ac:dyDescent="0.25">
      <c r="A846" t="s">
        <v>68</v>
      </c>
      <c r="B846" s="48">
        <v>42490</v>
      </c>
      <c r="C846" t="s">
        <v>48</v>
      </c>
      <c r="D846" t="str">
        <f>IF(COUNTIFS(Verweise!$A$2:$A$4542,Übersicht!$C$7,Verweise!$B$2:$B$4542,B846)=1,"Feiertag",IF(C846="Samstag","",IF(C846="Sonntag","",Übersicht!$C$8)))</f>
        <v>Feiertag</v>
      </c>
    </row>
    <row r="847" spans="1:4" x14ac:dyDescent="0.25">
      <c r="A847" t="s">
        <v>68</v>
      </c>
      <c r="B847" s="48">
        <v>42510</v>
      </c>
      <c r="C847" t="s">
        <v>49</v>
      </c>
      <c r="D847" t="str">
        <f>IF(COUNTIFS(Verweise!$A$2:$A$4542,Übersicht!$C$7,Verweise!$B$2:$B$4542,B847)=1,"Feiertag",IF(C847="Samstag","",IF(C847="Sonntag","",Übersicht!$C$8)))</f>
        <v>Feiertag</v>
      </c>
    </row>
    <row r="848" spans="1:4" x14ac:dyDescent="0.25">
      <c r="A848" t="s">
        <v>68</v>
      </c>
      <c r="B848" s="48">
        <v>42520</v>
      </c>
      <c r="C848" t="s">
        <v>50</v>
      </c>
      <c r="D848" t="str">
        <f>IF(COUNTIFS(Verweise!$A$2:$A$4542,Übersicht!$C$7,Verweise!$B$2:$B$4542,B848)=1,"Feiertag",IF(C848="Samstag","",IF(C848="Sonntag","",Übersicht!$C$8)))</f>
        <v>Feiertag</v>
      </c>
    </row>
    <row r="849" spans="1:4" x14ac:dyDescent="0.25">
      <c r="A849" t="s">
        <v>68</v>
      </c>
      <c r="B849" s="48">
        <v>42521</v>
      </c>
      <c r="C849" t="s">
        <v>51</v>
      </c>
      <c r="D849" t="str">
        <f>IF(COUNTIFS(Verweise!$A$2:$A$4542,Übersicht!$C$7,Verweise!$B$2:$B$4542,B849)=1,"Feiertag",IF(C849="Samstag","",IF(C849="Sonntag","",Übersicht!$C$8)))</f>
        <v>Feiertag</v>
      </c>
    </row>
    <row r="850" spans="1:4" x14ac:dyDescent="0.25">
      <c r="A850" t="s">
        <v>68</v>
      </c>
      <c r="B850" s="48">
        <v>42531</v>
      </c>
      <c r="C850" t="s">
        <v>52</v>
      </c>
      <c r="D850" t="str">
        <f>IF(COUNTIFS(Verweise!$A$2:$A$4542,Übersicht!$C$7,Verweise!$B$2:$B$4542,B850)=1,"Feiertag",IF(C850="Samstag","",IF(C850="Sonntag","",Übersicht!$C$8)))</f>
        <v>Feiertag</v>
      </c>
    </row>
    <row r="851" spans="1:4" x14ac:dyDescent="0.25">
      <c r="A851" t="s">
        <v>68</v>
      </c>
      <c r="B851" s="48">
        <v>42645</v>
      </c>
      <c r="C851" t="s">
        <v>53</v>
      </c>
      <c r="D851" t="str">
        <f>IF(COUNTIFS(Verweise!$A$2:$A$4542,Übersicht!$C$7,Verweise!$B$2:$B$4542,B851)=1,"Feiertag",IF(C851="Samstag","",IF(C851="Sonntag","",Übersicht!$C$8)))</f>
        <v>Feiertag</v>
      </c>
    </row>
    <row r="852" spans="1:4" x14ac:dyDescent="0.25">
      <c r="A852" t="s">
        <v>68</v>
      </c>
      <c r="B852" s="48">
        <v>42674</v>
      </c>
      <c r="C852" t="s">
        <v>54</v>
      </c>
      <c r="D852" t="str">
        <f>IF(COUNTIFS(Verweise!$A$2:$A$4542,Übersicht!$C$7,Verweise!$B$2:$B$4542,B852)=1,"Feiertag",IF(C852="Samstag","",IF(C852="Sonntag","",Übersicht!$C$8)))</f>
        <v>Feiertag</v>
      </c>
    </row>
    <row r="853" spans="1:4" x14ac:dyDescent="0.25">
      <c r="A853" t="s">
        <v>68</v>
      </c>
      <c r="B853" s="48">
        <v>42728</v>
      </c>
      <c r="C853" t="s">
        <v>55</v>
      </c>
      <c r="D853" t="str">
        <f>IF(COUNTIFS(Verweise!$A$2:$A$4542,Übersicht!$C$7,Verweise!$B$2:$B$4542,B853)=1,"Feiertag",IF(C853="Samstag","",IF(C853="Sonntag","",Übersicht!$C$8)))</f>
        <v>Feiertag</v>
      </c>
    </row>
    <row r="854" spans="1:4" x14ac:dyDescent="0.25">
      <c r="A854" t="s">
        <v>68</v>
      </c>
      <c r="B854" s="48">
        <v>42729</v>
      </c>
      <c r="C854" t="s">
        <v>56</v>
      </c>
      <c r="D854" t="str">
        <f>IF(COUNTIFS(Verweise!$A$2:$A$4542,Übersicht!$C$7,Verweise!$B$2:$B$4542,B854)=1,"Feiertag",IF(C854="Samstag","",IF(C854="Sonntag","",Übersicht!$C$8)))</f>
        <v>Feiertag</v>
      </c>
    </row>
    <row r="855" spans="1:4" x14ac:dyDescent="0.25">
      <c r="A855" t="s">
        <v>69</v>
      </c>
      <c r="B855" s="48">
        <v>42369</v>
      </c>
      <c r="C855" t="s">
        <v>43</v>
      </c>
      <c r="D855" t="str">
        <f>IF(COUNTIFS(Verweise!$A$2:$A$4542,Übersicht!$C$7,Verweise!$B$2:$B$4542,B855)=1,"Feiertag",IF(C855="Samstag","",IF(C855="Sonntag","",Übersicht!$C$8)))</f>
        <v>Feiertag</v>
      </c>
    </row>
    <row r="856" spans="1:4" x14ac:dyDescent="0.25">
      <c r="A856" t="s">
        <v>69</v>
      </c>
      <c r="B856" s="48">
        <v>42469</v>
      </c>
      <c r="C856" t="s">
        <v>45</v>
      </c>
      <c r="D856" t="str">
        <f>IF(COUNTIFS(Verweise!$A$2:$A$4542,Übersicht!$C$7,Verweise!$B$2:$B$4542,B856)=1,"Feiertag",IF(C856="Samstag","",IF(C856="Sonntag","",Übersicht!$C$8)))</f>
        <v>Feiertag</v>
      </c>
    </row>
    <row r="857" spans="1:4" x14ac:dyDescent="0.25">
      <c r="A857" t="s">
        <v>69</v>
      </c>
      <c r="B857" s="48">
        <v>42471</v>
      </c>
      <c r="C857" t="s">
        <v>46</v>
      </c>
      <c r="D857" t="str">
        <f>IF(COUNTIFS(Verweise!$A$2:$A$4542,Übersicht!$C$7,Verweise!$B$2:$B$4542,B857)=1,"Feiertag",IF(C857="Samstag","",IF(C857="Sonntag","",Übersicht!$C$8)))</f>
        <v>Feiertag</v>
      </c>
    </row>
    <row r="858" spans="1:4" x14ac:dyDescent="0.25">
      <c r="A858" t="s">
        <v>69</v>
      </c>
      <c r="B858" s="48">
        <v>42472</v>
      </c>
      <c r="C858" t="s">
        <v>47</v>
      </c>
      <c r="D858" t="str">
        <f>IF(COUNTIFS(Verweise!$A$2:$A$4542,Übersicht!$C$7,Verweise!$B$2:$B$4542,B858)=1,"Feiertag",IF(C858="Samstag","",IF(C858="Sonntag","",Übersicht!$C$8)))</f>
        <v>Feiertag</v>
      </c>
    </row>
    <row r="859" spans="1:4" x14ac:dyDescent="0.25">
      <c r="A859" t="s">
        <v>69</v>
      </c>
      <c r="B859" s="48">
        <v>42490</v>
      </c>
      <c r="C859" t="s">
        <v>48</v>
      </c>
      <c r="D859" t="str">
        <f>IF(COUNTIFS(Verweise!$A$2:$A$4542,Übersicht!$C$7,Verweise!$B$2:$B$4542,B859)=1,"Feiertag",IF(C859="Samstag","",IF(C859="Sonntag","",Übersicht!$C$8)))</f>
        <v>Feiertag</v>
      </c>
    </row>
    <row r="860" spans="1:4" x14ac:dyDescent="0.25">
      <c r="A860" t="s">
        <v>69</v>
      </c>
      <c r="B860" s="48">
        <v>42510</v>
      </c>
      <c r="C860" t="s">
        <v>49</v>
      </c>
      <c r="D860" t="str">
        <f>IF(COUNTIFS(Verweise!$A$2:$A$4542,Übersicht!$C$7,Verweise!$B$2:$B$4542,B860)=1,"Feiertag",IF(C860="Samstag","",IF(C860="Sonntag","",Übersicht!$C$8)))</f>
        <v>Feiertag</v>
      </c>
    </row>
    <row r="861" spans="1:4" x14ac:dyDescent="0.25">
      <c r="A861" t="s">
        <v>69</v>
      </c>
      <c r="B861" s="48">
        <v>42520</v>
      </c>
      <c r="C861" t="s">
        <v>50</v>
      </c>
      <c r="D861" t="str">
        <f>IF(COUNTIFS(Verweise!$A$2:$A$4542,Übersicht!$C$7,Verweise!$B$2:$B$4542,B861)=1,"Feiertag",IF(C861="Samstag","",IF(C861="Sonntag","",Übersicht!$C$8)))</f>
        <v>Feiertag</v>
      </c>
    </row>
    <row r="862" spans="1:4" x14ac:dyDescent="0.25">
      <c r="A862" t="s">
        <v>69</v>
      </c>
      <c r="B862" s="48">
        <v>42521</v>
      </c>
      <c r="C862" t="s">
        <v>51</v>
      </c>
      <c r="D862" t="str">
        <f>IF(COUNTIFS(Verweise!$A$2:$A$4542,Übersicht!$C$7,Verweise!$B$2:$B$4542,B862)=1,"Feiertag",IF(C862="Samstag","",IF(C862="Sonntag","",Übersicht!$C$8)))</f>
        <v>Feiertag</v>
      </c>
    </row>
    <row r="863" spans="1:4" x14ac:dyDescent="0.25">
      <c r="A863" t="s">
        <v>69</v>
      </c>
      <c r="B863" s="48">
        <v>42531</v>
      </c>
      <c r="C863" t="s">
        <v>52</v>
      </c>
      <c r="D863" t="str">
        <f>IF(COUNTIFS(Verweise!$A$2:$A$4542,Übersicht!$C$7,Verweise!$B$2:$B$4542,B863)=1,"Feiertag",IF(C863="Samstag","",IF(C863="Sonntag","",Übersicht!$C$8)))</f>
        <v>Feiertag</v>
      </c>
    </row>
    <row r="864" spans="1:4" x14ac:dyDescent="0.25">
      <c r="A864" t="s">
        <v>69</v>
      </c>
      <c r="B864" s="48">
        <v>42645</v>
      </c>
      <c r="C864" t="s">
        <v>53</v>
      </c>
      <c r="D864" t="str">
        <f>IF(COUNTIFS(Verweise!$A$2:$A$4542,Übersicht!$C$7,Verweise!$B$2:$B$4542,B864)=1,"Feiertag",IF(C864="Samstag","",IF(C864="Sonntag","",Übersicht!$C$8)))</f>
        <v>Feiertag</v>
      </c>
    </row>
    <row r="865" spans="1:4" x14ac:dyDescent="0.25">
      <c r="A865" t="s">
        <v>69</v>
      </c>
      <c r="B865" s="48">
        <v>42674</v>
      </c>
      <c r="C865" t="s">
        <v>54</v>
      </c>
      <c r="D865" t="str">
        <f>IF(COUNTIFS(Verweise!$A$2:$A$4542,Übersicht!$C$7,Verweise!$B$2:$B$4542,B865)=1,"Feiertag",IF(C865="Samstag","",IF(C865="Sonntag","",Übersicht!$C$8)))</f>
        <v>Feiertag</v>
      </c>
    </row>
    <row r="866" spans="1:4" x14ac:dyDescent="0.25">
      <c r="A866" t="s">
        <v>69</v>
      </c>
      <c r="B866" s="48">
        <v>42728</v>
      </c>
      <c r="C866" t="s">
        <v>55</v>
      </c>
      <c r="D866" t="str">
        <f>IF(COUNTIFS(Verweise!$A$2:$A$4542,Übersicht!$C$7,Verweise!$B$2:$B$4542,B866)=1,"Feiertag",IF(C866="Samstag","",IF(C866="Sonntag","",Übersicht!$C$8)))</f>
        <v>Feiertag</v>
      </c>
    </row>
    <row r="867" spans="1:4" x14ac:dyDescent="0.25">
      <c r="A867" t="s">
        <v>69</v>
      </c>
      <c r="B867" s="48">
        <v>42729</v>
      </c>
      <c r="C867" t="s">
        <v>56</v>
      </c>
      <c r="D867" t="str">
        <f>IF(COUNTIFS(Verweise!$A$2:$A$4542,Übersicht!$C$7,Verweise!$B$2:$B$4542,B867)=1,"Feiertag",IF(C867="Samstag","",IF(C867="Sonntag","",Übersicht!$C$8)))</f>
        <v>Feiertag</v>
      </c>
    </row>
    <row r="868" spans="1:4" x14ac:dyDescent="0.25">
      <c r="A868" t="s">
        <v>70</v>
      </c>
      <c r="B868" s="48">
        <v>42369</v>
      </c>
      <c r="C868" t="s">
        <v>43</v>
      </c>
      <c r="D868" t="str">
        <f>IF(COUNTIFS(Verweise!$A$2:$A$4542,Übersicht!$C$7,Verweise!$B$2:$B$4542,B868)=1,"Feiertag",IF(C868="Samstag","",IF(C868="Sonntag","",Übersicht!$C$8)))</f>
        <v>Feiertag</v>
      </c>
    </row>
    <row r="869" spans="1:4" x14ac:dyDescent="0.25">
      <c r="A869" t="s">
        <v>70</v>
      </c>
      <c r="B869" s="48">
        <v>42469</v>
      </c>
      <c r="C869" t="s">
        <v>45</v>
      </c>
      <c r="D869" t="str">
        <f>IF(COUNTIFS(Verweise!$A$2:$A$4542,Übersicht!$C$7,Verweise!$B$2:$B$4542,B869)=1,"Feiertag",IF(C869="Samstag","",IF(C869="Sonntag","",Übersicht!$C$8)))</f>
        <v>Feiertag</v>
      </c>
    </row>
    <row r="870" spans="1:4" x14ac:dyDescent="0.25">
      <c r="A870" t="s">
        <v>70</v>
      </c>
      <c r="B870" s="48">
        <v>42471</v>
      </c>
      <c r="C870" t="s">
        <v>46</v>
      </c>
      <c r="D870" t="str">
        <f>IF(COUNTIFS(Verweise!$A$2:$A$4542,Übersicht!$C$7,Verweise!$B$2:$B$4542,B870)=1,"Feiertag",IF(C870="Samstag","",IF(C870="Sonntag","",Übersicht!$C$8)))</f>
        <v>Feiertag</v>
      </c>
    </row>
    <row r="871" spans="1:4" x14ac:dyDescent="0.25">
      <c r="A871" t="s">
        <v>70</v>
      </c>
      <c r="B871" s="48">
        <v>42472</v>
      </c>
      <c r="C871" t="s">
        <v>47</v>
      </c>
      <c r="D871" t="str">
        <f>IF(COUNTIFS(Verweise!$A$2:$A$4542,Übersicht!$C$7,Verweise!$B$2:$B$4542,B871)=1,"Feiertag",IF(C871="Samstag","",IF(C871="Sonntag","",Übersicht!$C$8)))</f>
        <v>Feiertag</v>
      </c>
    </row>
    <row r="872" spans="1:4" x14ac:dyDescent="0.25">
      <c r="A872" t="s">
        <v>70</v>
      </c>
      <c r="B872" s="48">
        <v>42490</v>
      </c>
      <c r="C872" t="s">
        <v>48</v>
      </c>
      <c r="D872" t="str">
        <f>IF(COUNTIFS(Verweise!$A$2:$A$4542,Übersicht!$C$7,Verweise!$B$2:$B$4542,B872)=1,"Feiertag",IF(C872="Samstag","",IF(C872="Sonntag","",Übersicht!$C$8)))</f>
        <v>Feiertag</v>
      </c>
    </row>
    <row r="873" spans="1:4" x14ac:dyDescent="0.25">
      <c r="A873" t="s">
        <v>70</v>
      </c>
      <c r="B873" s="48">
        <v>42510</v>
      </c>
      <c r="C873" t="s">
        <v>49</v>
      </c>
      <c r="D873" t="str">
        <f>IF(COUNTIFS(Verweise!$A$2:$A$4542,Übersicht!$C$7,Verweise!$B$2:$B$4542,B873)=1,"Feiertag",IF(C873="Samstag","",IF(C873="Sonntag","",Übersicht!$C$8)))</f>
        <v>Feiertag</v>
      </c>
    </row>
    <row r="874" spans="1:4" x14ac:dyDescent="0.25">
      <c r="A874" t="s">
        <v>70</v>
      </c>
      <c r="B874" s="48">
        <v>42520</v>
      </c>
      <c r="C874" t="s">
        <v>50</v>
      </c>
      <c r="D874" t="str">
        <f>IF(COUNTIFS(Verweise!$A$2:$A$4542,Übersicht!$C$7,Verweise!$B$2:$B$4542,B874)=1,"Feiertag",IF(C874="Samstag","",IF(C874="Sonntag","",Übersicht!$C$8)))</f>
        <v>Feiertag</v>
      </c>
    </row>
    <row r="875" spans="1:4" x14ac:dyDescent="0.25">
      <c r="A875" t="s">
        <v>70</v>
      </c>
      <c r="B875" s="48">
        <v>42521</v>
      </c>
      <c r="C875" t="s">
        <v>51</v>
      </c>
      <c r="D875" t="str">
        <f>IF(COUNTIFS(Verweise!$A$2:$A$4542,Übersicht!$C$7,Verweise!$B$2:$B$4542,B875)=1,"Feiertag",IF(C875="Samstag","",IF(C875="Sonntag","",Übersicht!$C$8)))</f>
        <v>Feiertag</v>
      </c>
    </row>
    <row r="876" spans="1:4" x14ac:dyDescent="0.25">
      <c r="A876" t="s">
        <v>70</v>
      </c>
      <c r="B876" s="48">
        <v>42531</v>
      </c>
      <c r="C876" t="s">
        <v>52</v>
      </c>
      <c r="D876" t="str">
        <f>IF(COUNTIFS(Verweise!$A$2:$A$4542,Übersicht!$C$7,Verweise!$B$2:$B$4542,B876)=1,"Feiertag",IF(C876="Samstag","",IF(C876="Sonntag","",Übersicht!$C$8)))</f>
        <v>Feiertag</v>
      </c>
    </row>
    <row r="877" spans="1:4" x14ac:dyDescent="0.25">
      <c r="A877" t="s">
        <v>70</v>
      </c>
      <c r="B877" s="48">
        <v>42596</v>
      </c>
      <c r="C877" t="s">
        <v>59</v>
      </c>
      <c r="D877" t="str">
        <f>IF(COUNTIFS(Verweise!$A$2:$A$4542,Übersicht!$C$7,Verweise!$B$2:$B$4542,B877)=1,"Feiertag",IF(C877="Samstag","",IF(C877="Sonntag","",Übersicht!$C$8)))</f>
        <v>Büro</v>
      </c>
    </row>
    <row r="878" spans="1:4" x14ac:dyDescent="0.25">
      <c r="A878" t="s">
        <v>70</v>
      </c>
      <c r="B878" s="48">
        <v>42645</v>
      </c>
      <c r="C878" t="s">
        <v>53</v>
      </c>
      <c r="D878" t="str">
        <f>IF(COUNTIFS(Verweise!$A$2:$A$4542,Übersicht!$C$7,Verweise!$B$2:$B$4542,B878)=1,"Feiertag",IF(C878="Samstag","",IF(C878="Sonntag","",Übersicht!$C$8)))</f>
        <v>Feiertag</v>
      </c>
    </row>
    <row r="879" spans="1:4" x14ac:dyDescent="0.25">
      <c r="A879" t="s">
        <v>70</v>
      </c>
      <c r="B879" s="48">
        <v>42674</v>
      </c>
      <c r="C879" t="s">
        <v>54</v>
      </c>
      <c r="D879" t="str">
        <f>IF(COUNTIFS(Verweise!$A$2:$A$4542,Übersicht!$C$7,Verweise!$B$2:$B$4542,B879)=1,"Feiertag",IF(C879="Samstag","",IF(C879="Sonntag","",Übersicht!$C$8)))</f>
        <v>Feiertag</v>
      </c>
    </row>
    <row r="880" spans="1:4" x14ac:dyDescent="0.25">
      <c r="A880" t="s">
        <v>70</v>
      </c>
      <c r="B880" s="48">
        <v>42728</v>
      </c>
      <c r="C880" t="s">
        <v>55</v>
      </c>
      <c r="D880" t="str">
        <f>IF(COUNTIFS(Verweise!$A$2:$A$4542,Übersicht!$C$7,Verweise!$B$2:$B$4542,B880)=1,"Feiertag",IF(C880="Samstag","",IF(C880="Sonntag","",Übersicht!$C$8)))</f>
        <v>Feiertag</v>
      </c>
    </row>
    <row r="881" spans="1:4" x14ac:dyDescent="0.25">
      <c r="A881" t="s">
        <v>70</v>
      </c>
      <c r="B881" s="48">
        <v>42729</v>
      </c>
      <c r="C881" t="s">
        <v>56</v>
      </c>
      <c r="D881" t="str">
        <f>IF(COUNTIFS(Verweise!$A$2:$A$4542,Übersicht!$C$7,Verweise!$B$2:$B$4542,B881)=1,"Feiertag",IF(C881="Samstag","",IF(C881="Sonntag","",Übersicht!$C$8)))</f>
        <v>Feiertag</v>
      </c>
    </row>
    <row r="882" spans="1:4" x14ac:dyDescent="0.25">
      <c r="A882" t="s">
        <v>71</v>
      </c>
      <c r="B882" s="48">
        <v>42369</v>
      </c>
      <c r="C882" t="s">
        <v>43</v>
      </c>
      <c r="D882" t="str">
        <f>IF(COUNTIFS(Verweise!$A$2:$A$4542,Übersicht!$C$7,Verweise!$B$2:$B$4542,B882)=1,"Feiertag",IF(C882="Samstag","",IF(C882="Sonntag","",Übersicht!$C$8)))</f>
        <v>Feiertag</v>
      </c>
    </row>
    <row r="883" spans="1:4" x14ac:dyDescent="0.25">
      <c r="A883" t="s">
        <v>71</v>
      </c>
      <c r="B883" s="48">
        <v>42469</v>
      </c>
      <c r="C883" t="s">
        <v>45</v>
      </c>
      <c r="D883" t="str">
        <f>IF(COUNTIFS(Verweise!$A$2:$A$4542,Übersicht!$C$7,Verweise!$B$2:$B$4542,B883)=1,"Feiertag",IF(C883="Samstag","",IF(C883="Sonntag","",Übersicht!$C$8)))</f>
        <v>Feiertag</v>
      </c>
    </row>
    <row r="884" spans="1:4" x14ac:dyDescent="0.25">
      <c r="A884" t="s">
        <v>71</v>
      </c>
      <c r="B884" s="48">
        <v>42471</v>
      </c>
      <c r="C884" t="s">
        <v>46</v>
      </c>
      <c r="D884" t="str">
        <f>IF(COUNTIFS(Verweise!$A$2:$A$4542,Übersicht!$C$7,Verweise!$B$2:$B$4542,B884)=1,"Feiertag",IF(C884="Samstag","",IF(C884="Sonntag","",Übersicht!$C$8)))</f>
        <v>Feiertag</v>
      </c>
    </row>
    <row r="885" spans="1:4" x14ac:dyDescent="0.25">
      <c r="A885" t="s">
        <v>71</v>
      </c>
      <c r="B885" s="48">
        <v>42472</v>
      </c>
      <c r="C885" t="s">
        <v>47</v>
      </c>
      <c r="D885" t="str">
        <f>IF(COUNTIFS(Verweise!$A$2:$A$4542,Übersicht!$C$7,Verweise!$B$2:$B$4542,B885)=1,"Feiertag",IF(C885="Samstag","",IF(C885="Sonntag","",Übersicht!$C$8)))</f>
        <v>Feiertag</v>
      </c>
    </row>
    <row r="886" spans="1:4" x14ac:dyDescent="0.25">
      <c r="A886" t="s">
        <v>71</v>
      </c>
      <c r="B886" s="48">
        <v>42490</v>
      </c>
      <c r="C886" t="s">
        <v>48</v>
      </c>
      <c r="D886" t="str">
        <f>IF(COUNTIFS(Verweise!$A$2:$A$4542,Übersicht!$C$7,Verweise!$B$2:$B$4542,B886)=1,"Feiertag",IF(C886="Samstag","",IF(C886="Sonntag","",Übersicht!$C$8)))</f>
        <v>Feiertag</v>
      </c>
    </row>
    <row r="887" spans="1:4" x14ac:dyDescent="0.25">
      <c r="A887" t="s">
        <v>71</v>
      </c>
      <c r="B887" s="48">
        <v>42510</v>
      </c>
      <c r="C887" t="s">
        <v>49</v>
      </c>
      <c r="D887" t="str">
        <f>IF(COUNTIFS(Verweise!$A$2:$A$4542,Übersicht!$C$7,Verweise!$B$2:$B$4542,B887)=1,"Feiertag",IF(C887="Samstag","",IF(C887="Sonntag","",Übersicht!$C$8)))</f>
        <v>Feiertag</v>
      </c>
    </row>
    <row r="888" spans="1:4" x14ac:dyDescent="0.25">
      <c r="A888" t="s">
        <v>71</v>
      </c>
      <c r="B888" s="48">
        <v>42520</v>
      </c>
      <c r="C888" t="s">
        <v>50</v>
      </c>
      <c r="D888" t="str">
        <f>IF(COUNTIFS(Verweise!$A$2:$A$4542,Übersicht!$C$7,Verweise!$B$2:$B$4542,B888)=1,"Feiertag",IF(C888="Samstag","",IF(C888="Sonntag","",Übersicht!$C$8)))</f>
        <v>Feiertag</v>
      </c>
    </row>
    <row r="889" spans="1:4" x14ac:dyDescent="0.25">
      <c r="A889" t="s">
        <v>71</v>
      </c>
      <c r="B889" s="48">
        <v>42521</v>
      </c>
      <c r="C889" t="s">
        <v>51</v>
      </c>
      <c r="D889" t="str">
        <f>IF(COUNTIFS(Verweise!$A$2:$A$4542,Übersicht!$C$7,Verweise!$B$2:$B$4542,B889)=1,"Feiertag",IF(C889="Samstag","",IF(C889="Sonntag","",Übersicht!$C$8)))</f>
        <v>Feiertag</v>
      </c>
    </row>
    <row r="890" spans="1:4" x14ac:dyDescent="0.25">
      <c r="A890" t="s">
        <v>71</v>
      </c>
      <c r="B890" s="48">
        <v>42645</v>
      </c>
      <c r="C890" t="s">
        <v>53</v>
      </c>
      <c r="D890" t="str">
        <f>IF(COUNTIFS(Verweise!$A$2:$A$4542,Übersicht!$C$7,Verweise!$B$2:$B$4542,B890)=1,"Feiertag",IF(C890="Samstag","",IF(C890="Sonntag","",Übersicht!$C$8)))</f>
        <v>Feiertag</v>
      </c>
    </row>
    <row r="891" spans="1:4" x14ac:dyDescent="0.25">
      <c r="A891" t="s">
        <v>71</v>
      </c>
      <c r="B891" s="48">
        <v>42673</v>
      </c>
      <c r="C891" t="s">
        <v>62</v>
      </c>
      <c r="D891" t="str">
        <f>IF(COUNTIFS(Verweise!$A$2:$A$4542,Übersicht!$C$7,Verweise!$B$2:$B$4542,B891)=1,"Feiertag",IF(C891="Samstag","",IF(C891="Sonntag","",Übersicht!$C$8)))</f>
        <v>Büro</v>
      </c>
    </row>
    <row r="892" spans="1:4" x14ac:dyDescent="0.25">
      <c r="A892" t="s">
        <v>71</v>
      </c>
      <c r="B892" s="48">
        <v>42691</v>
      </c>
      <c r="C892" t="s">
        <v>72</v>
      </c>
      <c r="D892" t="str">
        <f>IF(COUNTIFS(Verweise!$A$2:$A$4542,Übersicht!$C$7,Verweise!$B$2:$B$4542,B892)=1,"Feiertag",IF(C892="Samstag","",IF(C892="Sonntag","",Übersicht!$C$8)))</f>
        <v>Büro</v>
      </c>
    </row>
    <row r="893" spans="1:4" x14ac:dyDescent="0.25">
      <c r="A893" t="s">
        <v>71</v>
      </c>
      <c r="B893" s="48">
        <v>42728</v>
      </c>
      <c r="C893" t="s">
        <v>55</v>
      </c>
      <c r="D893" t="str">
        <f>IF(COUNTIFS(Verweise!$A$2:$A$4542,Übersicht!$C$7,Verweise!$B$2:$B$4542,B893)=1,"Feiertag",IF(C893="Samstag","",IF(C893="Sonntag","",Übersicht!$C$8)))</f>
        <v>Feiertag</v>
      </c>
    </row>
    <row r="894" spans="1:4" x14ac:dyDescent="0.25">
      <c r="A894" t="s">
        <v>71</v>
      </c>
      <c r="B894" s="48">
        <v>42729</v>
      </c>
      <c r="C894" t="s">
        <v>56</v>
      </c>
      <c r="D894" t="str">
        <f>IF(COUNTIFS(Verweise!$A$2:$A$4542,Übersicht!$C$7,Verweise!$B$2:$B$4542,B894)=1,"Feiertag",IF(C894="Samstag","",IF(C894="Sonntag","",Übersicht!$C$8)))</f>
        <v>Feiertag</v>
      </c>
    </row>
    <row r="895" spans="1:4" x14ac:dyDescent="0.25">
      <c r="A895" t="s">
        <v>73</v>
      </c>
      <c r="B895" s="48">
        <v>42369</v>
      </c>
      <c r="C895" t="s">
        <v>43</v>
      </c>
      <c r="D895" t="str">
        <f>IF(COUNTIFS(Verweise!$A$2:$A$4542,Übersicht!$C$7,Verweise!$B$2:$B$4542,B895)=1,"Feiertag",IF(C895="Samstag","",IF(C895="Sonntag","",Übersicht!$C$8)))</f>
        <v>Feiertag</v>
      </c>
    </row>
    <row r="896" spans="1:4" x14ac:dyDescent="0.25">
      <c r="A896" t="s">
        <v>73</v>
      </c>
      <c r="B896" s="48">
        <v>42469</v>
      </c>
      <c r="C896" t="s">
        <v>45</v>
      </c>
      <c r="D896" t="str">
        <f>IF(COUNTIFS(Verweise!$A$2:$A$4542,Übersicht!$C$7,Verweise!$B$2:$B$4542,B896)=1,"Feiertag",IF(C896="Samstag","",IF(C896="Sonntag","",Übersicht!$C$8)))</f>
        <v>Feiertag</v>
      </c>
    </row>
    <row r="897" spans="1:4" x14ac:dyDescent="0.25">
      <c r="A897" t="s">
        <v>73</v>
      </c>
      <c r="B897" s="48">
        <v>42471</v>
      </c>
      <c r="C897" t="s">
        <v>46</v>
      </c>
      <c r="D897" t="str">
        <f>IF(COUNTIFS(Verweise!$A$2:$A$4542,Übersicht!$C$7,Verweise!$B$2:$B$4542,B897)=1,"Feiertag",IF(C897="Samstag","",IF(C897="Sonntag","",Übersicht!$C$8)))</f>
        <v>Feiertag</v>
      </c>
    </row>
    <row r="898" spans="1:4" x14ac:dyDescent="0.25">
      <c r="A898" t="s">
        <v>73</v>
      </c>
      <c r="B898" s="48">
        <v>42472</v>
      </c>
      <c r="C898" t="s">
        <v>47</v>
      </c>
      <c r="D898" t="str">
        <f>IF(COUNTIFS(Verweise!$A$2:$A$4542,Übersicht!$C$7,Verweise!$B$2:$B$4542,B898)=1,"Feiertag",IF(C898="Samstag","",IF(C898="Sonntag","",Übersicht!$C$8)))</f>
        <v>Feiertag</v>
      </c>
    </row>
    <row r="899" spans="1:4" x14ac:dyDescent="0.25">
      <c r="A899" t="s">
        <v>73</v>
      </c>
      <c r="B899" s="48">
        <v>42490</v>
      </c>
      <c r="C899" t="s">
        <v>48</v>
      </c>
      <c r="D899" t="str">
        <f>IF(COUNTIFS(Verweise!$A$2:$A$4542,Übersicht!$C$7,Verweise!$B$2:$B$4542,B899)=1,"Feiertag",IF(C899="Samstag","",IF(C899="Sonntag","",Übersicht!$C$8)))</f>
        <v>Feiertag</v>
      </c>
    </row>
    <row r="900" spans="1:4" x14ac:dyDescent="0.25">
      <c r="A900" t="s">
        <v>73</v>
      </c>
      <c r="B900" s="48">
        <v>42510</v>
      </c>
      <c r="C900" t="s">
        <v>49</v>
      </c>
      <c r="D900" t="str">
        <f>IF(COUNTIFS(Verweise!$A$2:$A$4542,Übersicht!$C$7,Verweise!$B$2:$B$4542,B900)=1,"Feiertag",IF(C900="Samstag","",IF(C900="Sonntag","",Übersicht!$C$8)))</f>
        <v>Feiertag</v>
      </c>
    </row>
    <row r="901" spans="1:4" x14ac:dyDescent="0.25">
      <c r="A901" t="s">
        <v>73</v>
      </c>
      <c r="B901" s="48">
        <v>42520</v>
      </c>
      <c r="C901" t="s">
        <v>50</v>
      </c>
      <c r="D901" t="str">
        <f>IF(COUNTIFS(Verweise!$A$2:$A$4542,Übersicht!$C$7,Verweise!$B$2:$B$4542,B901)=1,"Feiertag",IF(C901="Samstag","",IF(C901="Sonntag","",Übersicht!$C$8)))</f>
        <v>Feiertag</v>
      </c>
    </row>
    <row r="902" spans="1:4" x14ac:dyDescent="0.25">
      <c r="A902" t="s">
        <v>73</v>
      </c>
      <c r="B902" s="48">
        <v>42521</v>
      </c>
      <c r="C902" t="s">
        <v>51</v>
      </c>
      <c r="D902" t="str">
        <f>IF(COUNTIFS(Verweise!$A$2:$A$4542,Übersicht!$C$7,Verweise!$B$2:$B$4542,B902)=1,"Feiertag",IF(C902="Samstag","",IF(C902="Sonntag","",Übersicht!$C$8)))</f>
        <v>Feiertag</v>
      </c>
    </row>
    <row r="903" spans="1:4" x14ac:dyDescent="0.25">
      <c r="A903" t="s">
        <v>73</v>
      </c>
      <c r="B903" s="48">
        <v>42531</v>
      </c>
      <c r="C903" t="s">
        <v>52</v>
      </c>
      <c r="D903" t="str">
        <f>IF(COUNTIFS(Verweise!$A$2:$A$4542,Übersicht!$C$7,Verweise!$B$2:$B$4542,B903)=1,"Feiertag",IF(C903="Samstag","",IF(C903="Sonntag","",Übersicht!$C$8)))</f>
        <v>Feiertag</v>
      </c>
    </row>
    <row r="904" spans="1:4" x14ac:dyDescent="0.25">
      <c r="A904" t="s">
        <v>73</v>
      </c>
      <c r="B904" s="48">
        <v>42645</v>
      </c>
      <c r="C904" t="s">
        <v>53</v>
      </c>
      <c r="D904" t="str">
        <f>IF(COUNTIFS(Verweise!$A$2:$A$4542,Übersicht!$C$7,Verweise!$B$2:$B$4542,B904)=1,"Feiertag",IF(C904="Samstag","",IF(C904="Sonntag","",Übersicht!$C$8)))</f>
        <v>Feiertag</v>
      </c>
    </row>
    <row r="905" spans="1:4" x14ac:dyDescent="0.25">
      <c r="A905" t="s">
        <v>73</v>
      </c>
      <c r="B905" s="48">
        <v>42673</v>
      </c>
      <c r="C905" t="s">
        <v>62</v>
      </c>
      <c r="D905" t="str">
        <f>IF(COUNTIFS(Verweise!$A$2:$A$4542,Übersicht!$C$7,Verweise!$B$2:$B$4542,B905)=1,"Feiertag",IF(C905="Samstag","",IF(C905="Sonntag","",Übersicht!$C$8)))</f>
        <v>Büro</v>
      </c>
    </row>
    <row r="906" spans="1:4" x14ac:dyDescent="0.25">
      <c r="A906" t="s">
        <v>73</v>
      </c>
      <c r="B906" s="48">
        <v>42691</v>
      </c>
      <c r="C906" t="s">
        <v>72</v>
      </c>
      <c r="D906" t="str">
        <f>IF(COUNTIFS(Verweise!$A$2:$A$4542,Übersicht!$C$7,Verweise!$B$2:$B$4542,B906)=1,"Feiertag",IF(C906="Samstag","",IF(C906="Sonntag","",Übersicht!$C$8)))</f>
        <v>Büro</v>
      </c>
    </row>
    <row r="907" spans="1:4" x14ac:dyDescent="0.25">
      <c r="A907" t="s">
        <v>73</v>
      </c>
      <c r="B907" s="48">
        <v>42728</v>
      </c>
      <c r="C907" t="s">
        <v>55</v>
      </c>
      <c r="D907" t="str">
        <f>IF(COUNTIFS(Verweise!$A$2:$A$4542,Übersicht!$C$7,Verweise!$B$2:$B$4542,B907)=1,"Feiertag",IF(C907="Samstag","",IF(C907="Sonntag","",Übersicht!$C$8)))</f>
        <v>Feiertag</v>
      </c>
    </row>
    <row r="908" spans="1:4" x14ac:dyDescent="0.25">
      <c r="A908" t="s">
        <v>73</v>
      </c>
      <c r="B908" s="48">
        <v>42729</v>
      </c>
      <c r="C908" t="s">
        <v>56</v>
      </c>
      <c r="D908" t="str">
        <f>IF(COUNTIFS(Verweise!$A$2:$A$4542,Übersicht!$C$7,Verweise!$B$2:$B$4542,B908)=1,"Feiertag",IF(C908="Samstag","",IF(C908="Sonntag","",Übersicht!$C$8)))</f>
        <v>Feiertag</v>
      </c>
    </row>
    <row r="909" spans="1:4" x14ac:dyDescent="0.25">
      <c r="A909" t="s">
        <v>74</v>
      </c>
      <c r="B909" s="48">
        <v>42369</v>
      </c>
      <c r="C909" t="s">
        <v>43</v>
      </c>
      <c r="D909" t="str">
        <f>IF(COUNTIFS(Verweise!$A$2:$A$4542,Übersicht!$C$7,Verweise!$B$2:$B$4542,B909)=1,"Feiertag",IF(C909="Samstag","",IF(C909="Sonntag","",Übersicht!$C$8)))</f>
        <v>Feiertag</v>
      </c>
    </row>
    <row r="910" spans="1:4" x14ac:dyDescent="0.25">
      <c r="A910" t="s">
        <v>74</v>
      </c>
      <c r="B910" s="48">
        <v>42374</v>
      </c>
      <c r="C910" t="s">
        <v>44</v>
      </c>
      <c r="D910" t="str">
        <f>IF(COUNTIFS(Verweise!$A$2:$A$4542,Übersicht!$C$7,Verweise!$B$2:$B$4542,B910)=1,"Feiertag",IF(C910="Samstag","",IF(C910="Sonntag","",Übersicht!$C$8)))</f>
        <v>Büro</v>
      </c>
    </row>
    <row r="911" spans="1:4" x14ac:dyDescent="0.25">
      <c r="A911" t="s">
        <v>74</v>
      </c>
      <c r="B911" s="48">
        <v>42469</v>
      </c>
      <c r="C911" t="s">
        <v>45</v>
      </c>
      <c r="D911" t="str">
        <f>IF(COUNTIFS(Verweise!$A$2:$A$4542,Übersicht!$C$7,Verweise!$B$2:$B$4542,B911)=1,"Feiertag",IF(C911="Samstag","",IF(C911="Sonntag","",Übersicht!$C$8)))</f>
        <v>Feiertag</v>
      </c>
    </row>
    <row r="912" spans="1:4" x14ac:dyDescent="0.25">
      <c r="A912" t="s">
        <v>74</v>
      </c>
      <c r="B912" s="48">
        <v>42471</v>
      </c>
      <c r="C912" t="s">
        <v>46</v>
      </c>
      <c r="D912" t="str">
        <f>IF(COUNTIFS(Verweise!$A$2:$A$4542,Übersicht!$C$7,Verweise!$B$2:$B$4542,B912)=1,"Feiertag",IF(C912="Samstag","",IF(C912="Sonntag","",Übersicht!$C$8)))</f>
        <v>Feiertag</v>
      </c>
    </row>
    <row r="913" spans="1:4" x14ac:dyDescent="0.25">
      <c r="A913" t="s">
        <v>74</v>
      </c>
      <c r="B913" s="48">
        <v>42472</v>
      </c>
      <c r="C913" t="s">
        <v>47</v>
      </c>
      <c r="D913" t="str">
        <f>IF(COUNTIFS(Verweise!$A$2:$A$4542,Übersicht!$C$7,Verweise!$B$2:$B$4542,B913)=1,"Feiertag",IF(C913="Samstag","",IF(C913="Sonntag","",Übersicht!$C$8)))</f>
        <v>Feiertag</v>
      </c>
    </row>
    <row r="914" spans="1:4" x14ac:dyDescent="0.25">
      <c r="A914" t="s">
        <v>74</v>
      </c>
      <c r="B914" s="48">
        <v>42490</v>
      </c>
      <c r="C914" t="s">
        <v>48</v>
      </c>
      <c r="D914" t="str">
        <f>IF(COUNTIFS(Verweise!$A$2:$A$4542,Übersicht!$C$7,Verweise!$B$2:$B$4542,B914)=1,"Feiertag",IF(C914="Samstag","",IF(C914="Sonntag","",Übersicht!$C$8)))</f>
        <v>Feiertag</v>
      </c>
    </row>
    <row r="915" spans="1:4" x14ac:dyDescent="0.25">
      <c r="A915" t="s">
        <v>74</v>
      </c>
      <c r="B915" s="48">
        <v>42510</v>
      </c>
      <c r="C915" t="s">
        <v>49</v>
      </c>
      <c r="D915" t="str">
        <f>IF(COUNTIFS(Verweise!$A$2:$A$4542,Übersicht!$C$7,Verweise!$B$2:$B$4542,B915)=1,"Feiertag",IF(C915="Samstag","",IF(C915="Sonntag","",Übersicht!$C$8)))</f>
        <v>Feiertag</v>
      </c>
    </row>
    <row r="916" spans="1:4" x14ac:dyDescent="0.25">
      <c r="A916" t="s">
        <v>74</v>
      </c>
      <c r="B916" s="48">
        <v>42520</v>
      </c>
      <c r="C916" t="s">
        <v>50</v>
      </c>
      <c r="D916" t="str">
        <f>IF(COUNTIFS(Verweise!$A$2:$A$4542,Übersicht!$C$7,Verweise!$B$2:$B$4542,B916)=1,"Feiertag",IF(C916="Samstag","",IF(C916="Sonntag","",Übersicht!$C$8)))</f>
        <v>Feiertag</v>
      </c>
    </row>
    <row r="917" spans="1:4" x14ac:dyDescent="0.25">
      <c r="A917" t="s">
        <v>74</v>
      </c>
      <c r="B917" s="48">
        <v>42521</v>
      </c>
      <c r="C917" t="s">
        <v>51</v>
      </c>
      <c r="D917" t="str">
        <f>IF(COUNTIFS(Verweise!$A$2:$A$4542,Übersicht!$C$7,Verweise!$B$2:$B$4542,B917)=1,"Feiertag",IF(C917="Samstag","",IF(C917="Sonntag","",Übersicht!$C$8)))</f>
        <v>Feiertag</v>
      </c>
    </row>
    <row r="918" spans="1:4" x14ac:dyDescent="0.25">
      <c r="A918" t="s">
        <v>74</v>
      </c>
      <c r="B918" s="48">
        <v>42645</v>
      </c>
      <c r="C918" t="s">
        <v>53</v>
      </c>
      <c r="D918" t="str">
        <f>IF(COUNTIFS(Verweise!$A$2:$A$4542,Übersicht!$C$7,Verweise!$B$2:$B$4542,B918)=1,"Feiertag",IF(C918="Samstag","",IF(C918="Sonntag","",Übersicht!$C$8)))</f>
        <v>Feiertag</v>
      </c>
    </row>
    <row r="919" spans="1:4" x14ac:dyDescent="0.25">
      <c r="A919" t="s">
        <v>74</v>
      </c>
      <c r="B919" s="48">
        <v>42673</v>
      </c>
      <c r="C919" t="s">
        <v>62</v>
      </c>
      <c r="D919" t="str">
        <f>IF(COUNTIFS(Verweise!$A$2:$A$4542,Übersicht!$C$7,Verweise!$B$2:$B$4542,B919)=1,"Feiertag",IF(C919="Samstag","",IF(C919="Sonntag","",Übersicht!$C$8)))</f>
        <v>Büro</v>
      </c>
    </row>
    <row r="920" spans="1:4" x14ac:dyDescent="0.25">
      <c r="A920" t="s">
        <v>74</v>
      </c>
      <c r="B920" s="48">
        <v>42728</v>
      </c>
      <c r="C920" t="s">
        <v>55</v>
      </c>
      <c r="D920" t="str">
        <f>IF(COUNTIFS(Verweise!$A$2:$A$4542,Übersicht!$C$7,Verweise!$B$2:$B$4542,B920)=1,"Feiertag",IF(C920="Samstag","",IF(C920="Sonntag","",Übersicht!$C$8)))</f>
        <v>Feiertag</v>
      </c>
    </row>
    <row r="921" spans="1:4" x14ac:dyDescent="0.25">
      <c r="A921" t="s">
        <v>74</v>
      </c>
      <c r="B921" s="48">
        <v>42729</v>
      </c>
      <c r="C921" t="s">
        <v>56</v>
      </c>
      <c r="D921" t="str">
        <f>IF(COUNTIFS(Verweise!$A$2:$A$4542,Übersicht!$C$7,Verweise!$B$2:$B$4542,B921)=1,"Feiertag",IF(C921="Samstag","",IF(C921="Sonntag","",Übersicht!$C$8)))</f>
        <v>Feiertag</v>
      </c>
    </row>
    <row r="922" spans="1:4" x14ac:dyDescent="0.25">
      <c r="A922" t="s">
        <v>75</v>
      </c>
      <c r="B922" s="48">
        <v>42369</v>
      </c>
      <c r="C922" t="s">
        <v>43</v>
      </c>
      <c r="D922" t="str">
        <f>IF(COUNTIFS(Verweise!$A$2:$A$4542,Übersicht!$C$7,Verweise!$B$2:$B$4542,B922)=1,"Feiertag",IF(C922="Samstag","",IF(C922="Sonntag","",Übersicht!$C$8)))</f>
        <v>Feiertag</v>
      </c>
    </row>
    <row r="923" spans="1:4" x14ac:dyDescent="0.25">
      <c r="A923" t="s">
        <v>75</v>
      </c>
      <c r="B923" s="48">
        <v>42469</v>
      </c>
      <c r="C923" t="s">
        <v>45</v>
      </c>
      <c r="D923" t="str">
        <f>IF(COUNTIFS(Verweise!$A$2:$A$4542,Übersicht!$C$7,Verweise!$B$2:$B$4542,B923)=1,"Feiertag",IF(C923="Samstag","",IF(C923="Sonntag","",Übersicht!$C$8)))</f>
        <v>Feiertag</v>
      </c>
    </row>
    <row r="924" spans="1:4" x14ac:dyDescent="0.25">
      <c r="A924" t="s">
        <v>75</v>
      </c>
      <c r="B924" s="48">
        <v>42471</v>
      </c>
      <c r="C924" t="s">
        <v>46</v>
      </c>
      <c r="D924" t="str">
        <f>IF(COUNTIFS(Verweise!$A$2:$A$4542,Übersicht!$C$7,Verweise!$B$2:$B$4542,B924)=1,"Feiertag",IF(C924="Samstag","",IF(C924="Sonntag","",Übersicht!$C$8)))</f>
        <v>Feiertag</v>
      </c>
    </row>
    <row r="925" spans="1:4" x14ac:dyDescent="0.25">
      <c r="A925" t="s">
        <v>75</v>
      </c>
      <c r="B925" s="48">
        <v>42472</v>
      </c>
      <c r="C925" t="s">
        <v>47</v>
      </c>
      <c r="D925" t="str">
        <f>IF(COUNTIFS(Verweise!$A$2:$A$4542,Übersicht!$C$7,Verweise!$B$2:$B$4542,B925)=1,"Feiertag",IF(C925="Samstag","",IF(C925="Sonntag","",Übersicht!$C$8)))</f>
        <v>Feiertag</v>
      </c>
    </row>
    <row r="926" spans="1:4" x14ac:dyDescent="0.25">
      <c r="A926" t="s">
        <v>75</v>
      </c>
      <c r="B926" s="48">
        <v>42490</v>
      </c>
      <c r="C926" t="s">
        <v>48</v>
      </c>
      <c r="D926" t="str">
        <f>IF(COUNTIFS(Verweise!$A$2:$A$4542,Übersicht!$C$7,Verweise!$B$2:$B$4542,B926)=1,"Feiertag",IF(C926="Samstag","",IF(C926="Sonntag","",Übersicht!$C$8)))</f>
        <v>Feiertag</v>
      </c>
    </row>
    <row r="927" spans="1:4" x14ac:dyDescent="0.25">
      <c r="A927" t="s">
        <v>75</v>
      </c>
      <c r="B927" s="48">
        <v>42510</v>
      </c>
      <c r="C927" t="s">
        <v>49</v>
      </c>
      <c r="D927" t="str">
        <f>IF(COUNTIFS(Verweise!$A$2:$A$4542,Übersicht!$C$7,Verweise!$B$2:$B$4542,B927)=1,"Feiertag",IF(C927="Samstag","",IF(C927="Sonntag","",Übersicht!$C$8)))</f>
        <v>Feiertag</v>
      </c>
    </row>
    <row r="928" spans="1:4" x14ac:dyDescent="0.25">
      <c r="A928" t="s">
        <v>75</v>
      </c>
      <c r="B928" s="48">
        <v>42520</v>
      </c>
      <c r="C928" t="s">
        <v>50</v>
      </c>
      <c r="D928" t="str">
        <f>IF(COUNTIFS(Verweise!$A$2:$A$4542,Übersicht!$C$7,Verweise!$B$2:$B$4542,B928)=1,"Feiertag",IF(C928="Samstag","",IF(C928="Sonntag","",Übersicht!$C$8)))</f>
        <v>Feiertag</v>
      </c>
    </row>
    <row r="929" spans="1:4" x14ac:dyDescent="0.25">
      <c r="A929" t="s">
        <v>75</v>
      </c>
      <c r="B929" s="48">
        <v>42521</v>
      </c>
      <c r="C929" t="s">
        <v>51</v>
      </c>
      <c r="D929" t="str">
        <f>IF(COUNTIFS(Verweise!$A$2:$A$4542,Übersicht!$C$7,Verweise!$B$2:$B$4542,B929)=1,"Feiertag",IF(C929="Samstag","",IF(C929="Sonntag","",Übersicht!$C$8)))</f>
        <v>Feiertag</v>
      </c>
    </row>
    <row r="930" spans="1:4" x14ac:dyDescent="0.25">
      <c r="A930" t="s">
        <v>75</v>
      </c>
      <c r="B930" s="48">
        <v>42645</v>
      </c>
      <c r="C930" t="s">
        <v>53</v>
      </c>
      <c r="D930" t="str">
        <f>IF(COUNTIFS(Verweise!$A$2:$A$4542,Übersicht!$C$7,Verweise!$B$2:$B$4542,B930)=1,"Feiertag",IF(C930="Samstag","",IF(C930="Sonntag","",Übersicht!$C$8)))</f>
        <v>Feiertag</v>
      </c>
    </row>
    <row r="931" spans="1:4" x14ac:dyDescent="0.25">
      <c r="A931" t="s">
        <v>75</v>
      </c>
      <c r="B931" s="48">
        <v>42728</v>
      </c>
      <c r="C931" t="s">
        <v>55</v>
      </c>
      <c r="D931" t="str">
        <f>IF(COUNTIFS(Verweise!$A$2:$A$4542,Übersicht!$C$7,Verweise!$B$2:$B$4542,B931)=1,"Feiertag",IF(C931="Samstag","",IF(C931="Sonntag","",Übersicht!$C$8)))</f>
        <v>Feiertag</v>
      </c>
    </row>
    <row r="932" spans="1:4" x14ac:dyDescent="0.25">
      <c r="A932" t="s">
        <v>75</v>
      </c>
      <c r="B932" s="48">
        <v>42729</v>
      </c>
      <c r="C932" t="s">
        <v>56</v>
      </c>
      <c r="D932" t="str">
        <f>IF(COUNTIFS(Verweise!$A$2:$A$4542,Übersicht!$C$7,Verweise!$B$2:$B$4542,B932)=1,"Feiertag",IF(C932="Samstag","",IF(C932="Sonntag","",Übersicht!$C$8)))</f>
        <v>Feiertag</v>
      </c>
    </row>
    <row r="933" spans="1:4" x14ac:dyDescent="0.25">
      <c r="A933" t="s">
        <v>76</v>
      </c>
      <c r="B933" s="48">
        <v>42369</v>
      </c>
      <c r="C933" t="s">
        <v>43</v>
      </c>
      <c r="D933" t="str">
        <f>IF(COUNTIFS(Verweise!$A$2:$A$4542,Übersicht!$C$7,Verweise!$B$2:$B$4542,B933)=1,"Feiertag",IF(C933="Samstag","",IF(C933="Sonntag","",Übersicht!$C$8)))</f>
        <v>Feiertag</v>
      </c>
    </row>
    <row r="934" spans="1:4" x14ac:dyDescent="0.25">
      <c r="A934" t="s">
        <v>76</v>
      </c>
      <c r="B934" s="48">
        <v>42469</v>
      </c>
      <c r="C934" t="s">
        <v>45</v>
      </c>
      <c r="D934" t="str">
        <f>IF(COUNTIFS(Verweise!$A$2:$A$4542,Übersicht!$C$7,Verweise!$B$2:$B$4542,B934)=1,"Feiertag",IF(C934="Samstag","",IF(C934="Sonntag","",Übersicht!$C$8)))</f>
        <v>Feiertag</v>
      </c>
    </row>
    <row r="935" spans="1:4" x14ac:dyDescent="0.25">
      <c r="A935" t="s">
        <v>76</v>
      </c>
      <c r="B935" s="48">
        <v>42471</v>
      </c>
      <c r="C935" t="s">
        <v>46</v>
      </c>
      <c r="D935" t="str">
        <f>IF(COUNTIFS(Verweise!$A$2:$A$4542,Übersicht!$C$7,Verweise!$B$2:$B$4542,B935)=1,"Feiertag",IF(C935="Samstag","",IF(C935="Sonntag","",Übersicht!$C$8)))</f>
        <v>Feiertag</v>
      </c>
    </row>
    <row r="936" spans="1:4" x14ac:dyDescent="0.25">
      <c r="A936" t="s">
        <v>76</v>
      </c>
      <c r="B936" s="48">
        <v>42472</v>
      </c>
      <c r="C936" t="s">
        <v>47</v>
      </c>
      <c r="D936" t="str">
        <f>IF(COUNTIFS(Verweise!$A$2:$A$4542,Übersicht!$C$7,Verweise!$B$2:$B$4542,B936)=1,"Feiertag",IF(C936="Samstag","",IF(C936="Sonntag","",Übersicht!$C$8)))</f>
        <v>Feiertag</v>
      </c>
    </row>
    <row r="937" spans="1:4" x14ac:dyDescent="0.25">
      <c r="A937" t="s">
        <v>76</v>
      </c>
      <c r="B937" s="48">
        <v>42490</v>
      </c>
      <c r="C937" t="s">
        <v>48</v>
      </c>
      <c r="D937" t="str">
        <f>IF(COUNTIFS(Verweise!$A$2:$A$4542,Übersicht!$C$7,Verweise!$B$2:$B$4542,B937)=1,"Feiertag",IF(C937="Samstag","",IF(C937="Sonntag","",Übersicht!$C$8)))</f>
        <v>Feiertag</v>
      </c>
    </row>
    <row r="938" spans="1:4" x14ac:dyDescent="0.25">
      <c r="A938" t="s">
        <v>76</v>
      </c>
      <c r="B938" s="48">
        <v>42510</v>
      </c>
      <c r="C938" t="s">
        <v>49</v>
      </c>
      <c r="D938" t="str">
        <f>IF(COUNTIFS(Verweise!$A$2:$A$4542,Übersicht!$C$7,Verweise!$B$2:$B$4542,B938)=1,"Feiertag",IF(C938="Samstag","",IF(C938="Sonntag","",Übersicht!$C$8)))</f>
        <v>Feiertag</v>
      </c>
    </row>
    <row r="939" spans="1:4" x14ac:dyDescent="0.25">
      <c r="A939" t="s">
        <v>76</v>
      </c>
      <c r="B939" s="48">
        <v>42520</v>
      </c>
      <c r="C939" t="s">
        <v>50</v>
      </c>
      <c r="D939" t="str">
        <f>IF(COUNTIFS(Verweise!$A$2:$A$4542,Übersicht!$C$7,Verweise!$B$2:$B$4542,B939)=1,"Feiertag",IF(C939="Samstag","",IF(C939="Sonntag","",Übersicht!$C$8)))</f>
        <v>Feiertag</v>
      </c>
    </row>
    <row r="940" spans="1:4" x14ac:dyDescent="0.25">
      <c r="A940" t="s">
        <v>76</v>
      </c>
      <c r="B940" s="48">
        <v>42521</v>
      </c>
      <c r="C940" t="s">
        <v>51</v>
      </c>
      <c r="D940" t="str">
        <f>IF(COUNTIFS(Verweise!$A$2:$A$4542,Übersicht!$C$7,Verweise!$B$2:$B$4542,B940)=1,"Feiertag",IF(C940="Samstag","",IF(C940="Sonntag","",Übersicht!$C$8)))</f>
        <v>Feiertag</v>
      </c>
    </row>
    <row r="941" spans="1:4" x14ac:dyDescent="0.25">
      <c r="A941" t="s">
        <v>76</v>
      </c>
      <c r="B941" s="48">
        <v>42645</v>
      </c>
      <c r="C941" t="s">
        <v>53</v>
      </c>
      <c r="D941" t="str">
        <f>IF(COUNTIFS(Verweise!$A$2:$A$4542,Übersicht!$C$7,Verweise!$B$2:$B$4542,B941)=1,"Feiertag",IF(C941="Samstag","",IF(C941="Sonntag","",Übersicht!$C$8)))</f>
        <v>Feiertag</v>
      </c>
    </row>
    <row r="942" spans="1:4" x14ac:dyDescent="0.25">
      <c r="A942" t="s">
        <v>76</v>
      </c>
      <c r="B942" s="48">
        <v>42673</v>
      </c>
      <c r="C942" t="s">
        <v>62</v>
      </c>
      <c r="D942" t="str">
        <f>IF(COUNTIFS(Verweise!$A$2:$A$4542,Übersicht!$C$7,Verweise!$B$2:$B$4542,B942)=1,"Feiertag",IF(C942="Samstag","",IF(C942="Sonntag","",Übersicht!$C$8)))</f>
        <v>Büro</v>
      </c>
    </row>
    <row r="943" spans="1:4" x14ac:dyDescent="0.25">
      <c r="A943" t="s">
        <v>76</v>
      </c>
      <c r="B943" s="48">
        <v>42728</v>
      </c>
      <c r="C943" t="s">
        <v>55</v>
      </c>
      <c r="D943" t="str">
        <f>IF(COUNTIFS(Verweise!$A$2:$A$4542,Übersicht!$C$7,Verweise!$B$2:$B$4542,B943)=1,"Feiertag",IF(C943="Samstag","",IF(C943="Sonntag","",Übersicht!$C$8)))</f>
        <v>Feiertag</v>
      </c>
    </row>
    <row r="944" spans="1:4" x14ac:dyDescent="0.25">
      <c r="A944" t="s">
        <v>76</v>
      </c>
      <c r="B944" s="48">
        <v>42729</v>
      </c>
      <c r="C944" t="s">
        <v>56</v>
      </c>
      <c r="D944" t="str">
        <f>IF(COUNTIFS(Verweise!$A$2:$A$4542,Übersicht!$C$7,Verweise!$B$2:$B$4542,B944)=1,"Feiertag",IF(C944="Samstag","",IF(C944="Sonntag","",Übersicht!$C$8)))</f>
        <v>Feiertag</v>
      </c>
    </row>
    <row r="945" spans="1:4" x14ac:dyDescent="0.25">
      <c r="A945" t="s">
        <v>77</v>
      </c>
      <c r="B945" s="48">
        <v>42369</v>
      </c>
      <c r="C945" t="s">
        <v>43</v>
      </c>
      <c r="D945" t="str">
        <f>IF(COUNTIFS(Verweise!$A$2:$A$4542,Übersicht!$C$7,Verweise!$B$2:$B$4542,B945)=1,"Feiertag",IF(C945="Samstag","",IF(C945="Sonntag","",Übersicht!$C$8)))</f>
        <v>Feiertag</v>
      </c>
    </row>
    <row r="946" spans="1:4" x14ac:dyDescent="0.25">
      <c r="A946" t="s">
        <v>77</v>
      </c>
      <c r="B946" s="48">
        <v>42469</v>
      </c>
      <c r="C946" t="s">
        <v>45</v>
      </c>
      <c r="D946" t="str">
        <f>IF(COUNTIFS(Verweise!$A$2:$A$4542,Übersicht!$C$7,Verweise!$B$2:$B$4542,B946)=1,"Feiertag",IF(C946="Samstag","",IF(C946="Sonntag","",Übersicht!$C$8)))</f>
        <v>Feiertag</v>
      </c>
    </row>
    <row r="947" spans="1:4" x14ac:dyDescent="0.25">
      <c r="A947" t="s">
        <v>77</v>
      </c>
      <c r="B947" s="48">
        <v>42471</v>
      </c>
      <c r="C947" t="s">
        <v>46</v>
      </c>
      <c r="D947" t="str">
        <f>IF(COUNTIFS(Verweise!$A$2:$A$4542,Übersicht!$C$7,Verweise!$B$2:$B$4542,B947)=1,"Feiertag",IF(C947="Samstag","",IF(C947="Sonntag","",Übersicht!$C$8)))</f>
        <v>Feiertag</v>
      </c>
    </row>
    <row r="948" spans="1:4" x14ac:dyDescent="0.25">
      <c r="A948" t="s">
        <v>77</v>
      </c>
      <c r="B948" s="48">
        <v>42472</v>
      </c>
      <c r="C948" t="s">
        <v>47</v>
      </c>
      <c r="D948" t="str">
        <f>IF(COUNTIFS(Verweise!$A$2:$A$4542,Übersicht!$C$7,Verweise!$B$2:$B$4542,B948)=1,"Feiertag",IF(C948="Samstag","",IF(C948="Sonntag","",Übersicht!$C$8)))</f>
        <v>Feiertag</v>
      </c>
    </row>
    <row r="949" spans="1:4" x14ac:dyDescent="0.25">
      <c r="A949" t="s">
        <v>77</v>
      </c>
      <c r="B949" s="48">
        <v>42490</v>
      </c>
      <c r="C949" t="s">
        <v>48</v>
      </c>
      <c r="D949" t="str">
        <f>IF(COUNTIFS(Verweise!$A$2:$A$4542,Übersicht!$C$7,Verweise!$B$2:$B$4542,B949)=1,"Feiertag",IF(C949="Samstag","",IF(C949="Sonntag","",Übersicht!$C$8)))</f>
        <v>Feiertag</v>
      </c>
    </row>
    <row r="950" spans="1:4" x14ac:dyDescent="0.25">
      <c r="A950" t="s">
        <v>77</v>
      </c>
      <c r="B950" s="48">
        <v>42510</v>
      </c>
      <c r="C950" t="s">
        <v>49</v>
      </c>
      <c r="D950" t="str">
        <f>IF(COUNTIFS(Verweise!$A$2:$A$4542,Übersicht!$C$7,Verweise!$B$2:$B$4542,B950)=1,"Feiertag",IF(C950="Samstag","",IF(C950="Sonntag","",Übersicht!$C$8)))</f>
        <v>Feiertag</v>
      </c>
    </row>
    <row r="951" spans="1:4" x14ac:dyDescent="0.25">
      <c r="A951" t="s">
        <v>77</v>
      </c>
      <c r="B951" s="48">
        <v>42520</v>
      </c>
      <c r="C951" t="s">
        <v>50</v>
      </c>
      <c r="D951" t="str">
        <f>IF(COUNTIFS(Verweise!$A$2:$A$4542,Übersicht!$C$7,Verweise!$B$2:$B$4542,B951)=1,"Feiertag",IF(C951="Samstag","",IF(C951="Sonntag","",Übersicht!$C$8)))</f>
        <v>Feiertag</v>
      </c>
    </row>
    <row r="952" spans="1:4" x14ac:dyDescent="0.25">
      <c r="A952" t="s">
        <v>77</v>
      </c>
      <c r="B952" s="48">
        <v>42521</v>
      </c>
      <c r="C952" t="s">
        <v>51</v>
      </c>
      <c r="D952" t="str">
        <f>IF(COUNTIFS(Verweise!$A$2:$A$4542,Übersicht!$C$7,Verweise!$B$2:$B$4542,B952)=1,"Feiertag",IF(C952="Samstag","",IF(C952="Sonntag","",Übersicht!$C$8)))</f>
        <v>Feiertag</v>
      </c>
    </row>
    <row r="953" spans="1:4" x14ac:dyDescent="0.25">
      <c r="A953" t="s">
        <v>77</v>
      </c>
      <c r="B953" s="48">
        <v>42531</v>
      </c>
      <c r="C953" t="s">
        <v>52</v>
      </c>
      <c r="D953" t="str">
        <f>IF(COUNTIFS(Verweise!$A$2:$A$4542,Übersicht!$C$7,Verweise!$B$2:$B$4542,B953)=1,"Feiertag",IF(C953="Samstag","",IF(C953="Sonntag","",Übersicht!$C$8)))</f>
        <v>Feiertag</v>
      </c>
    </row>
    <row r="954" spans="1:4" x14ac:dyDescent="0.25">
      <c r="A954" t="s">
        <v>77</v>
      </c>
      <c r="B954" s="48">
        <v>42645</v>
      </c>
      <c r="C954" t="s">
        <v>53</v>
      </c>
      <c r="D954" t="str">
        <f>IF(COUNTIFS(Verweise!$A$2:$A$4542,Übersicht!$C$7,Verweise!$B$2:$B$4542,B954)=1,"Feiertag",IF(C954="Samstag","",IF(C954="Sonntag","",Übersicht!$C$8)))</f>
        <v>Feiertag</v>
      </c>
    </row>
    <row r="955" spans="1:4" x14ac:dyDescent="0.25">
      <c r="A955" t="s">
        <v>77</v>
      </c>
      <c r="B955" s="48">
        <v>42673</v>
      </c>
      <c r="C955" t="s">
        <v>62</v>
      </c>
      <c r="D955" t="str">
        <f>IF(COUNTIFS(Verweise!$A$2:$A$4542,Übersicht!$C$7,Verweise!$B$2:$B$4542,B955)=1,"Feiertag",IF(C955="Samstag","",IF(C955="Sonntag","",Übersicht!$C$8)))</f>
        <v>Büro</v>
      </c>
    </row>
    <row r="956" spans="1:4" x14ac:dyDescent="0.25">
      <c r="A956" t="s">
        <v>77</v>
      </c>
      <c r="B956" s="48">
        <v>42728</v>
      </c>
      <c r="C956" t="s">
        <v>55</v>
      </c>
      <c r="D956" t="str">
        <f>IF(COUNTIFS(Verweise!$A$2:$A$4542,Übersicht!$C$7,Verweise!$B$2:$B$4542,B956)=1,"Feiertag",IF(C956="Samstag","",IF(C956="Sonntag","",Übersicht!$C$8)))</f>
        <v>Feiertag</v>
      </c>
    </row>
    <row r="957" spans="1:4" x14ac:dyDescent="0.25">
      <c r="A957" t="s">
        <v>77</v>
      </c>
      <c r="B957" s="48">
        <v>42729</v>
      </c>
      <c r="C957" t="s">
        <v>56</v>
      </c>
      <c r="D957" t="str">
        <f>IF(COUNTIFS(Verweise!$A$2:$A$4542,Übersicht!$C$7,Verweise!$B$2:$B$4542,B957)=1,"Feiertag",IF(C957="Samstag","",IF(C957="Sonntag","",Übersicht!$C$8)))</f>
        <v>Feiertag</v>
      </c>
    </row>
    <row r="958" spans="1:4" x14ac:dyDescent="0.25">
      <c r="A958" t="s">
        <v>42</v>
      </c>
      <c r="B958" s="48">
        <v>42735</v>
      </c>
      <c r="C958" t="s">
        <v>43</v>
      </c>
      <c r="D958" t="str">
        <f>IF(COUNTIFS(Verweise!$A$2:$A$4542,Übersicht!$C$7,Verweise!$B$2:$B$4542,B958)=1,"Feiertag",IF(C958="Samstag","",IF(C958="Sonntag","",Übersicht!$C$8)))</f>
        <v>Feiertag</v>
      </c>
    </row>
    <row r="959" spans="1:4" x14ac:dyDescent="0.25">
      <c r="A959" t="s">
        <v>42</v>
      </c>
      <c r="B959" s="48">
        <v>42740</v>
      </c>
      <c r="C959" t="s">
        <v>44</v>
      </c>
      <c r="D959" t="str">
        <f>IF(COUNTIFS(Verweise!$A$2:$A$4542,Übersicht!$C$7,Verweise!$B$2:$B$4542,B959)=1,"Feiertag",IF(C959="Samstag","",IF(C959="Sonntag","",Übersicht!$C$8)))</f>
        <v>Büro</v>
      </c>
    </row>
    <row r="960" spans="1:4" x14ac:dyDescent="0.25">
      <c r="A960" t="s">
        <v>42</v>
      </c>
      <c r="B960" s="48">
        <v>42826</v>
      </c>
      <c r="C960" t="s">
        <v>45</v>
      </c>
      <c r="D960" t="str">
        <f>IF(COUNTIFS(Verweise!$A$2:$A$4542,Übersicht!$C$7,Verweise!$B$2:$B$4542,B960)=1,"Feiertag",IF(C960="Samstag","",IF(C960="Sonntag","",Übersicht!$C$8)))</f>
        <v>Feiertag</v>
      </c>
    </row>
    <row r="961" spans="1:4" x14ac:dyDescent="0.25">
      <c r="A961" t="s">
        <v>42</v>
      </c>
      <c r="B961" s="48">
        <v>42828</v>
      </c>
      <c r="C961" t="s">
        <v>46</v>
      </c>
      <c r="D961" t="str">
        <f>IF(COUNTIFS(Verweise!$A$2:$A$4542,Übersicht!$C$7,Verweise!$B$2:$B$4542,B961)=1,"Feiertag",IF(C961="Samstag","",IF(C961="Sonntag","",Übersicht!$C$8)))</f>
        <v>Feiertag</v>
      </c>
    </row>
    <row r="962" spans="1:4" x14ac:dyDescent="0.25">
      <c r="A962" t="s">
        <v>42</v>
      </c>
      <c r="B962" s="48">
        <v>42829</v>
      </c>
      <c r="C962" t="s">
        <v>47</v>
      </c>
      <c r="D962" t="str">
        <f>IF(COUNTIFS(Verweise!$A$2:$A$4542,Übersicht!$C$7,Verweise!$B$2:$B$4542,B962)=1,"Feiertag",IF(C962="Samstag","",IF(C962="Sonntag","",Übersicht!$C$8)))</f>
        <v>Feiertag</v>
      </c>
    </row>
    <row r="963" spans="1:4" x14ac:dyDescent="0.25">
      <c r="A963" t="s">
        <v>42</v>
      </c>
      <c r="B963" s="48">
        <v>42855</v>
      </c>
      <c r="C963" t="s">
        <v>48</v>
      </c>
      <c r="D963" t="str">
        <f>IF(COUNTIFS(Verweise!$A$2:$A$4542,Übersicht!$C$7,Verweise!$B$2:$B$4542,B963)=1,"Feiertag",IF(C963="Samstag","",IF(C963="Sonntag","",Übersicht!$C$8)))</f>
        <v>Feiertag</v>
      </c>
    </row>
    <row r="964" spans="1:4" x14ac:dyDescent="0.25">
      <c r="A964" t="s">
        <v>42</v>
      </c>
      <c r="B964" s="48">
        <v>42867</v>
      </c>
      <c r="C964" t="s">
        <v>49</v>
      </c>
      <c r="D964" t="str">
        <f>IF(COUNTIFS(Verweise!$A$2:$A$4542,Übersicht!$C$7,Verweise!$B$2:$B$4542,B964)=1,"Feiertag",IF(C964="Samstag","",IF(C964="Sonntag","",Übersicht!$C$8)))</f>
        <v>Feiertag</v>
      </c>
    </row>
    <row r="965" spans="1:4" x14ac:dyDescent="0.25">
      <c r="A965" t="s">
        <v>42</v>
      </c>
      <c r="B965" s="48">
        <v>42877</v>
      </c>
      <c r="C965" t="s">
        <v>50</v>
      </c>
      <c r="D965" t="str">
        <f>IF(COUNTIFS(Verweise!$A$2:$A$4542,Übersicht!$C$7,Verweise!$B$2:$B$4542,B965)=1,"Feiertag",IF(C965="Samstag","",IF(C965="Sonntag","",Übersicht!$C$8)))</f>
        <v>Feiertag</v>
      </c>
    </row>
    <row r="966" spans="1:4" x14ac:dyDescent="0.25">
      <c r="A966" t="s">
        <v>42</v>
      </c>
      <c r="B966" s="48">
        <v>42878</v>
      </c>
      <c r="C966" t="s">
        <v>51</v>
      </c>
      <c r="D966" t="str">
        <f>IF(COUNTIFS(Verweise!$A$2:$A$4542,Übersicht!$C$7,Verweise!$B$2:$B$4542,B966)=1,"Feiertag",IF(C966="Samstag","",IF(C966="Sonntag","",Übersicht!$C$8)))</f>
        <v>Feiertag</v>
      </c>
    </row>
    <row r="967" spans="1:4" x14ac:dyDescent="0.25">
      <c r="A967" t="s">
        <v>42</v>
      </c>
      <c r="B967" s="48">
        <v>42888</v>
      </c>
      <c r="C967" t="s">
        <v>52</v>
      </c>
      <c r="D967" t="str">
        <f>IF(COUNTIFS(Verweise!$A$2:$A$4542,Übersicht!$C$7,Verweise!$B$2:$B$4542,B967)=1,"Feiertag",IF(C967="Samstag","",IF(C967="Sonntag","",Übersicht!$C$8)))</f>
        <v>Feiertag</v>
      </c>
    </row>
    <row r="968" spans="1:4" x14ac:dyDescent="0.25">
      <c r="A968" t="s">
        <v>42</v>
      </c>
      <c r="B968" s="48">
        <v>43010</v>
      </c>
      <c r="C968" t="s">
        <v>53</v>
      </c>
      <c r="D968" t="str">
        <f>IF(COUNTIFS(Verweise!$A$2:$A$4542,Übersicht!$C$7,Verweise!$B$2:$B$4542,B968)=1,"Feiertag",IF(C968="Samstag","",IF(C968="Sonntag","",Übersicht!$C$8)))</f>
        <v>Feiertag</v>
      </c>
    </row>
    <row r="969" spans="1:4" x14ac:dyDescent="0.25">
      <c r="A969" t="s">
        <v>42</v>
      </c>
      <c r="B969" s="48">
        <v>43039</v>
      </c>
      <c r="C969" t="s">
        <v>54</v>
      </c>
      <c r="D969" t="str">
        <f>IF(COUNTIFS(Verweise!$A$2:$A$4542,Übersicht!$C$7,Verweise!$B$2:$B$4542,B969)=1,"Feiertag",IF(C969="Samstag","",IF(C969="Sonntag","",Übersicht!$C$8)))</f>
        <v>Feiertag</v>
      </c>
    </row>
    <row r="970" spans="1:4" x14ac:dyDescent="0.25">
      <c r="A970" t="s">
        <v>42</v>
      </c>
      <c r="B970" s="48">
        <v>43093</v>
      </c>
      <c r="C970" t="s">
        <v>55</v>
      </c>
      <c r="D970" t="str">
        <f>IF(COUNTIFS(Verweise!$A$2:$A$4542,Übersicht!$C$7,Verweise!$B$2:$B$4542,B970)=1,"Feiertag",IF(C970="Samstag","",IF(C970="Sonntag","",Übersicht!$C$8)))</f>
        <v>Feiertag</v>
      </c>
    </row>
    <row r="971" spans="1:4" x14ac:dyDescent="0.25">
      <c r="A971" t="s">
        <v>42</v>
      </c>
      <c r="B971" s="48">
        <v>43094</v>
      </c>
      <c r="C971" t="s">
        <v>56</v>
      </c>
      <c r="D971" t="str">
        <f>IF(COUNTIFS(Verweise!$A$2:$A$4542,Übersicht!$C$7,Verweise!$B$2:$B$4542,B971)=1,"Feiertag",IF(C971="Samstag","",IF(C971="Sonntag","",Übersicht!$C$8)))</f>
        <v>Feiertag</v>
      </c>
    </row>
    <row r="972" spans="1:4" x14ac:dyDescent="0.25">
      <c r="A972" t="s">
        <v>57</v>
      </c>
      <c r="B972" s="48">
        <v>42735</v>
      </c>
      <c r="C972" t="s">
        <v>43</v>
      </c>
      <c r="D972" t="str">
        <f>IF(COUNTIFS(Verweise!$A$2:$A$4542,Übersicht!$C$7,Verweise!$B$2:$B$4542,B972)=1,"Feiertag",IF(C972="Samstag","",IF(C972="Sonntag","",Übersicht!$C$8)))</f>
        <v>Feiertag</v>
      </c>
    </row>
    <row r="973" spans="1:4" x14ac:dyDescent="0.25">
      <c r="A973" t="s">
        <v>57</v>
      </c>
      <c r="B973" s="48">
        <v>42740</v>
      </c>
      <c r="C973" t="s">
        <v>44</v>
      </c>
      <c r="D973" t="str">
        <f>IF(COUNTIFS(Verweise!$A$2:$A$4542,Übersicht!$C$7,Verweise!$B$2:$B$4542,B973)=1,"Feiertag",IF(C973="Samstag","",IF(C973="Sonntag","",Übersicht!$C$8)))</f>
        <v>Büro</v>
      </c>
    </row>
    <row r="974" spans="1:4" x14ac:dyDescent="0.25">
      <c r="A974" t="s">
        <v>57</v>
      </c>
      <c r="B974" s="48">
        <v>42826</v>
      </c>
      <c r="C974" t="s">
        <v>45</v>
      </c>
      <c r="D974" t="str">
        <f>IF(COUNTIFS(Verweise!$A$2:$A$4542,Übersicht!$C$7,Verweise!$B$2:$B$4542,B974)=1,"Feiertag",IF(C974="Samstag","",IF(C974="Sonntag","",Übersicht!$C$8)))</f>
        <v>Feiertag</v>
      </c>
    </row>
    <row r="975" spans="1:4" x14ac:dyDescent="0.25">
      <c r="A975" t="s">
        <v>57</v>
      </c>
      <c r="B975" s="48">
        <v>42828</v>
      </c>
      <c r="C975" t="s">
        <v>46</v>
      </c>
      <c r="D975" t="str">
        <f>IF(COUNTIFS(Verweise!$A$2:$A$4542,Übersicht!$C$7,Verweise!$B$2:$B$4542,B975)=1,"Feiertag",IF(C975="Samstag","",IF(C975="Sonntag","",Übersicht!$C$8)))</f>
        <v>Feiertag</v>
      </c>
    </row>
    <row r="976" spans="1:4" x14ac:dyDescent="0.25">
      <c r="A976" t="s">
        <v>57</v>
      </c>
      <c r="B976" s="48">
        <v>42829</v>
      </c>
      <c r="C976" t="s">
        <v>47</v>
      </c>
      <c r="D976" t="str">
        <f>IF(COUNTIFS(Verweise!$A$2:$A$4542,Übersicht!$C$7,Verweise!$B$2:$B$4542,B976)=1,"Feiertag",IF(C976="Samstag","",IF(C976="Sonntag","",Übersicht!$C$8)))</f>
        <v>Feiertag</v>
      </c>
    </row>
    <row r="977" spans="1:4" x14ac:dyDescent="0.25">
      <c r="A977" t="s">
        <v>57</v>
      </c>
      <c r="B977" s="48">
        <v>42855</v>
      </c>
      <c r="C977" t="s">
        <v>48</v>
      </c>
      <c r="D977" t="str">
        <f>IF(COUNTIFS(Verweise!$A$2:$A$4542,Übersicht!$C$7,Verweise!$B$2:$B$4542,B977)=1,"Feiertag",IF(C977="Samstag","",IF(C977="Sonntag","",Übersicht!$C$8)))</f>
        <v>Feiertag</v>
      </c>
    </row>
    <row r="978" spans="1:4" x14ac:dyDescent="0.25">
      <c r="A978" t="s">
        <v>57</v>
      </c>
      <c r="B978" s="48">
        <v>42867</v>
      </c>
      <c r="C978" t="s">
        <v>49</v>
      </c>
      <c r="D978" t="str">
        <f>IF(COUNTIFS(Verweise!$A$2:$A$4542,Übersicht!$C$7,Verweise!$B$2:$B$4542,B978)=1,"Feiertag",IF(C978="Samstag","",IF(C978="Sonntag","",Übersicht!$C$8)))</f>
        <v>Feiertag</v>
      </c>
    </row>
    <row r="979" spans="1:4" x14ac:dyDescent="0.25">
      <c r="A979" t="s">
        <v>57</v>
      </c>
      <c r="B979" s="48">
        <v>42877</v>
      </c>
      <c r="C979" t="s">
        <v>50</v>
      </c>
      <c r="D979" t="str">
        <f>IF(COUNTIFS(Verweise!$A$2:$A$4542,Übersicht!$C$7,Verweise!$B$2:$B$4542,B979)=1,"Feiertag",IF(C979="Samstag","",IF(C979="Sonntag","",Übersicht!$C$8)))</f>
        <v>Feiertag</v>
      </c>
    </row>
    <row r="980" spans="1:4" x14ac:dyDescent="0.25">
      <c r="A980" t="s">
        <v>57</v>
      </c>
      <c r="B980" s="48">
        <v>42878</v>
      </c>
      <c r="C980" t="s">
        <v>51</v>
      </c>
      <c r="D980" t="str">
        <f>IF(COUNTIFS(Verweise!$A$2:$A$4542,Übersicht!$C$7,Verweise!$B$2:$B$4542,B980)=1,"Feiertag",IF(C980="Samstag","",IF(C980="Sonntag","",Übersicht!$C$8)))</f>
        <v>Feiertag</v>
      </c>
    </row>
    <row r="981" spans="1:4" x14ac:dyDescent="0.25">
      <c r="A981" t="s">
        <v>57</v>
      </c>
      <c r="B981" s="48">
        <v>42888</v>
      </c>
      <c r="C981" t="s">
        <v>52</v>
      </c>
      <c r="D981" t="str">
        <f>IF(COUNTIFS(Verweise!$A$2:$A$4542,Übersicht!$C$7,Verweise!$B$2:$B$4542,B981)=1,"Feiertag",IF(C981="Samstag","",IF(C981="Sonntag","",Übersicht!$C$8)))</f>
        <v>Feiertag</v>
      </c>
    </row>
    <row r="982" spans="1:4" x14ac:dyDescent="0.25">
      <c r="A982" t="s">
        <v>57</v>
      </c>
      <c r="B982" s="48">
        <v>43010</v>
      </c>
      <c r="C982" t="s">
        <v>53</v>
      </c>
      <c r="D982" t="str">
        <f>IF(COUNTIFS(Verweise!$A$2:$A$4542,Übersicht!$C$7,Verweise!$B$2:$B$4542,B982)=1,"Feiertag",IF(C982="Samstag","",IF(C982="Sonntag","",Übersicht!$C$8)))</f>
        <v>Feiertag</v>
      </c>
    </row>
    <row r="983" spans="1:4" x14ac:dyDescent="0.25">
      <c r="A983" t="s">
        <v>57</v>
      </c>
      <c r="B983" s="48">
        <v>43039</v>
      </c>
      <c r="C983" t="s">
        <v>54</v>
      </c>
      <c r="D983" t="str">
        <f>IF(COUNTIFS(Verweise!$A$2:$A$4542,Übersicht!$C$7,Verweise!$B$2:$B$4542,B983)=1,"Feiertag",IF(C983="Samstag","",IF(C983="Sonntag","",Übersicht!$C$8)))</f>
        <v>Feiertag</v>
      </c>
    </row>
    <row r="984" spans="1:4" x14ac:dyDescent="0.25">
      <c r="A984" t="s">
        <v>57</v>
      </c>
      <c r="B984" s="48">
        <v>43093</v>
      </c>
      <c r="C984" t="s">
        <v>55</v>
      </c>
      <c r="D984" t="str">
        <f>IF(COUNTIFS(Verweise!$A$2:$A$4542,Übersicht!$C$7,Verweise!$B$2:$B$4542,B984)=1,"Feiertag",IF(C984="Samstag","",IF(C984="Sonntag","",Übersicht!$C$8)))</f>
        <v>Feiertag</v>
      </c>
    </row>
    <row r="985" spans="1:4" x14ac:dyDescent="0.25">
      <c r="A985" t="s">
        <v>57</v>
      </c>
      <c r="B985" s="48">
        <v>43094</v>
      </c>
      <c r="C985" t="s">
        <v>56</v>
      </c>
      <c r="D985" t="str">
        <f>IF(COUNTIFS(Verweise!$A$2:$A$4542,Übersicht!$C$7,Verweise!$B$2:$B$4542,B985)=1,"Feiertag",IF(C985="Samstag","",IF(C985="Sonntag","",Übersicht!$C$8)))</f>
        <v>Feiertag</v>
      </c>
    </row>
    <row r="986" spans="1:4" x14ac:dyDescent="0.25">
      <c r="A986" t="s">
        <v>58</v>
      </c>
      <c r="B986" s="48">
        <v>42735</v>
      </c>
      <c r="C986" t="s">
        <v>43</v>
      </c>
      <c r="D986" t="str">
        <f>IF(COUNTIFS(Verweise!$A$2:$A$4542,Übersicht!$C$7,Verweise!$B$2:$B$4542,B986)=1,"Feiertag",IF(C986="Samstag","",IF(C986="Sonntag","",Übersicht!$C$8)))</f>
        <v>Feiertag</v>
      </c>
    </row>
    <row r="987" spans="1:4" x14ac:dyDescent="0.25">
      <c r="A987" t="s">
        <v>58</v>
      </c>
      <c r="B987" s="48">
        <v>42740</v>
      </c>
      <c r="C987" t="s">
        <v>44</v>
      </c>
      <c r="D987" t="str">
        <f>IF(COUNTIFS(Verweise!$A$2:$A$4542,Übersicht!$C$7,Verweise!$B$2:$B$4542,B987)=1,"Feiertag",IF(C987="Samstag","",IF(C987="Sonntag","",Übersicht!$C$8)))</f>
        <v>Büro</v>
      </c>
    </row>
    <row r="988" spans="1:4" x14ac:dyDescent="0.25">
      <c r="A988" t="s">
        <v>58</v>
      </c>
      <c r="B988" s="48">
        <v>42826</v>
      </c>
      <c r="C988" t="s">
        <v>45</v>
      </c>
      <c r="D988" t="str">
        <f>IF(COUNTIFS(Verweise!$A$2:$A$4542,Übersicht!$C$7,Verweise!$B$2:$B$4542,B988)=1,"Feiertag",IF(C988="Samstag","",IF(C988="Sonntag","",Übersicht!$C$8)))</f>
        <v>Feiertag</v>
      </c>
    </row>
    <row r="989" spans="1:4" x14ac:dyDescent="0.25">
      <c r="A989" t="s">
        <v>58</v>
      </c>
      <c r="B989" s="48">
        <v>42828</v>
      </c>
      <c r="C989" t="s">
        <v>46</v>
      </c>
      <c r="D989" t="str">
        <f>IF(COUNTIFS(Verweise!$A$2:$A$4542,Übersicht!$C$7,Verweise!$B$2:$B$4542,B989)=1,"Feiertag",IF(C989="Samstag","",IF(C989="Sonntag","",Übersicht!$C$8)))</f>
        <v>Feiertag</v>
      </c>
    </row>
    <row r="990" spans="1:4" x14ac:dyDescent="0.25">
      <c r="A990" t="s">
        <v>58</v>
      </c>
      <c r="B990" s="48">
        <v>42829</v>
      </c>
      <c r="C990" t="s">
        <v>47</v>
      </c>
      <c r="D990" t="str">
        <f>IF(COUNTIFS(Verweise!$A$2:$A$4542,Übersicht!$C$7,Verweise!$B$2:$B$4542,B990)=1,"Feiertag",IF(C990="Samstag","",IF(C990="Sonntag","",Übersicht!$C$8)))</f>
        <v>Feiertag</v>
      </c>
    </row>
    <row r="991" spans="1:4" x14ac:dyDescent="0.25">
      <c r="A991" t="s">
        <v>58</v>
      </c>
      <c r="B991" s="48">
        <v>42855</v>
      </c>
      <c r="C991" t="s">
        <v>48</v>
      </c>
      <c r="D991" t="str">
        <f>IF(COUNTIFS(Verweise!$A$2:$A$4542,Übersicht!$C$7,Verweise!$B$2:$B$4542,B991)=1,"Feiertag",IF(C991="Samstag","",IF(C991="Sonntag","",Übersicht!$C$8)))</f>
        <v>Feiertag</v>
      </c>
    </row>
    <row r="992" spans="1:4" x14ac:dyDescent="0.25">
      <c r="A992" t="s">
        <v>58</v>
      </c>
      <c r="B992" s="48">
        <v>42867</v>
      </c>
      <c r="C992" t="s">
        <v>49</v>
      </c>
      <c r="D992" t="str">
        <f>IF(COUNTIFS(Verweise!$A$2:$A$4542,Übersicht!$C$7,Verweise!$B$2:$B$4542,B992)=1,"Feiertag",IF(C992="Samstag","",IF(C992="Sonntag","",Übersicht!$C$8)))</f>
        <v>Feiertag</v>
      </c>
    </row>
    <row r="993" spans="1:4" x14ac:dyDescent="0.25">
      <c r="A993" t="s">
        <v>58</v>
      </c>
      <c r="B993" s="48">
        <v>42877</v>
      </c>
      <c r="C993" t="s">
        <v>50</v>
      </c>
      <c r="D993" t="str">
        <f>IF(COUNTIFS(Verweise!$A$2:$A$4542,Übersicht!$C$7,Verweise!$B$2:$B$4542,B993)=1,"Feiertag",IF(C993="Samstag","",IF(C993="Sonntag","",Übersicht!$C$8)))</f>
        <v>Feiertag</v>
      </c>
    </row>
    <row r="994" spans="1:4" x14ac:dyDescent="0.25">
      <c r="A994" t="s">
        <v>58</v>
      </c>
      <c r="B994" s="48">
        <v>42878</v>
      </c>
      <c r="C994" t="s">
        <v>51</v>
      </c>
      <c r="D994" t="str">
        <f>IF(COUNTIFS(Verweise!$A$2:$A$4542,Übersicht!$C$7,Verweise!$B$2:$B$4542,B994)=1,"Feiertag",IF(C994="Samstag","",IF(C994="Sonntag","",Übersicht!$C$8)))</f>
        <v>Feiertag</v>
      </c>
    </row>
    <row r="995" spans="1:4" x14ac:dyDescent="0.25">
      <c r="A995" t="s">
        <v>58</v>
      </c>
      <c r="B995" s="48">
        <v>42888</v>
      </c>
      <c r="C995" t="s">
        <v>52</v>
      </c>
      <c r="D995" t="str">
        <f>IF(COUNTIFS(Verweise!$A$2:$A$4542,Übersicht!$C$7,Verweise!$B$2:$B$4542,B995)=1,"Feiertag",IF(C995="Samstag","",IF(C995="Sonntag","",Übersicht!$C$8)))</f>
        <v>Feiertag</v>
      </c>
    </row>
    <row r="996" spans="1:4" x14ac:dyDescent="0.25">
      <c r="A996" t="s">
        <v>58</v>
      </c>
      <c r="B996" s="48">
        <v>42961</v>
      </c>
      <c r="C996" t="s">
        <v>59</v>
      </c>
      <c r="D996" t="str">
        <f>IF(COUNTIFS(Verweise!$A$2:$A$4542,Übersicht!$C$7,Verweise!$B$2:$B$4542,B996)=1,"Feiertag",IF(C996="Samstag","",IF(C996="Sonntag","",Übersicht!$C$8)))</f>
        <v>Büro</v>
      </c>
    </row>
    <row r="997" spans="1:4" x14ac:dyDescent="0.25">
      <c r="A997" t="s">
        <v>58</v>
      </c>
      <c r="B997" s="48">
        <v>43010</v>
      </c>
      <c r="C997" t="s">
        <v>53</v>
      </c>
      <c r="D997" t="str">
        <f>IF(COUNTIFS(Verweise!$A$2:$A$4542,Übersicht!$C$7,Verweise!$B$2:$B$4542,B997)=1,"Feiertag",IF(C997="Samstag","",IF(C997="Sonntag","",Übersicht!$C$8)))</f>
        <v>Feiertag</v>
      </c>
    </row>
    <row r="998" spans="1:4" x14ac:dyDescent="0.25">
      <c r="A998" t="s">
        <v>58</v>
      </c>
      <c r="B998" s="48">
        <v>43039</v>
      </c>
      <c r="C998" t="s">
        <v>54</v>
      </c>
      <c r="D998" t="str">
        <f>IF(COUNTIFS(Verweise!$A$2:$A$4542,Übersicht!$C$7,Verweise!$B$2:$B$4542,B998)=1,"Feiertag",IF(C998="Samstag","",IF(C998="Sonntag","",Übersicht!$C$8)))</f>
        <v>Feiertag</v>
      </c>
    </row>
    <row r="999" spans="1:4" x14ac:dyDescent="0.25">
      <c r="A999" t="s">
        <v>58</v>
      </c>
      <c r="B999" s="48">
        <v>43093</v>
      </c>
      <c r="C999" t="s">
        <v>55</v>
      </c>
      <c r="D999" t="str">
        <f>IF(COUNTIFS(Verweise!$A$2:$A$4542,Übersicht!$C$7,Verweise!$B$2:$B$4542,B999)=1,"Feiertag",IF(C999="Samstag","",IF(C999="Sonntag","",Übersicht!$C$8)))</f>
        <v>Feiertag</v>
      </c>
    </row>
    <row r="1000" spans="1:4" x14ac:dyDescent="0.25">
      <c r="A1000" t="s">
        <v>58</v>
      </c>
      <c r="B1000" s="48">
        <v>43094</v>
      </c>
      <c r="C1000" t="s">
        <v>56</v>
      </c>
      <c r="D1000" t="str">
        <f>IF(COUNTIFS(Verweise!$A$2:$A$4542,Übersicht!$C$7,Verweise!$B$2:$B$4542,B1000)=1,"Feiertag",IF(C1000="Samstag","",IF(C1000="Sonntag","",Übersicht!$C$8)))</f>
        <v>Feiertag</v>
      </c>
    </row>
    <row r="1001" spans="1:4" x14ac:dyDescent="0.25">
      <c r="A1001" t="s">
        <v>60</v>
      </c>
      <c r="B1001" s="48">
        <v>42735</v>
      </c>
      <c r="C1001" t="s">
        <v>43</v>
      </c>
      <c r="D1001" t="str">
        <f>IF(COUNTIFS(Verweise!$A$2:$A$4542,Übersicht!$C$7,Verweise!$B$2:$B$4542,B1001)=1,"Feiertag",IF(C1001="Samstag","",IF(C1001="Sonntag","",Übersicht!$C$8)))</f>
        <v>Feiertag</v>
      </c>
    </row>
    <row r="1002" spans="1:4" x14ac:dyDescent="0.25">
      <c r="A1002" t="s">
        <v>60</v>
      </c>
      <c r="B1002" s="48">
        <v>42826</v>
      </c>
      <c r="C1002" t="s">
        <v>45</v>
      </c>
      <c r="D1002" t="str">
        <f>IF(COUNTIFS(Verweise!$A$2:$A$4542,Übersicht!$C$7,Verweise!$B$2:$B$4542,B1002)=1,"Feiertag",IF(C1002="Samstag","",IF(C1002="Sonntag","",Übersicht!$C$8)))</f>
        <v>Feiertag</v>
      </c>
    </row>
    <row r="1003" spans="1:4" x14ac:dyDescent="0.25">
      <c r="A1003" t="s">
        <v>60</v>
      </c>
      <c r="B1003" s="48">
        <v>42828</v>
      </c>
      <c r="C1003" t="s">
        <v>46</v>
      </c>
      <c r="D1003" t="str">
        <f>IF(COUNTIFS(Verweise!$A$2:$A$4542,Übersicht!$C$7,Verweise!$B$2:$B$4542,B1003)=1,"Feiertag",IF(C1003="Samstag","",IF(C1003="Sonntag","",Übersicht!$C$8)))</f>
        <v>Feiertag</v>
      </c>
    </row>
    <row r="1004" spans="1:4" x14ac:dyDescent="0.25">
      <c r="A1004" t="s">
        <v>60</v>
      </c>
      <c r="B1004" s="48">
        <v>42829</v>
      </c>
      <c r="C1004" t="s">
        <v>47</v>
      </c>
      <c r="D1004" t="str">
        <f>IF(COUNTIFS(Verweise!$A$2:$A$4542,Übersicht!$C$7,Verweise!$B$2:$B$4542,B1004)=1,"Feiertag",IF(C1004="Samstag","",IF(C1004="Sonntag","",Übersicht!$C$8)))</f>
        <v>Feiertag</v>
      </c>
    </row>
    <row r="1005" spans="1:4" x14ac:dyDescent="0.25">
      <c r="A1005" t="s">
        <v>60</v>
      </c>
      <c r="B1005" s="48">
        <v>42855</v>
      </c>
      <c r="C1005" t="s">
        <v>48</v>
      </c>
      <c r="D1005" t="str">
        <f>IF(COUNTIFS(Verweise!$A$2:$A$4542,Übersicht!$C$7,Verweise!$B$2:$B$4542,B1005)=1,"Feiertag",IF(C1005="Samstag","",IF(C1005="Sonntag","",Übersicht!$C$8)))</f>
        <v>Feiertag</v>
      </c>
    </row>
    <row r="1006" spans="1:4" x14ac:dyDescent="0.25">
      <c r="A1006" t="s">
        <v>60</v>
      </c>
      <c r="B1006" s="48">
        <v>42867</v>
      </c>
      <c r="C1006" t="s">
        <v>49</v>
      </c>
      <c r="D1006" t="str">
        <f>IF(COUNTIFS(Verweise!$A$2:$A$4542,Übersicht!$C$7,Verweise!$B$2:$B$4542,B1006)=1,"Feiertag",IF(C1006="Samstag","",IF(C1006="Sonntag","",Übersicht!$C$8)))</f>
        <v>Feiertag</v>
      </c>
    </row>
    <row r="1007" spans="1:4" x14ac:dyDescent="0.25">
      <c r="A1007" t="s">
        <v>60</v>
      </c>
      <c r="B1007" s="48">
        <v>42877</v>
      </c>
      <c r="C1007" t="s">
        <v>50</v>
      </c>
      <c r="D1007" t="str">
        <f>IF(COUNTIFS(Verweise!$A$2:$A$4542,Übersicht!$C$7,Verweise!$B$2:$B$4542,B1007)=1,"Feiertag",IF(C1007="Samstag","",IF(C1007="Sonntag","",Übersicht!$C$8)))</f>
        <v>Feiertag</v>
      </c>
    </row>
    <row r="1008" spans="1:4" x14ac:dyDescent="0.25">
      <c r="A1008" t="s">
        <v>60</v>
      </c>
      <c r="B1008" s="48">
        <v>42878</v>
      </c>
      <c r="C1008" t="s">
        <v>51</v>
      </c>
      <c r="D1008" t="str">
        <f>IF(COUNTIFS(Verweise!$A$2:$A$4542,Übersicht!$C$7,Verweise!$B$2:$B$4542,B1008)=1,"Feiertag",IF(C1008="Samstag","",IF(C1008="Sonntag","",Übersicht!$C$8)))</f>
        <v>Feiertag</v>
      </c>
    </row>
    <row r="1009" spans="1:4" x14ac:dyDescent="0.25">
      <c r="A1009" t="s">
        <v>60</v>
      </c>
      <c r="B1009" s="48">
        <v>43010</v>
      </c>
      <c r="C1009" t="s">
        <v>53</v>
      </c>
      <c r="D1009" t="str">
        <f>IF(COUNTIFS(Verweise!$A$2:$A$4542,Übersicht!$C$7,Verweise!$B$2:$B$4542,B1009)=1,"Feiertag",IF(C1009="Samstag","",IF(C1009="Sonntag","",Übersicht!$C$8)))</f>
        <v>Feiertag</v>
      </c>
    </row>
    <row r="1010" spans="1:4" x14ac:dyDescent="0.25">
      <c r="A1010" t="s">
        <v>60</v>
      </c>
      <c r="B1010" s="48">
        <v>43093</v>
      </c>
      <c r="C1010" t="s">
        <v>55</v>
      </c>
      <c r="D1010" t="str">
        <f>IF(COUNTIFS(Verweise!$A$2:$A$4542,Übersicht!$C$7,Verweise!$B$2:$B$4542,B1010)=1,"Feiertag",IF(C1010="Samstag","",IF(C1010="Sonntag","",Übersicht!$C$8)))</f>
        <v>Feiertag</v>
      </c>
    </row>
    <row r="1011" spans="1:4" x14ac:dyDescent="0.25">
      <c r="A1011" t="s">
        <v>60</v>
      </c>
      <c r="B1011" s="48">
        <v>43094</v>
      </c>
      <c r="C1011" t="s">
        <v>56</v>
      </c>
      <c r="D1011" t="str">
        <f>IF(COUNTIFS(Verweise!$A$2:$A$4542,Übersicht!$C$7,Verweise!$B$2:$B$4542,B1011)=1,"Feiertag",IF(C1011="Samstag","",IF(C1011="Sonntag","",Übersicht!$C$8)))</f>
        <v>Feiertag</v>
      </c>
    </row>
    <row r="1012" spans="1:4" x14ac:dyDescent="0.25">
      <c r="A1012" t="s">
        <v>61</v>
      </c>
      <c r="B1012" s="48">
        <v>42735</v>
      </c>
      <c r="C1012" t="s">
        <v>43</v>
      </c>
      <c r="D1012" t="str">
        <f>IF(COUNTIFS(Verweise!$A$2:$A$4542,Übersicht!$C$7,Verweise!$B$2:$B$4542,B1012)=1,"Feiertag",IF(C1012="Samstag","",IF(C1012="Sonntag","",Übersicht!$C$8)))</f>
        <v>Feiertag</v>
      </c>
    </row>
    <row r="1013" spans="1:4" x14ac:dyDescent="0.25">
      <c r="A1013" t="s">
        <v>61</v>
      </c>
      <c r="B1013" s="48">
        <v>42826</v>
      </c>
      <c r="C1013" t="s">
        <v>45</v>
      </c>
      <c r="D1013" t="str">
        <f>IF(COUNTIFS(Verweise!$A$2:$A$4542,Übersicht!$C$7,Verweise!$B$2:$B$4542,B1013)=1,"Feiertag",IF(C1013="Samstag","",IF(C1013="Sonntag","",Übersicht!$C$8)))</f>
        <v>Feiertag</v>
      </c>
    </row>
    <row r="1014" spans="1:4" x14ac:dyDescent="0.25">
      <c r="A1014" t="s">
        <v>61</v>
      </c>
      <c r="B1014" s="48">
        <v>42828</v>
      </c>
      <c r="C1014" t="s">
        <v>46</v>
      </c>
      <c r="D1014" t="str">
        <f>IF(COUNTIFS(Verweise!$A$2:$A$4542,Übersicht!$C$7,Verweise!$B$2:$B$4542,B1014)=1,"Feiertag",IF(C1014="Samstag","",IF(C1014="Sonntag","",Übersicht!$C$8)))</f>
        <v>Feiertag</v>
      </c>
    </row>
    <row r="1015" spans="1:4" x14ac:dyDescent="0.25">
      <c r="A1015" t="s">
        <v>61</v>
      </c>
      <c r="B1015" s="48">
        <v>42829</v>
      </c>
      <c r="C1015" t="s">
        <v>47</v>
      </c>
      <c r="D1015" t="str">
        <f>IF(COUNTIFS(Verweise!$A$2:$A$4542,Übersicht!$C$7,Verweise!$B$2:$B$4542,B1015)=1,"Feiertag",IF(C1015="Samstag","",IF(C1015="Sonntag","",Übersicht!$C$8)))</f>
        <v>Feiertag</v>
      </c>
    </row>
    <row r="1016" spans="1:4" x14ac:dyDescent="0.25">
      <c r="A1016" t="s">
        <v>61</v>
      </c>
      <c r="B1016" s="48">
        <v>42855</v>
      </c>
      <c r="C1016" t="s">
        <v>48</v>
      </c>
      <c r="D1016" t="str">
        <f>IF(COUNTIFS(Verweise!$A$2:$A$4542,Übersicht!$C$7,Verweise!$B$2:$B$4542,B1016)=1,"Feiertag",IF(C1016="Samstag","",IF(C1016="Sonntag","",Übersicht!$C$8)))</f>
        <v>Feiertag</v>
      </c>
    </row>
    <row r="1017" spans="1:4" x14ac:dyDescent="0.25">
      <c r="A1017" t="s">
        <v>61</v>
      </c>
      <c r="B1017" s="48">
        <v>42867</v>
      </c>
      <c r="C1017" t="s">
        <v>49</v>
      </c>
      <c r="D1017" t="str">
        <f>IF(COUNTIFS(Verweise!$A$2:$A$4542,Übersicht!$C$7,Verweise!$B$2:$B$4542,B1017)=1,"Feiertag",IF(C1017="Samstag","",IF(C1017="Sonntag","",Übersicht!$C$8)))</f>
        <v>Feiertag</v>
      </c>
    </row>
    <row r="1018" spans="1:4" x14ac:dyDescent="0.25">
      <c r="A1018" t="s">
        <v>61</v>
      </c>
      <c r="B1018" s="48">
        <v>42877</v>
      </c>
      <c r="C1018" t="s">
        <v>50</v>
      </c>
      <c r="D1018" t="str">
        <f>IF(COUNTIFS(Verweise!$A$2:$A$4542,Übersicht!$C$7,Verweise!$B$2:$B$4542,B1018)=1,"Feiertag",IF(C1018="Samstag","",IF(C1018="Sonntag","",Übersicht!$C$8)))</f>
        <v>Feiertag</v>
      </c>
    </row>
    <row r="1019" spans="1:4" x14ac:dyDescent="0.25">
      <c r="A1019" t="s">
        <v>61</v>
      </c>
      <c r="B1019" s="48">
        <v>42878</v>
      </c>
      <c r="C1019" t="s">
        <v>51</v>
      </c>
      <c r="D1019" t="str">
        <f>IF(COUNTIFS(Verweise!$A$2:$A$4542,Übersicht!$C$7,Verweise!$B$2:$B$4542,B1019)=1,"Feiertag",IF(C1019="Samstag","",IF(C1019="Sonntag","",Übersicht!$C$8)))</f>
        <v>Feiertag</v>
      </c>
    </row>
    <row r="1020" spans="1:4" x14ac:dyDescent="0.25">
      <c r="A1020" t="s">
        <v>61</v>
      </c>
      <c r="B1020" s="48">
        <v>43010</v>
      </c>
      <c r="C1020" t="s">
        <v>53</v>
      </c>
      <c r="D1020" t="str">
        <f>IF(COUNTIFS(Verweise!$A$2:$A$4542,Übersicht!$C$7,Verweise!$B$2:$B$4542,B1020)=1,"Feiertag",IF(C1020="Samstag","",IF(C1020="Sonntag","",Übersicht!$C$8)))</f>
        <v>Feiertag</v>
      </c>
    </row>
    <row r="1021" spans="1:4" x14ac:dyDescent="0.25">
      <c r="A1021" t="s">
        <v>61</v>
      </c>
      <c r="B1021" s="48">
        <v>43038</v>
      </c>
      <c r="C1021" t="s">
        <v>62</v>
      </c>
      <c r="D1021" t="str">
        <f>IF(COUNTIFS(Verweise!$A$2:$A$4542,Übersicht!$C$7,Verweise!$B$2:$B$4542,B1021)=1,"Feiertag",IF(C1021="Samstag","",IF(C1021="Sonntag","",Übersicht!$C$8)))</f>
        <v>Büro</v>
      </c>
    </row>
    <row r="1022" spans="1:4" x14ac:dyDescent="0.25">
      <c r="A1022" t="s">
        <v>61</v>
      </c>
      <c r="B1022" s="48">
        <v>43093</v>
      </c>
      <c r="C1022" t="s">
        <v>55</v>
      </c>
      <c r="D1022" t="str">
        <f>IF(COUNTIFS(Verweise!$A$2:$A$4542,Übersicht!$C$7,Verweise!$B$2:$B$4542,B1022)=1,"Feiertag",IF(C1022="Samstag","",IF(C1022="Sonntag","",Übersicht!$C$8)))</f>
        <v>Feiertag</v>
      </c>
    </row>
    <row r="1023" spans="1:4" x14ac:dyDescent="0.25">
      <c r="A1023" t="s">
        <v>61</v>
      </c>
      <c r="B1023" s="48">
        <v>43094</v>
      </c>
      <c r="C1023" t="s">
        <v>56</v>
      </c>
      <c r="D1023" t="str">
        <f>IF(COUNTIFS(Verweise!$A$2:$A$4542,Übersicht!$C$7,Verweise!$B$2:$B$4542,B1023)=1,"Feiertag",IF(C1023="Samstag","",IF(C1023="Sonntag","",Übersicht!$C$8)))</f>
        <v>Feiertag</v>
      </c>
    </row>
    <row r="1024" spans="1:4" x14ac:dyDescent="0.25">
      <c r="A1024" t="s">
        <v>63</v>
      </c>
      <c r="B1024" s="48">
        <v>42735</v>
      </c>
      <c r="C1024" t="s">
        <v>43</v>
      </c>
      <c r="D1024" t="str">
        <f>IF(COUNTIFS(Verweise!$A$2:$A$4542,Übersicht!$C$7,Verweise!$B$2:$B$4542,B1024)=1,"Feiertag",IF(C1024="Samstag","",IF(C1024="Sonntag","",Übersicht!$C$8)))</f>
        <v>Feiertag</v>
      </c>
    </row>
    <row r="1025" spans="1:4" x14ac:dyDescent="0.25">
      <c r="A1025" t="s">
        <v>63</v>
      </c>
      <c r="B1025" s="48">
        <v>42826</v>
      </c>
      <c r="C1025" t="s">
        <v>45</v>
      </c>
      <c r="D1025" t="str">
        <f>IF(COUNTIFS(Verweise!$A$2:$A$4542,Übersicht!$C$7,Verweise!$B$2:$B$4542,B1025)=1,"Feiertag",IF(C1025="Samstag","",IF(C1025="Sonntag","",Übersicht!$C$8)))</f>
        <v>Feiertag</v>
      </c>
    </row>
    <row r="1026" spans="1:4" x14ac:dyDescent="0.25">
      <c r="A1026" t="s">
        <v>63</v>
      </c>
      <c r="B1026" s="48">
        <v>42828</v>
      </c>
      <c r="C1026" t="s">
        <v>46</v>
      </c>
      <c r="D1026" t="str">
        <f>IF(COUNTIFS(Verweise!$A$2:$A$4542,Übersicht!$C$7,Verweise!$B$2:$B$4542,B1026)=1,"Feiertag",IF(C1026="Samstag","",IF(C1026="Sonntag","",Übersicht!$C$8)))</f>
        <v>Feiertag</v>
      </c>
    </row>
    <row r="1027" spans="1:4" x14ac:dyDescent="0.25">
      <c r="A1027" t="s">
        <v>63</v>
      </c>
      <c r="B1027" s="48">
        <v>42829</v>
      </c>
      <c r="C1027" t="s">
        <v>47</v>
      </c>
      <c r="D1027" t="str">
        <f>IF(COUNTIFS(Verweise!$A$2:$A$4542,Übersicht!$C$7,Verweise!$B$2:$B$4542,B1027)=1,"Feiertag",IF(C1027="Samstag","",IF(C1027="Sonntag","",Übersicht!$C$8)))</f>
        <v>Feiertag</v>
      </c>
    </row>
    <row r="1028" spans="1:4" x14ac:dyDescent="0.25">
      <c r="A1028" t="s">
        <v>63</v>
      </c>
      <c r="B1028" s="48">
        <v>42855</v>
      </c>
      <c r="C1028" t="s">
        <v>48</v>
      </c>
      <c r="D1028" t="str">
        <f>IF(COUNTIFS(Verweise!$A$2:$A$4542,Übersicht!$C$7,Verweise!$B$2:$B$4542,B1028)=1,"Feiertag",IF(C1028="Samstag","",IF(C1028="Sonntag","",Übersicht!$C$8)))</f>
        <v>Feiertag</v>
      </c>
    </row>
    <row r="1029" spans="1:4" x14ac:dyDescent="0.25">
      <c r="A1029" t="s">
        <v>63</v>
      </c>
      <c r="B1029" s="48">
        <v>42867</v>
      </c>
      <c r="C1029" t="s">
        <v>49</v>
      </c>
      <c r="D1029" t="str">
        <f>IF(COUNTIFS(Verweise!$A$2:$A$4542,Übersicht!$C$7,Verweise!$B$2:$B$4542,B1029)=1,"Feiertag",IF(C1029="Samstag","",IF(C1029="Sonntag","",Übersicht!$C$8)))</f>
        <v>Feiertag</v>
      </c>
    </row>
    <row r="1030" spans="1:4" x14ac:dyDescent="0.25">
      <c r="A1030" t="s">
        <v>63</v>
      </c>
      <c r="B1030" s="48">
        <v>42877</v>
      </c>
      <c r="C1030" t="s">
        <v>50</v>
      </c>
      <c r="D1030" t="str">
        <f>IF(COUNTIFS(Verweise!$A$2:$A$4542,Übersicht!$C$7,Verweise!$B$2:$B$4542,B1030)=1,"Feiertag",IF(C1030="Samstag","",IF(C1030="Sonntag","",Übersicht!$C$8)))</f>
        <v>Feiertag</v>
      </c>
    </row>
    <row r="1031" spans="1:4" x14ac:dyDescent="0.25">
      <c r="A1031" t="s">
        <v>63</v>
      </c>
      <c r="B1031" s="48">
        <v>42878</v>
      </c>
      <c r="C1031" t="s">
        <v>51</v>
      </c>
      <c r="D1031" t="str">
        <f>IF(COUNTIFS(Verweise!$A$2:$A$4542,Übersicht!$C$7,Verweise!$B$2:$B$4542,B1031)=1,"Feiertag",IF(C1031="Samstag","",IF(C1031="Sonntag","",Übersicht!$C$8)))</f>
        <v>Feiertag</v>
      </c>
    </row>
    <row r="1032" spans="1:4" x14ac:dyDescent="0.25">
      <c r="A1032" t="s">
        <v>63</v>
      </c>
      <c r="B1032" s="48">
        <v>43010</v>
      </c>
      <c r="C1032" t="s">
        <v>53</v>
      </c>
      <c r="D1032" t="str">
        <f>IF(COUNTIFS(Verweise!$A$2:$A$4542,Übersicht!$C$7,Verweise!$B$2:$B$4542,B1032)=1,"Feiertag",IF(C1032="Samstag","",IF(C1032="Sonntag","",Übersicht!$C$8)))</f>
        <v>Feiertag</v>
      </c>
    </row>
    <row r="1033" spans="1:4" x14ac:dyDescent="0.25">
      <c r="A1033" t="s">
        <v>63</v>
      </c>
      <c r="B1033" s="48">
        <v>43093</v>
      </c>
      <c r="C1033" t="s">
        <v>55</v>
      </c>
      <c r="D1033" t="str">
        <f>IF(COUNTIFS(Verweise!$A$2:$A$4542,Übersicht!$C$7,Verweise!$B$2:$B$4542,B1033)=1,"Feiertag",IF(C1033="Samstag","",IF(C1033="Sonntag","",Übersicht!$C$8)))</f>
        <v>Feiertag</v>
      </c>
    </row>
    <row r="1034" spans="1:4" x14ac:dyDescent="0.25">
      <c r="A1034" t="s">
        <v>63</v>
      </c>
      <c r="B1034" s="48">
        <v>43094</v>
      </c>
      <c r="C1034" t="s">
        <v>56</v>
      </c>
      <c r="D1034" t="str">
        <f>IF(COUNTIFS(Verweise!$A$2:$A$4542,Übersicht!$C$7,Verweise!$B$2:$B$4542,B1034)=1,"Feiertag",IF(C1034="Samstag","",IF(C1034="Sonntag","",Übersicht!$C$8)))</f>
        <v>Feiertag</v>
      </c>
    </row>
    <row r="1035" spans="1:4" x14ac:dyDescent="0.25">
      <c r="A1035" t="s">
        <v>64</v>
      </c>
      <c r="B1035" s="48">
        <v>42735</v>
      </c>
      <c r="C1035" t="s">
        <v>43</v>
      </c>
      <c r="D1035" t="str">
        <f>IF(COUNTIFS(Verweise!$A$2:$A$4542,Übersicht!$C$7,Verweise!$B$2:$B$4542,B1035)=1,"Feiertag",IF(C1035="Samstag","",IF(C1035="Sonntag","",Übersicht!$C$8)))</f>
        <v>Feiertag</v>
      </c>
    </row>
    <row r="1036" spans="1:4" x14ac:dyDescent="0.25">
      <c r="A1036" t="s">
        <v>64</v>
      </c>
      <c r="B1036" s="48">
        <v>42826</v>
      </c>
      <c r="C1036" t="s">
        <v>45</v>
      </c>
      <c r="D1036" t="str">
        <f>IF(COUNTIFS(Verweise!$A$2:$A$4542,Übersicht!$C$7,Verweise!$B$2:$B$4542,B1036)=1,"Feiertag",IF(C1036="Samstag","",IF(C1036="Sonntag","",Übersicht!$C$8)))</f>
        <v>Feiertag</v>
      </c>
    </row>
    <row r="1037" spans="1:4" x14ac:dyDescent="0.25">
      <c r="A1037" t="s">
        <v>64</v>
      </c>
      <c r="B1037" s="48">
        <v>42828</v>
      </c>
      <c r="C1037" t="s">
        <v>46</v>
      </c>
      <c r="D1037" t="str">
        <f>IF(COUNTIFS(Verweise!$A$2:$A$4542,Übersicht!$C$7,Verweise!$B$2:$B$4542,B1037)=1,"Feiertag",IF(C1037="Samstag","",IF(C1037="Sonntag","",Übersicht!$C$8)))</f>
        <v>Feiertag</v>
      </c>
    </row>
    <row r="1038" spans="1:4" x14ac:dyDescent="0.25">
      <c r="A1038" t="s">
        <v>64</v>
      </c>
      <c r="B1038" s="48">
        <v>42829</v>
      </c>
      <c r="C1038" t="s">
        <v>47</v>
      </c>
      <c r="D1038" t="str">
        <f>IF(COUNTIFS(Verweise!$A$2:$A$4542,Übersicht!$C$7,Verweise!$B$2:$B$4542,B1038)=1,"Feiertag",IF(C1038="Samstag","",IF(C1038="Sonntag","",Übersicht!$C$8)))</f>
        <v>Feiertag</v>
      </c>
    </row>
    <row r="1039" spans="1:4" x14ac:dyDescent="0.25">
      <c r="A1039" t="s">
        <v>64</v>
      </c>
      <c r="B1039" s="48">
        <v>42855</v>
      </c>
      <c r="C1039" t="s">
        <v>48</v>
      </c>
      <c r="D1039" t="str">
        <f>IF(COUNTIFS(Verweise!$A$2:$A$4542,Übersicht!$C$7,Verweise!$B$2:$B$4542,B1039)=1,"Feiertag",IF(C1039="Samstag","",IF(C1039="Sonntag","",Übersicht!$C$8)))</f>
        <v>Feiertag</v>
      </c>
    </row>
    <row r="1040" spans="1:4" x14ac:dyDescent="0.25">
      <c r="A1040" t="s">
        <v>64</v>
      </c>
      <c r="B1040" s="48">
        <v>42867</v>
      </c>
      <c r="C1040" t="s">
        <v>49</v>
      </c>
      <c r="D1040" t="str">
        <f>IF(COUNTIFS(Verweise!$A$2:$A$4542,Übersicht!$C$7,Verweise!$B$2:$B$4542,B1040)=1,"Feiertag",IF(C1040="Samstag","",IF(C1040="Sonntag","",Übersicht!$C$8)))</f>
        <v>Feiertag</v>
      </c>
    </row>
    <row r="1041" spans="1:4" x14ac:dyDescent="0.25">
      <c r="A1041" t="s">
        <v>64</v>
      </c>
      <c r="B1041" s="48">
        <v>42877</v>
      </c>
      <c r="C1041" t="s">
        <v>50</v>
      </c>
      <c r="D1041" t="str">
        <f>IF(COUNTIFS(Verweise!$A$2:$A$4542,Übersicht!$C$7,Verweise!$B$2:$B$4542,B1041)=1,"Feiertag",IF(C1041="Samstag","",IF(C1041="Sonntag","",Übersicht!$C$8)))</f>
        <v>Feiertag</v>
      </c>
    </row>
    <row r="1042" spans="1:4" x14ac:dyDescent="0.25">
      <c r="A1042" t="s">
        <v>64</v>
      </c>
      <c r="B1042" s="48">
        <v>42878</v>
      </c>
      <c r="C1042" t="s">
        <v>51</v>
      </c>
      <c r="D1042" t="str">
        <f>IF(COUNTIFS(Verweise!$A$2:$A$4542,Übersicht!$C$7,Verweise!$B$2:$B$4542,B1042)=1,"Feiertag",IF(C1042="Samstag","",IF(C1042="Sonntag","",Übersicht!$C$8)))</f>
        <v>Feiertag</v>
      </c>
    </row>
    <row r="1043" spans="1:4" x14ac:dyDescent="0.25">
      <c r="A1043" t="s">
        <v>64</v>
      </c>
      <c r="B1043" s="48">
        <v>43010</v>
      </c>
      <c r="C1043" t="s">
        <v>53</v>
      </c>
      <c r="D1043" t="str">
        <f>IF(COUNTIFS(Verweise!$A$2:$A$4542,Übersicht!$C$7,Verweise!$B$2:$B$4542,B1043)=1,"Feiertag",IF(C1043="Samstag","",IF(C1043="Sonntag","",Übersicht!$C$8)))</f>
        <v>Feiertag</v>
      </c>
    </row>
    <row r="1044" spans="1:4" x14ac:dyDescent="0.25">
      <c r="A1044" t="s">
        <v>64</v>
      </c>
      <c r="B1044" s="48">
        <v>43093</v>
      </c>
      <c r="C1044" t="s">
        <v>55</v>
      </c>
      <c r="D1044" t="str">
        <f>IF(COUNTIFS(Verweise!$A$2:$A$4542,Übersicht!$C$7,Verweise!$B$2:$B$4542,B1044)=1,"Feiertag",IF(C1044="Samstag","",IF(C1044="Sonntag","",Übersicht!$C$8)))</f>
        <v>Feiertag</v>
      </c>
    </row>
    <row r="1045" spans="1:4" x14ac:dyDescent="0.25">
      <c r="A1045" t="s">
        <v>64</v>
      </c>
      <c r="B1045" s="48">
        <v>43094</v>
      </c>
      <c r="C1045" t="s">
        <v>56</v>
      </c>
      <c r="D1045" t="str">
        <f>IF(COUNTIFS(Verweise!$A$2:$A$4542,Übersicht!$C$7,Verweise!$B$2:$B$4542,B1045)=1,"Feiertag",IF(C1045="Samstag","",IF(C1045="Sonntag","",Übersicht!$C$8)))</f>
        <v>Feiertag</v>
      </c>
    </row>
    <row r="1046" spans="1:4" x14ac:dyDescent="0.25">
      <c r="A1046" t="s">
        <v>65</v>
      </c>
      <c r="B1046" s="48">
        <v>42735</v>
      </c>
      <c r="C1046" t="s">
        <v>43</v>
      </c>
      <c r="D1046" t="str">
        <f>IF(COUNTIFS(Verweise!$A$2:$A$4542,Übersicht!$C$7,Verweise!$B$2:$B$4542,B1046)=1,"Feiertag",IF(C1046="Samstag","",IF(C1046="Sonntag","",Übersicht!$C$8)))</f>
        <v>Feiertag</v>
      </c>
    </row>
    <row r="1047" spans="1:4" x14ac:dyDescent="0.25">
      <c r="A1047" t="s">
        <v>65</v>
      </c>
      <c r="B1047" s="48">
        <v>42826</v>
      </c>
      <c r="C1047" t="s">
        <v>45</v>
      </c>
      <c r="D1047" t="str">
        <f>IF(COUNTIFS(Verweise!$A$2:$A$4542,Übersicht!$C$7,Verweise!$B$2:$B$4542,B1047)=1,"Feiertag",IF(C1047="Samstag","",IF(C1047="Sonntag","",Übersicht!$C$8)))</f>
        <v>Feiertag</v>
      </c>
    </row>
    <row r="1048" spans="1:4" x14ac:dyDescent="0.25">
      <c r="A1048" t="s">
        <v>65</v>
      </c>
      <c r="B1048" s="48">
        <v>42828</v>
      </c>
      <c r="C1048" t="s">
        <v>46</v>
      </c>
      <c r="D1048" t="str">
        <f>IF(COUNTIFS(Verweise!$A$2:$A$4542,Übersicht!$C$7,Verweise!$B$2:$B$4542,B1048)=1,"Feiertag",IF(C1048="Samstag","",IF(C1048="Sonntag","",Übersicht!$C$8)))</f>
        <v>Feiertag</v>
      </c>
    </row>
    <row r="1049" spans="1:4" x14ac:dyDescent="0.25">
      <c r="A1049" t="s">
        <v>65</v>
      </c>
      <c r="B1049" s="48">
        <v>42829</v>
      </c>
      <c r="C1049" t="s">
        <v>47</v>
      </c>
      <c r="D1049" t="str">
        <f>IF(COUNTIFS(Verweise!$A$2:$A$4542,Übersicht!$C$7,Verweise!$B$2:$B$4542,B1049)=1,"Feiertag",IF(C1049="Samstag","",IF(C1049="Sonntag","",Übersicht!$C$8)))</f>
        <v>Feiertag</v>
      </c>
    </row>
    <row r="1050" spans="1:4" x14ac:dyDescent="0.25">
      <c r="A1050" t="s">
        <v>65</v>
      </c>
      <c r="B1050" s="48">
        <v>42855</v>
      </c>
      <c r="C1050" t="s">
        <v>48</v>
      </c>
      <c r="D1050" t="str">
        <f>IF(COUNTIFS(Verweise!$A$2:$A$4542,Übersicht!$C$7,Verweise!$B$2:$B$4542,B1050)=1,"Feiertag",IF(C1050="Samstag","",IF(C1050="Sonntag","",Übersicht!$C$8)))</f>
        <v>Feiertag</v>
      </c>
    </row>
    <row r="1051" spans="1:4" x14ac:dyDescent="0.25">
      <c r="A1051" t="s">
        <v>65</v>
      </c>
      <c r="B1051" s="48">
        <v>42867</v>
      </c>
      <c r="C1051" t="s">
        <v>49</v>
      </c>
      <c r="D1051" t="str">
        <f>IF(COUNTIFS(Verweise!$A$2:$A$4542,Übersicht!$C$7,Verweise!$B$2:$B$4542,B1051)=1,"Feiertag",IF(C1051="Samstag","",IF(C1051="Sonntag","",Übersicht!$C$8)))</f>
        <v>Feiertag</v>
      </c>
    </row>
    <row r="1052" spans="1:4" x14ac:dyDescent="0.25">
      <c r="A1052" t="s">
        <v>65</v>
      </c>
      <c r="B1052" s="48">
        <v>42877</v>
      </c>
      <c r="C1052" t="s">
        <v>50</v>
      </c>
      <c r="D1052" t="str">
        <f>IF(COUNTIFS(Verweise!$A$2:$A$4542,Übersicht!$C$7,Verweise!$B$2:$B$4542,B1052)=1,"Feiertag",IF(C1052="Samstag","",IF(C1052="Sonntag","",Übersicht!$C$8)))</f>
        <v>Feiertag</v>
      </c>
    </row>
    <row r="1053" spans="1:4" x14ac:dyDescent="0.25">
      <c r="A1053" t="s">
        <v>65</v>
      </c>
      <c r="B1053" s="48">
        <v>42878</v>
      </c>
      <c r="C1053" t="s">
        <v>51</v>
      </c>
      <c r="D1053" t="str">
        <f>IF(COUNTIFS(Verweise!$A$2:$A$4542,Übersicht!$C$7,Verweise!$B$2:$B$4542,B1053)=1,"Feiertag",IF(C1053="Samstag","",IF(C1053="Sonntag","",Übersicht!$C$8)))</f>
        <v>Feiertag</v>
      </c>
    </row>
    <row r="1054" spans="1:4" x14ac:dyDescent="0.25">
      <c r="A1054" t="s">
        <v>65</v>
      </c>
      <c r="B1054" s="48">
        <v>42888</v>
      </c>
      <c r="C1054" t="s">
        <v>52</v>
      </c>
      <c r="D1054" t="str">
        <f>IF(COUNTIFS(Verweise!$A$2:$A$4542,Übersicht!$C$7,Verweise!$B$2:$B$4542,B1054)=1,"Feiertag",IF(C1054="Samstag","",IF(C1054="Sonntag","",Übersicht!$C$8)))</f>
        <v>Feiertag</v>
      </c>
    </row>
    <row r="1055" spans="1:4" x14ac:dyDescent="0.25">
      <c r="A1055" t="s">
        <v>65</v>
      </c>
      <c r="B1055" s="48">
        <v>43010</v>
      </c>
      <c r="C1055" t="s">
        <v>53</v>
      </c>
      <c r="D1055" t="str">
        <f>IF(COUNTIFS(Verweise!$A$2:$A$4542,Übersicht!$C$7,Verweise!$B$2:$B$4542,B1055)=1,"Feiertag",IF(C1055="Samstag","",IF(C1055="Sonntag","",Übersicht!$C$8)))</f>
        <v>Feiertag</v>
      </c>
    </row>
    <row r="1056" spans="1:4" x14ac:dyDescent="0.25">
      <c r="A1056" t="s">
        <v>65</v>
      </c>
      <c r="B1056" s="48">
        <v>43093</v>
      </c>
      <c r="C1056" t="s">
        <v>55</v>
      </c>
      <c r="D1056" t="str">
        <f>IF(COUNTIFS(Verweise!$A$2:$A$4542,Übersicht!$C$7,Verweise!$B$2:$B$4542,B1056)=1,"Feiertag",IF(C1056="Samstag","",IF(C1056="Sonntag","",Übersicht!$C$8)))</f>
        <v>Feiertag</v>
      </c>
    </row>
    <row r="1057" spans="1:4" x14ac:dyDescent="0.25">
      <c r="A1057" t="s">
        <v>65</v>
      </c>
      <c r="B1057" s="48">
        <v>43094</v>
      </c>
      <c r="C1057" t="s">
        <v>56</v>
      </c>
      <c r="D1057" t="str">
        <f>IF(COUNTIFS(Verweise!$A$2:$A$4542,Übersicht!$C$7,Verweise!$B$2:$B$4542,B1057)=1,"Feiertag",IF(C1057="Samstag","",IF(C1057="Sonntag","",Übersicht!$C$8)))</f>
        <v>Feiertag</v>
      </c>
    </row>
    <row r="1058" spans="1:4" x14ac:dyDescent="0.25">
      <c r="A1058" t="s">
        <v>66</v>
      </c>
      <c r="B1058" s="48">
        <v>42735</v>
      </c>
      <c r="C1058" t="s">
        <v>43</v>
      </c>
      <c r="D1058" t="str">
        <f>IF(COUNTIFS(Verweise!$A$2:$A$4542,Übersicht!$C$7,Verweise!$B$2:$B$4542,B1058)=1,"Feiertag",IF(C1058="Samstag","",IF(C1058="Sonntag","",Übersicht!$C$8)))</f>
        <v>Feiertag</v>
      </c>
    </row>
    <row r="1059" spans="1:4" x14ac:dyDescent="0.25">
      <c r="A1059" t="s">
        <v>66</v>
      </c>
      <c r="B1059" s="48">
        <v>42826</v>
      </c>
      <c r="C1059" t="s">
        <v>45</v>
      </c>
      <c r="D1059" t="str">
        <f>IF(COUNTIFS(Verweise!$A$2:$A$4542,Übersicht!$C$7,Verweise!$B$2:$B$4542,B1059)=1,"Feiertag",IF(C1059="Samstag","",IF(C1059="Sonntag","",Übersicht!$C$8)))</f>
        <v>Feiertag</v>
      </c>
    </row>
    <row r="1060" spans="1:4" x14ac:dyDescent="0.25">
      <c r="A1060" t="s">
        <v>66</v>
      </c>
      <c r="B1060" s="48">
        <v>42828</v>
      </c>
      <c r="C1060" t="s">
        <v>46</v>
      </c>
      <c r="D1060" t="str">
        <f>IF(COUNTIFS(Verweise!$A$2:$A$4542,Übersicht!$C$7,Verweise!$B$2:$B$4542,B1060)=1,"Feiertag",IF(C1060="Samstag","",IF(C1060="Sonntag","",Übersicht!$C$8)))</f>
        <v>Feiertag</v>
      </c>
    </row>
    <row r="1061" spans="1:4" x14ac:dyDescent="0.25">
      <c r="A1061" t="s">
        <v>66</v>
      </c>
      <c r="B1061" s="48">
        <v>42829</v>
      </c>
      <c r="C1061" t="s">
        <v>47</v>
      </c>
      <c r="D1061" t="str">
        <f>IF(COUNTIFS(Verweise!$A$2:$A$4542,Übersicht!$C$7,Verweise!$B$2:$B$4542,B1061)=1,"Feiertag",IF(C1061="Samstag","",IF(C1061="Sonntag","",Übersicht!$C$8)))</f>
        <v>Feiertag</v>
      </c>
    </row>
    <row r="1062" spans="1:4" x14ac:dyDescent="0.25">
      <c r="A1062" t="s">
        <v>66</v>
      </c>
      <c r="B1062" s="48">
        <v>42855</v>
      </c>
      <c r="C1062" t="s">
        <v>48</v>
      </c>
      <c r="D1062" t="str">
        <f>IF(COUNTIFS(Verweise!$A$2:$A$4542,Übersicht!$C$7,Verweise!$B$2:$B$4542,B1062)=1,"Feiertag",IF(C1062="Samstag","",IF(C1062="Sonntag","",Übersicht!$C$8)))</f>
        <v>Feiertag</v>
      </c>
    </row>
    <row r="1063" spans="1:4" x14ac:dyDescent="0.25">
      <c r="A1063" t="s">
        <v>66</v>
      </c>
      <c r="B1063" s="48">
        <v>42867</v>
      </c>
      <c r="C1063" t="s">
        <v>49</v>
      </c>
      <c r="D1063" t="str">
        <f>IF(COUNTIFS(Verweise!$A$2:$A$4542,Übersicht!$C$7,Verweise!$B$2:$B$4542,B1063)=1,"Feiertag",IF(C1063="Samstag","",IF(C1063="Sonntag","",Übersicht!$C$8)))</f>
        <v>Feiertag</v>
      </c>
    </row>
    <row r="1064" spans="1:4" x14ac:dyDescent="0.25">
      <c r="A1064" t="s">
        <v>66</v>
      </c>
      <c r="B1064" s="48">
        <v>42877</v>
      </c>
      <c r="C1064" t="s">
        <v>50</v>
      </c>
      <c r="D1064" t="str">
        <f>IF(COUNTIFS(Verweise!$A$2:$A$4542,Übersicht!$C$7,Verweise!$B$2:$B$4542,B1064)=1,"Feiertag",IF(C1064="Samstag","",IF(C1064="Sonntag","",Übersicht!$C$8)))</f>
        <v>Feiertag</v>
      </c>
    </row>
    <row r="1065" spans="1:4" x14ac:dyDescent="0.25">
      <c r="A1065" t="s">
        <v>66</v>
      </c>
      <c r="B1065" s="48">
        <v>42878</v>
      </c>
      <c r="C1065" t="s">
        <v>51</v>
      </c>
      <c r="D1065" t="str">
        <f>IF(COUNTIFS(Verweise!$A$2:$A$4542,Übersicht!$C$7,Verweise!$B$2:$B$4542,B1065)=1,"Feiertag",IF(C1065="Samstag","",IF(C1065="Sonntag","",Übersicht!$C$8)))</f>
        <v>Feiertag</v>
      </c>
    </row>
    <row r="1066" spans="1:4" x14ac:dyDescent="0.25">
      <c r="A1066" t="s">
        <v>66</v>
      </c>
      <c r="B1066" s="48">
        <v>43010</v>
      </c>
      <c r="C1066" t="s">
        <v>53</v>
      </c>
      <c r="D1066" t="str">
        <f>IF(COUNTIFS(Verweise!$A$2:$A$4542,Übersicht!$C$7,Verweise!$B$2:$B$4542,B1066)=1,"Feiertag",IF(C1066="Samstag","",IF(C1066="Sonntag","",Übersicht!$C$8)))</f>
        <v>Feiertag</v>
      </c>
    </row>
    <row r="1067" spans="1:4" x14ac:dyDescent="0.25">
      <c r="A1067" t="s">
        <v>66</v>
      </c>
      <c r="B1067" s="48">
        <v>43038</v>
      </c>
      <c r="C1067" t="s">
        <v>62</v>
      </c>
      <c r="D1067" t="str">
        <f>IF(COUNTIFS(Verweise!$A$2:$A$4542,Übersicht!$C$7,Verweise!$B$2:$B$4542,B1067)=1,"Feiertag",IF(C1067="Samstag","",IF(C1067="Sonntag","",Übersicht!$C$8)))</f>
        <v>Büro</v>
      </c>
    </row>
    <row r="1068" spans="1:4" x14ac:dyDescent="0.25">
      <c r="A1068" t="s">
        <v>66</v>
      </c>
      <c r="B1068" s="48">
        <v>43093</v>
      </c>
      <c r="C1068" t="s">
        <v>55</v>
      </c>
      <c r="D1068" t="str">
        <f>IF(COUNTIFS(Verweise!$A$2:$A$4542,Übersicht!$C$7,Verweise!$B$2:$B$4542,B1068)=1,"Feiertag",IF(C1068="Samstag","",IF(C1068="Sonntag","",Übersicht!$C$8)))</f>
        <v>Feiertag</v>
      </c>
    </row>
    <row r="1069" spans="1:4" x14ac:dyDescent="0.25">
      <c r="A1069" t="s">
        <v>66</v>
      </c>
      <c r="B1069" s="48">
        <v>43094</v>
      </c>
      <c r="C1069" t="s">
        <v>56</v>
      </c>
      <c r="D1069" t="str">
        <f>IF(COUNTIFS(Verweise!$A$2:$A$4542,Übersicht!$C$7,Verweise!$B$2:$B$4542,B1069)=1,"Feiertag",IF(C1069="Samstag","",IF(C1069="Sonntag","",Übersicht!$C$8)))</f>
        <v>Feiertag</v>
      </c>
    </row>
    <row r="1070" spans="1:4" x14ac:dyDescent="0.25">
      <c r="A1070" t="s">
        <v>67</v>
      </c>
      <c r="B1070" s="48">
        <v>42735</v>
      </c>
      <c r="C1070" t="s">
        <v>43</v>
      </c>
      <c r="D1070" t="str">
        <f>IF(COUNTIFS(Verweise!$A$2:$A$4542,Übersicht!$C$7,Verweise!$B$2:$B$4542,B1070)=1,"Feiertag",IF(C1070="Samstag","",IF(C1070="Sonntag","",Übersicht!$C$8)))</f>
        <v>Feiertag</v>
      </c>
    </row>
    <row r="1071" spans="1:4" x14ac:dyDescent="0.25">
      <c r="A1071" t="s">
        <v>67</v>
      </c>
      <c r="B1071" s="48">
        <v>42826</v>
      </c>
      <c r="C1071" t="s">
        <v>45</v>
      </c>
      <c r="D1071" t="str">
        <f>IF(COUNTIFS(Verweise!$A$2:$A$4542,Übersicht!$C$7,Verweise!$B$2:$B$4542,B1071)=1,"Feiertag",IF(C1071="Samstag","",IF(C1071="Sonntag","",Übersicht!$C$8)))</f>
        <v>Feiertag</v>
      </c>
    </row>
    <row r="1072" spans="1:4" x14ac:dyDescent="0.25">
      <c r="A1072" t="s">
        <v>67</v>
      </c>
      <c r="B1072" s="48">
        <v>42828</v>
      </c>
      <c r="C1072" t="s">
        <v>46</v>
      </c>
      <c r="D1072" t="str">
        <f>IF(COUNTIFS(Verweise!$A$2:$A$4542,Übersicht!$C$7,Verweise!$B$2:$B$4542,B1072)=1,"Feiertag",IF(C1072="Samstag","",IF(C1072="Sonntag","",Übersicht!$C$8)))</f>
        <v>Feiertag</v>
      </c>
    </row>
    <row r="1073" spans="1:4" x14ac:dyDescent="0.25">
      <c r="A1073" t="s">
        <v>67</v>
      </c>
      <c r="B1073" s="48">
        <v>42829</v>
      </c>
      <c r="C1073" t="s">
        <v>47</v>
      </c>
      <c r="D1073" t="str">
        <f>IF(COUNTIFS(Verweise!$A$2:$A$4542,Übersicht!$C$7,Verweise!$B$2:$B$4542,B1073)=1,"Feiertag",IF(C1073="Samstag","",IF(C1073="Sonntag","",Übersicht!$C$8)))</f>
        <v>Feiertag</v>
      </c>
    </row>
    <row r="1074" spans="1:4" x14ac:dyDescent="0.25">
      <c r="A1074" t="s">
        <v>67</v>
      </c>
      <c r="B1074" s="48">
        <v>42855</v>
      </c>
      <c r="C1074" t="s">
        <v>48</v>
      </c>
      <c r="D1074" t="str">
        <f>IF(COUNTIFS(Verweise!$A$2:$A$4542,Übersicht!$C$7,Verweise!$B$2:$B$4542,B1074)=1,"Feiertag",IF(C1074="Samstag","",IF(C1074="Sonntag","",Übersicht!$C$8)))</f>
        <v>Feiertag</v>
      </c>
    </row>
    <row r="1075" spans="1:4" x14ac:dyDescent="0.25">
      <c r="A1075" t="s">
        <v>67</v>
      </c>
      <c r="B1075" s="48">
        <v>42867</v>
      </c>
      <c r="C1075" t="s">
        <v>49</v>
      </c>
      <c r="D1075" t="str">
        <f>IF(COUNTIFS(Verweise!$A$2:$A$4542,Übersicht!$C$7,Verweise!$B$2:$B$4542,B1075)=1,"Feiertag",IF(C1075="Samstag","",IF(C1075="Sonntag","",Übersicht!$C$8)))</f>
        <v>Feiertag</v>
      </c>
    </row>
    <row r="1076" spans="1:4" x14ac:dyDescent="0.25">
      <c r="A1076" t="s">
        <v>67</v>
      </c>
      <c r="B1076" s="48">
        <v>42877</v>
      </c>
      <c r="C1076" t="s">
        <v>50</v>
      </c>
      <c r="D1076" t="str">
        <f>IF(COUNTIFS(Verweise!$A$2:$A$4542,Übersicht!$C$7,Verweise!$B$2:$B$4542,B1076)=1,"Feiertag",IF(C1076="Samstag","",IF(C1076="Sonntag","",Übersicht!$C$8)))</f>
        <v>Feiertag</v>
      </c>
    </row>
    <row r="1077" spans="1:4" x14ac:dyDescent="0.25">
      <c r="A1077" t="s">
        <v>67</v>
      </c>
      <c r="B1077" s="48">
        <v>42878</v>
      </c>
      <c r="C1077" t="s">
        <v>51</v>
      </c>
      <c r="D1077" t="str">
        <f>IF(COUNTIFS(Verweise!$A$2:$A$4542,Übersicht!$C$7,Verweise!$B$2:$B$4542,B1077)=1,"Feiertag",IF(C1077="Samstag","",IF(C1077="Sonntag","",Übersicht!$C$8)))</f>
        <v>Feiertag</v>
      </c>
    </row>
    <row r="1078" spans="1:4" x14ac:dyDescent="0.25">
      <c r="A1078" t="s">
        <v>67</v>
      </c>
      <c r="B1078" s="48">
        <v>43010</v>
      </c>
      <c r="C1078" t="s">
        <v>53</v>
      </c>
      <c r="D1078" t="str">
        <f>IF(COUNTIFS(Verweise!$A$2:$A$4542,Übersicht!$C$7,Verweise!$B$2:$B$4542,B1078)=1,"Feiertag",IF(C1078="Samstag","",IF(C1078="Sonntag","",Übersicht!$C$8)))</f>
        <v>Feiertag</v>
      </c>
    </row>
    <row r="1079" spans="1:4" x14ac:dyDescent="0.25">
      <c r="A1079" t="s">
        <v>67</v>
      </c>
      <c r="B1079" s="48">
        <v>43093</v>
      </c>
      <c r="C1079" t="s">
        <v>55</v>
      </c>
      <c r="D1079" t="str">
        <f>IF(COUNTIFS(Verweise!$A$2:$A$4542,Übersicht!$C$7,Verweise!$B$2:$B$4542,B1079)=1,"Feiertag",IF(C1079="Samstag","",IF(C1079="Sonntag","",Übersicht!$C$8)))</f>
        <v>Feiertag</v>
      </c>
    </row>
    <row r="1080" spans="1:4" x14ac:dyDescent="0.25">
      <c r="A1080" t="s">
        <v>67</v>
      </c>
      <c r="B1080" s="48">
        <v>43094</v>
      </c>
      <c r="C1080" t="s">
        <v>56</v>
      </c>
      <c r="D1080" t="str">
        <f>IF(COUNTIFS(Verweise!$A$2:$A$4542,Übersicht!$C$7,Verweise!$B$2:$B$4542,B1080)=1,"Feiertag",IF(C1080="Samstag","",IF(C1080="Sonntag","",Übersicht!$C$8)))</f>
        <v>Feiertag</v>
      </c>
    </row>
    <row r="1081" spans="1:4" x14ac:dyDescent="0.25">
      <c r="A1081" t="s">
        <v>68</v>
      </c>
      <c r="B1081" s="48">
        <v>42735</v>
      </c>
      <c r="C1081" t="s">
        <v>43</v>
      </c>
      <c r="D1081" t="str">
        <f>IF(COUNTIFS(Verweise!$A$2:$A$4542,Übersicht!$C$7,Verweise!$B$2:$B$4542,B1081)=1,"Feiertag",IF(C1081="Samstag","",IF(C1081="Sonntag","",Übersicht!$C$8)))</f>
        <v>Feiertag</v>
      </c>
    </row>
    <row r="1082" spans="1:4" x14ac:dyDescent="0.25">
      <c r="A1082" t="s">
        <v>68</v>
      </c>
      <c r="B1082" s="48">
        <v>42826</v>
      </c>
      <c r="C1082" t="s">
        <v>45</v>
      </c>
      <c r="D1082" t="str">
        <f>IF(COUNTIFS(Verweise!$A$2:$A$4542,Übersicht!$C$7,Verweise!$B$2:$B$4542,B1082)=1,"Feiertag",IF(C1082="Samstag","",IF(C1082="Sonntag","",Übersicht!$C$8)))</f>
        <v>Feiertag</v>
      </c>
    </row>
    <row r="1083" spans="1:4" x14ac:dyDescent="0.25">
      <c r="A1083" t="s">
        <v>68</v>
      </c>
      <c r="B1083" s="48">
        <v>42828</v>
      </c>
      <c r="C1083" t="s">
        <v>46</v>
      </c>
      <c r="D1083" t="str">
        <f>IF(COUNTIFS(Verweise!$A$2:$A$4542,Übersicht!$C$7,Verweise!$B$2:$B$4542,B1083)=1,"Feiertag",IF(C1083="Samstag","",IF(C1083="Sonntag","",Übersicht!$C$8)))</f>
        <v>Feiertag</v>
      </c>
    </row>
    <row r="1084" spans="1:4" x14ac:dyDescent="0.25">
      <c r="A1084" t="s">
        <v>68</v>
      </c>
      <c r="B1084" s="48">
        <v>42829</v>
      </c>
      <c r="C1084" t="s">
        <v>47</v>
      </c>
      <c r="D1084" t="str">
        <f>IF(COUNTIFS(Verweise!$A$2:$A$4542,Übersicht!$C$7,Verweise!$B$2:$B$4542,B1084)=1,"Feiertag",IF(C1084="Samstag","",IF(C1084="Sonntag","",Übersicht!$C$8)))</f>
        <v>Feiertag</v>
      </c>
    </row>
    <row r="1085" spans="1:4" x14ac:dyDescent="0.25">
      <c r="A1085" t="s">
        <v>68</v>
      </c>
      <c r="B1085" s="48">
        <v>42855</v>
      </c>
      <c r="C1085" t="s">
        <v>48</v>
      </c>
      <c r="D1085" t="str">
        <f>IF(COUNTIFS(Verweise!$A$2:$A$4542,Übersicht!$C$7,Verweise!$B$2:$B$4542,B1085)=1,"Feiertag",IF(C1085="Samstag","",IF(C1085="Sonntag","",Übersicht!$C$8)))</f>
        <v>Feiertag</v>
      </c>
    </row>
    <row r="1086" spans="1:4" x14ac:dyDescent="0.25">
      <c r="A1086" t="s">
        <v>68</v>
      </c>
      <c r="B1086" s="48">
        <v>42867</v>
      </c>
      <c r="C1086" t="s">
        <v>49</v>
      </c>
      <c r="D1086" t="str">
        <f>IF(COUNTIFS(Verweise!$A$2:$A$4542,Übersicht!$C$7,Verweise!$B$2:$B$4542,B1086)=1,"Feiertag",IF(C1086="Samstag","",IF(C1086="Sonntag","",Übersicht!$C$8)))</f>
        <v>Feiertag</v>
      </c>
    </row>
    <row r="1087" spans="1:4" x14ac:dyDescent="0.25">
      <c r="A1087" t="s">
        <v>68</v>
      </c>
      <c r="B1087" s="48">
        <v>42877</v>
      </c>
      <c r="C1087" t="s">
        <v>50</v>
      </c>
      <c r="D1087" t="str">
        <f>IF(COUNTIFS(Verweise!$A$2:$A$4542,Übersicht!$C$7,Verweise!$B$2:$B$4542,B1087)=1,"Feiertag",IF(C1087="Samstag","",IF(C1087="Sonntag","",Übersicht!$C$8)))</f>
        <v>Feiertag</v>
      </c>
    </row>
    <row r="1088" spans="1:4" x14ac:dyDescent="0.25">
      <c r="A1088" t="s">
        <v>68</v>
      </c>
      <c r="B1088" s="48">
        <v>42878</v>
      </c>
      <c r="C1088" t="s">
        <v>51</v>
      </c>
      <c r="D1088" t="str">
        <f>IF(COUNTIFS(Verweise!$A$2:$A$4542,Übersicht!$C$7,Verweise!$B$2:$B$4542,B1088)=1,"Feiertag",IF(C1088="Samstag","",IF(C1088="Sonntag","",Übersicht!$C$8)))</f>
        <v>Feiertag</v>
      </c>
    </row>
    <row r="1089" spans="1:4" x14ac:dyDescent="0.25">
      <c r="A1089" t="s">
        <v>68</v>
      </c>
      <c r="B1089" s="48">
        <v>42888</v>
      </c>
      <c r="C1089" t="s">
        <v>52</v>
      </c>
      <c r="D1089" t="str">
        <f>IF(COUNTIFS(Verweise!$A$2:$A$4542,Übersicht!$C$7,Verweise!$B$2:$B$4542,B1089)=1,"Feiertag",IF(C1089="Samstag","",IF(C1089="Sonntag","",Übersicht!$C$8)))</f>
        <v>Feiertag</v>
      </c>
    </row>
    <row r="1090" spans="1:4" x14ac:dyDescent="0.25">
      <c r="A1090" t="s">
        <v>68</v>
      </c>
      <c r="B1090" s="48">
        <v>43010</v>
      </c>
      <c r="C1090" t="s">
        <v>53</v>
      </c>
      <c r="D1090" t="str">
        <f>IF(COUNTIFS(Verweise!$A$2:$A$4542,Übersicht!$C$7,Verweise!$B$2:$B$4542,B1090)=1,"Feiertag",IF(C1090="Samstag","",IF(C1090="Sonntag","",Übersicht!$C$8)))</f>
        <v>Feiertag</v>
      </c>
    </row>
    <row r="1091" spans="1:4" x14ac:dyDescent="0.25">
      <c r="A1091" t="s">
        <v>68</v>
      </c>
      <c r="B1091" s="48">
        <v>43039</v>
      </c>
      <c r="C1091" t="s">
        <v>54</v>
      </c>
      <c r="D1091" t="str">
        <f>IF(COUNTIFS(Verweise!$A$2:$A$4542,Übersicht!$C$7,Verweise!$B$2:$B$4542,B1091)=1,"Feiertag",IF(C1091="Samstag","",IF(C1091="Sonntag","",Übersicht!$C$8)))</f>
        <v>Feiertag</v>
      </c>
    </row>
    <row r="1092" spans="1:4" x14ac:dyDescent="0.25">
      <c r="A1092" t="s">
        <v>68</v>
      </c>
      <c r="B1092" s="48">
        <v>43093</v>
      </c>
      <c r="C1092" t="s">
        <v>55</v>
      </c>
      <c r="D1092" t="str">
        <f>IF(COUNTIFS(Verweise!$A$2:$A$4542,Übersicht!$C$7,Verweise!$B$2:$B$4542,B1092)=1,"Feiertag",IF(C1092="Samstag","",IF(C1092="Sonntag","",Übersicht!$C$8)))</f>
        <v>Feiertag</v>
      </c>
    </row>
    <row r="1093" spans="1:4" x14ac:dyDescent="0.25">
      <c r="A1093" t="s">
        <v>68</v>
      </c>
      <c r="B1093" s="48">
        <v>43094</v>
      </c>
      <c r="C1093" t="s">
        <v>56</v>
      </c>
      <c r="D1093" t="str">
        <f>IF(COUNTIFS(Verweise!$A$2:$A$4542,Übersicht!$C$7,Verweise!$B$2:$B$4542,B1093)=1,"Feiertag",IF(C1093="Samstag","",IF(C1093="Sonntag","",Übersicht!$C$8)))</f>
        <v>Feiertag</v>
      </c>
    </row>
    <row r="1094" spans="1:4" x14ac:dyDescent="0.25">
      <c r="A1094" t="s">
        <v>69</v>
      </c>
      <c r="B1094" s="48">
        <v>42735</v>
      </c>
      <c r="C1094" t="s">
        <v>43</v>
      </c>
      <c r="D1094" t="str">
        <f>IF(COUNTIFS(Verweise!$A$2:$A$4542,Übersicht!$C$7,Verweise!$B$2:$B$4542,B1094)=1,"Feiertag",IF(C1094="Samstag","",IF(C1094="Sonntag","",Übersicht!$C$8)))</f>
        <v>Feiertag</v>
      </c>
    </row>
    <row r="1095" spans="1:4" x14ac:dyDescent="0.25">
      <c r="A1095" t="s">
        <v>69</v>
      </c>
      <c r="B1095" s="48">
        <v>42826</v>
      </c>
      <c r="C1095" t="s">
        <v>45</v>
      </c>
      <c r="D1095" t="str">
        <f>IF(COUNTIFS(Verweise!$A$2:$A$4542,Übersicht!$C$7,Verweise!$B$2:$B$4542,B1095)=1,"Feiertag",IF(C1095="Samstag","",IF(C1095="Sonntag","",Übersicht!$C$8)))</f>
        <v>Feiertag</v>
      </c>
    </row>
    <row r="1096" spans="1:4" x14ac:dyDescent="0.25">
      <c r="A1096" t="s">
        <v>69</v>
      </c>
      <c r="B1096" s="48">
        <v>42828</v>
      </c>
      <c r="C1096" t="s">
        <v>46</v>
      </c>
      <c r="D1096" t="str">
        <f>IF(COUNTIFS(Verweise!$A$2:$A$4542,Übersicht!$C$7,Verweise!$B$2:$B$4542,B1096)=1,"Feiertag",IF(C1096="Samstag","",IF(C1096="Sonntag","",Übersicht!$C$8)))</f>
        <v>Feiertag</v>
      </c>
    </row>
    <row r="1097" spans="1:4" x14ac:dyDescent="0.25">
      <c r="A1097" t="s">
        <v>69</v>
      </c>
      <c r="B1097" s="48">
        <v>42829</v>
      </c>
      <c r="C1097" t="s">
        <v>47</v>
      </c>
      <c r="D1097" t="str">
        <f>IF(COUNTIFS(Verweise!$A$2:$A$4542,Übersicht!$C$7,Verweise!$B$2:$B$4542,B1097)=1,"Feiertag",IF(C1097="Samstag","",IF(C1097="Sonntag","",Übersicht!$C$8)))</f>
        <v>Feiertag</v>
      </c>
    </row>
    <row r="1098" spans="1:4" x14ac:dyDescent="0.25">
      <c r="A1098" t="s">
        <v>69</v>
      </c>
      <c r="B1098" s="48">
        <v>42855</v>
      </c>
      <c r="C1098" t="s">
        <v>48</v>
      </c>
      <c r="D1098" t="str">
        <f>IF(COUNTIFS(Verweise!$A$2:$A$4542,Übersicht!$C$7,Verweise!$B$2:$B$4542,B1098)=1,"Feiertag",IF(C1098="Samstag","",IF(C1098="Sonntag","",Übersicht!$C$8)))</f>
        <v>Feiertag</v>
      </c>
    </row>
    <row r="1099" spans="1:4" x14ac:dyDescent="0.25">
      <c r="A1099" t="s">
        <v>69</v>
      </c>
      <c r="B1099" s="48">
        <v>42867</v>
      </c>
      <c r="C1099" t="s">
        <v>49</v>
      </c>
      <c r="D1099" t="str">
        <f>IF(COUNTIFS(Verweise!$A$2:$A$4542,Übersicht!$C$7,Verweise!$B$2:$B$4542,B1099)=1,"Feiertag",IF(C1099="Samstag","",IF(C1099="Sonntag","",Übersicht!$C$8)))</f>
        <v>Feiertag</v>
      </c>
    </row>
    <row r="1100" spans="1:4" x14ac:dyDescent="0.25">
      <c r="A1100" t="s">
        <v>69</v>
      </c>
      <c r="B1100" s="48">
        <v>42877</v>
      </c>
      <c r="C1100" t="s">
        <v>50</v>
      </c>
      <c r="D1100" t="str">
        <f>IF(COUNTIFS(Verweise!$A$2:$A$4542,Übersicht!$C$7,Verweise!$B$2:$B$4542,B1100)=1,"Feiertag",IF(C1100="Samstag","",IF(C1100="Sonntag","",Übersicht!$C$8)))</f>
        <v>Feiertag</v>
      </c>
    </row>
    <row r="1101" spans="1:4" x14ac:dyDescent="0.25">
      <c r="A1101" t="s">
        <v>69</v>
      </c>
      <c r="B1101" s="48">
        <v>42878</v>
      </c>
      <c r="C1101" t="s">
        <v>51</v>
      </c>
      <c r="D1101" t="str">
        <f>IF(COUNTIFS(Verweise!$A$2:$A$4542,Übersicht!$C$7,Verweise!$B$2:$B$4542,B1101)=1,"Feiertag",IF(C1101="Samstag","",IF(C1101="Sonntag","",Übersicht!$C$8)))</f>
        <v>Feiertag</v>
      </c>
    </row>
    <row r="1102" spans="1:4" x14ac:dyDescent="0.25">
      <c r="A1102" t="s">
        <v>69</v>
      </c>
      <c r="B1102" s="48">
        <v>42888</v>
      </c>
      <c r="C1102" t="s">
        <v>52</v>
      </c>
      <c r="D1102" t="str">
        <f>IF(COUNTIFS(Verweise!$A$2:$A$4542,Übersicht!$C$7,Verweise!$B$2:$B$4542,B1102)=1,"Feiertag",IF(C1102="Samstag","",IF(C1102="Sonntag","",Übersicht!$C$8)))</f>
        <v>Feiertag</v>
      </c>
    </row>
    <row r="1103" spans="1:4" x14ac:dyDescent="0.25">
      <c r="A1103" t="s">
        <v>69</v>
      </c>
      <c r="B1103" s="48">
        <v>43010</v>
      </c>
      <c r="C1103" t="s">
        <v>53</v>
      </c>
      <c r="D1103" t="str">
        <f>IF(COUNTIFS(Verweise!$A$2:$A$4542,Übersicht!$C$7,Verweise!$B$2:$B$4542,B1103)=1,"Feiertag",IF(C1103="Samstag","",IF(C1103="Sonntag","",Übersicht!$C$8)))</f>
        <v>Feiertag</v>
      </c>
    </row>
    <row r="1104" spans="1:4" x14ac:dyDescent="0.25">
      <c r="A1104" t="s">
        <v>69</v>
      </c>
      <c r="B1104" s="48">
        <v>43039</v>
      </c>
      <c r="C1104" t="s">
        <v>54</v>
      </c>
      <c r="D1104" t="str">
        <f>IF(COUNTIFS(Verweise!$A$2:$A$4542,Übersicht!$C$7,Verweise!$B$2:$B$4542,B1104)=1,"Feiertag",IF(C1104="Samstag","",IF(C1104="Sonntag","",Übersicht!$C$8)))</f>
        <v>Feiertag</v>
      </c>
    </row>
    <row r="1105" spans="1:4" x14ac:dyDescent="0.25">
      <c r="A1105" t="s">
        <v>69</v>
      </c>
      <c r="B1105" s="48">
        <v>43093</v>
      </c>
      <c r="C1105" t="s">
        <v>55</v>
      </c>
      <c r="D1105" t="str">
        <f>IF(COUNTIFS(Verweise!$A$2:$A$4542,Übersicht!$C$7,Verweise!$B$2:$B$4542,B1105)=1,"Feiertag",IF(C1105="Samstag","",IF(C1105="Sonntag","",Übersicht!$C$8)))</f>
        <v>Feiertag</v>
      </c>
    </row>
    <row r="1106" spans="1:4" x14ac:dyDescent="0.25">
      <c r="A1106" t="s">
        <v>69</v>
      </c>
      <c r="B1106" s="48">
        <v>43094</v>
      </c>
      <c r="C1106" t="s">
        <v>56</v>
      </c>
      <c r="D1106" t="str">
        <f>IF(COUNTIFS(Verweise!$A$2:$A$4542,Übersicht!$C$7,Verweise!$B$2:$B$4542,B1106)=1,"Feiertag",IF(C1106="Samstag","",IF(C1106="Sonntag","",Übersicht!$C$8)))</f>
        <v>Feiertag</v>
      </c>
    </row>
    <row r="1107" spans="1:4" x14ac:dyDescent="0.25">
      <c r="A1107" t="s">
        <v>70</v>
      </c>
      <c r="B1107" s="48">
        <v>42735</v>
      </c>
      <c r="C1107" t="s">
        <v>43</v>
      </c>
      <c r="D1107" t="str">
        <f>IF(COUNTIFS(Verweise!$A$2:$A$4542,Übersicht!$C$7,Verweise!$B$2:$B$4542,B1107)=1,"Feiertag",IF(C1107="Samstag","",IF(C1107="Sonntag","",Übersicht!$C$8)))</f>
        <v>Feiertag</v>
      </c>
    </row>
    <row r="1108" spans="1:4" x14ac:dyDescent="0.25">
      <c r="A1108" t="s">
        <v>70</v>
      </c>
      <c r="B1108" s="48">
        <v>42826</v>
      </c>
      <c r="C1108" t="s">
        <v>45</v>
      </c>
      <c r="D1108" t="str">
        <f>IF(COUNTIFS(Verweise!$A$2:$A$4542,Übersicht!$C$7,Verweise!$B$2:$B$4542,B1108)=1,"Feiertag",IF(C1108="Samstag","",IF(C1108="Sonntag","",Übersicht!$C$8)))</f>
        <v>Feiertag</v>
      </c>
    </row>
    <row r="1109" spans="1:4" x14ac:dyDescent="0.25">
      <c r="A1109" t="s">
        <v>70</v>
      </c>
      <c r="B1109" s="48">
        <v>42828</v>
      </c>
      <c r="C1109" t="s">
        <v>46</v>
      </c>
      <c r="D1109" t="str">
        <f>IF(COUNTIFS(Verweise!$A$2:$A$4542,Übersicht!$C$7,Verweise!$B$2:$B$4542,B1109)=1,"Feiertag",IF(C1109="Samstag","",IF(C1109="Sonntag","",Übersicht!$C$8)))</f>
        <v>Feiertag</v>
      </c>
    </row>
    <row r="1110" spans="1:4" x14ac:dyDescent="0.25">
      <c r="A1110" t="s">
        <v>70</v>
      </c>
      <c r="B1110" s="48">
        <v>42829</v>
      </c>
      <c r="C1110" t="s">
        <v>47</v>
      </c>
      <c r="D1110" t="str">
        <f>IF(COUNTIFS(Verweise!$A$2:$A$4542,Übersicht!$C$7,Verweise!$B$2:$B$4542,B1110)=1,"Feiertag",IF(C1110="Samstag","",IF(C1110="Sonntag","",Übersicht!$C$8)))</f>
        <v>Feiertag</v>
      </c>
    </row>
    <row r="1111" spans="1:4" x14ac:dyDescent="0.25">
      <c r="A1111" t="s">
        <v>70</v>
      </c>
      <c r="B1111" s="48">
        <v>42855</v>
      </c>
      <c r="C1111" t="s">
        <v>48</v>
      </c>
      <c r="D1111" t="str">
        <f>IF(COUNTIFS(Verweise!$A$2:$A$4542,Übersicht!$C$7,Verweise!$B$2:$B$4542,B1111)=1,"Feiertag",IF(C1111="Samstag","",IF(C1111="Sonntag","",Übersicht!$C$8)))</f>
        <v>Feiertag</v>
      </c>
    </row>
    <row r="1112" spans="1:4" x14ac:dyDescent="0.25">
      <c r="A1112" t="s">
        <v>70</v>
      </c>
      <c r="B1112" s="48">
        <v>42867</v>
      </c>
      <c r="C1112" t="s">
        <v>49</v>
      </c>
      <c r="D1112" t="str">
        <f>IF(COUNTIFS(Verweise!$A$2:$A$4542,Übersicht!$C$7,Verweise!$B$2:$B$4542,B1112)=1,"Feiertag",IF(C1112="Samstag","",IF(C1112="Sonntag","",Übersicht!$C$8)))</f>
        <v>Feiertag</v>
      </c>
    </row>
    <row r="1113" spans="1:4" x14ac:dyDescent="0.25">
      <c r="A1113" t="s">
        <v>70</v>
      </c>
      <c r="B1113" s="48">
        <v>42877</v>
      </c>
      <c r="C1113" t="s">
        <v>50</v>
      </c>
      <c r="D1113" t="str">
        <f>IF(COUNTIFS(Verweise!$A$2:$A$4542,Übersicht!$C$7,Verweise!$B$2:$B$4542,B1113)=1,"Feiertag",IF(C1113="Samstag","",IF(C1113="Sonntag","",Übersicht!$C$8)))</f>
        <v>Feiertag</v>
      </c>
    </row>
    <row r="1114" spans="1:4" x14ac:dyDescent="0.25">
      <c r="A1114" t="s">
        <v>70</v>
      </c>
      <c r="B1114" s="48">
        <v>42878</v>
      </c>
      <c r="C1114" t="s">
        <v>51</v>
      </c>
      <c r="D1114" t="str">
        <f>IF(COUNTIFS(Verweise!$A$2:$A$4542,Übersicht!$C$7,Verweise!$B$2:$B$4542,B1114)=1,"Feiertag",IF(C1114="Samstag","",IF(C1114="Sonntag","",Übersicht!$C$8)))</f>
        <v>Feiertag</v>
      </c>
    </row>
    <row r="1115" spans="1:4" x14ac:dyDescent="0.25">
      <c r="A1115" t="s">
        <v>70</v>
      </c>
      <c r="B1115" s="48">
        <v>42888</v>
      </c>
      <c r="C1115" t="s">
        <v>52</v>
      </c>
      <c r="D1115" t="str">
        <f>IF(COUNTIFS(Verweise!$A$2:$A$4542,Übersicht!$C$7,Verweise!$B$2:$B$4542,B1115)=1,"Feiertag",IF(C1115="Samstag","",IF(C1115="Sonntag","",Übersicht!$C$8)))</f>
        <v>Feiertag</v>
      </c>
    </row>
    <row r="1116" spans="1:4" x14ac:dyDescent="0.25">
      <c r="A1116" t="s">
        <v>70</v>
      </c>
      <c r="B1116" s="48">
        <v>42961</v>
      </c>
      <c r="C1116" t="s">
        <v>59</v>
      </c>
      <c r="D1116" t="str">
        <f>IF(COUNTIFS(Verweise!$A$2:$A$4542,Übersicht!$C$7,Verweise!$B$2:$B$4542,B1116)=1,"Feiertag",IF(C1116="Samstag","",IF(C1116="Sonntag","",Übersicht!$C$8)))</f>
        <v>Büro</v>
      </c>
    </row>
    <row r="1117" spans="1:4" x14ac:dyDescent="0.25">
      <c r="A1117" t="s">
        <v>70</v>
      </c>
      <c r="B1117" s="48">
        <v>43010</v>
      </c>
      <c r="C1117" t="s">
        <v>53</v>
      </c>
      <c r="D1117" t="str">
        <f>IF(COUNTIFS(Verweise!$A$2:$A$4542,Übersicht!$C$7,Verweise!$B$2:$B$4542,B1117)=1,"Feiertag",IF(C1117="Samstag","",IF(C1117="Sonntag","",Übersicht!$C$8)))</f>
        <v>Feiertag</v>
      </c>
    </row>
    <row r="1118" spans="1:4" x14ac:dyDescent="0.25">
      <c r="A1118" t="s">
        <v>70</v>
      </c>
      <c r="B1118" s="48">
        <v>43039</v>
      </c>
      <c r="C1118" t="s">
        <v>54</v>
      </c>
      <c r="D1118" t="str">
        <f>IF(COUNTIFS(Verweise!$A$2:$A$4542,Übersicht!$C$7,Verweise!$B$2:$B$4542,B1118)=1,"Feiertag",IF(C1118="Samstag","",IF(C1118="Sonntag","",Übersicht!$C$8)))</f>
        <v>Feiertag</v>
      </c>
    </row>
    <row r="1119" spans="1:4" x14ac:dyDescent="0.25">
      <c r="A1119" t="s">
        <v>70</v>
      </c>
      <c r="B1119" s="48">
        <v>43093</v>
      </c>
      <c r="C1119" t="s">
        <v>55</v>
      </c>
      <c r="D1119" t="str">
        <f>IF(COUNTIFS(Verweise!$A$2:$A$4542,Übersicht!$C$7,Verweise!$B$2:$B$4542,B1119)=1,"Feiertag",IF(C1119="Samstag","",IF(C1119="Sonntag","",Übersicht!$C$8)))</f>
        <v>Feiertag</v>
      </c>
    </row>
    <row r="1120" spans="1:4" x14ac:dyDescent="0.25">
      <c r="A1120" t="s">
        <v>70</v>
      </c>
      <c r="B1120" s="48">
        <v>43094</v>
      </c>
      <c r="C1120" t="s">
        <v>56</v>
      </c>
      <c r="D1120" t="str">
        <f>IF(COUNTIFS(Verweise!$A$2:$A$4542,Übersicht!$C$7,Verweise!$B$2:$B$4542,B1120)=1,"Feiertag",IF(C1120="Samstag","",IF(C1120="Sonntag","",Übersicht!$C$8)))</f>
        <v>Feiertag</v>
      </c>
    </row>
    <row r="1121" spans="1:4" x14ac:dyDescent="0.25">
      <c r="A1121" t="s">
        <v>71</v>
      </c>
      <c r="B1121" s="48">
        <v>42735</v>
      </c>
      <c r="C1121" t="s">
        <v>43</v>
      </c>
      <c r="D1121" t="str">
        <f>IF(COUNTIFS(Verweise!$A$2:$A$4542,Übersicht!$C$7,Verweise!$B$2:$B$4542,B1121)=1,"Feiertag",IF(C1121="Samstag","",IF(C1121="Sonntag","",Übersicht!$C$8)))</f>
        <v>Feiertag</v>
      </c>
    </row>
    <row r="1122" spans="1:4" x14ac:dyDescent="0.25">
      <c r="A1122" t="s">
        <v>71</v>
      </c>
      <c r="B1122" s="48">
        <v>42826</v>
      </c>
      <c r="C1122" t="s">
        <v>45</v>
      </c>
      <c r="D1122" t="str">
        <f>IF(COUNTIFS(Verweise!$A$2:$A$4542,Übersicht!$C$7,Verweise!$B$2:$B$4542,B1122)=1,"Feiertag",IF(C1122="Samstag","",IF(C1122="Sonntag","",Übersicht!$C$8)))</f>
        <v>Feiertag</v>
      </c>
    </row>
    <row r="1123" spans="1:4" x14ac:dyDescent="0.25">
      <c r="A1123" t="s">
        <v>71</v>
      </c>
      <c r="B1123" s="48">
        <v>42828</v>
      </c>
      <c r="C1123" t="s">
        <v>46</v>
      </c>
      <c r="D1123" t="str">
        <f>IF(COUNTIFS(Verweise!$A$2:$A$4542,Übersicht!$C$7,Verweise!$B$2:$B$4542,B1123)=1,"Feiertag",IF(C1123="Samstag","",IF(C1123="Sonntag","",Übersicht!$C$8)))</f>
        <v>Feiertag</v>
      </c>
    </row>
    <row r="1124" spans="1:4" x14ac:dyDescent="0.25">
      <c r="A1124" t="s">
        <v>71</v>
      </c>
      <c r="B1124" s="48">
        <v>42829</v>
      </c>
      <c r="C1124" t="s">
        <v>47</v>
      </c>
      <c r="D1124" t="str">
        <f>IF(COUNTIFS(Verweise!$A$2:$A$4542,Übersicht!$C$7,Verweise!$B$2:$B$4542,B1124)=1,"Feiertag",IF(C1124="Samstag","",IF(C1124="Sonntag","",Übersicht!$C$8)))</f>
        <v>Feiertag</v>
      </c>
    </row>
    <row r="1125" spans="1:4" x14ac:dyDescent="0.25">
      <c r="A1125" t="s">
        <v>71</v>
      </c>
      <c r="B1125" s="48">
        <v>42855</v>
      </c>
      <c r="C1125" t="s">
        <v>48</v>
      </c>
      <c r="D1125" t="str">
        <f>IF(COUNTIFS(Verweise!$A$2:$A$4542,Übersicht!$C$7,Verweise!$B$2:$B$4542,B1125)=1,"Feiertag",IF(C1125="Samstag","",IF(C1125="Sonntag","",Übersicht!$C$8)))</f>
        <v>Feiertag</v>
      </c>
    </row>
    <row r="1126" spans="1:4" x14ac:dyDescent="0.25">
      <c r="A1126" t="s">
        <v>71</v>
      </c>
      <c r="B1126" s="48">
        <v>42867</v>
      </c>
      <c r="C1126" t="s">
        <v>49</v>
      </c>
      <c r="D1126" t="str">
        <f>IF(COUNTIFS(Verweise!$A$2:$A$4542,Übersicht!$C$7,Verweise!$B$2:$B$4542,B1126)=1,"Feiertag",IF(C1126="Samstag","",IF(C1126="Sonntag","",Übersicht!$C$8)))</f>
        <v>Feiertag</v>
      </c>
    </row>
    <row r="1127" spans="1:4" x14ac:dyDescent="0.25">
      <c r="A1127" t="s">
        <v>71</v>
      </c>
      <c r="B1127" s="48">
        <v>42877</v>
      </c>
      <c r="C1127" t="s">
        <v>50</v>
      </c>
      <c r="D1127" t="str">
        <f>IF(COUNTIFS(Verweise!$A$2:$A$4542,Übersicht!$C$7,Verweise!$B$2:$B$4542,B1127)=1,"Feiertag",IF(C1127="Samstag","",IF(C1127="Sonntag","",Übersicht!$C$8)))</f>
        <v>Feiertag</v>
      </c>
    </row>
    <row r="1128" spans="1:4" x14ac:dyDescent="0.25">
      <c r="A1128" t="s">
        <v>71</v>
      </c>
      <c r="B1128" s="48">
        <v>42878</v>
      </c>
      <c r="C1128" t="s">
        <v>51</v>
      </c>
      <c r="D1128" t="str">
        <f>IF(COUNTIFS(Verweise!$A$2:$A$4542,Übersicht!$C$7,Verweise!$B$2:$B$4542,B1128)=1,"Feiertag",IF(C1128="Samstag","",IF(C1128="Sonntag","",Übersicht!$C$8)))</f>
        <v>Feiertag</v>
      </c>
    </row>
    <row r="1129" spans="1:4" x14ac:dyDescent="0.25">
      <c r="A1129" t="s">
        <v>71</v>
      </c>
      <c r="B1129" s="48">
        <v>43010</v>
      </c>
      <c r="C1129" t="s">
        <v>53</v>
      </c>
      <c r="D1129" t="str">
        <f>IF(COUNTIFS(Verweise!$A$2:$A$4542,Übersicht!$C$7,Verweise!$B$2:$B$4542,B1129)=1,"Feiertag",IF(C1129="Samstag","",IF(C1129="Sonntag","",Übersicht!$C$8)))</f>
        <v>Feiertag</v>
      </c>
    </row>
    <row r="1130" spans="1:4" x14ac:dyDescent="0.25">
      <c r="A1130" t="s">
        <v>71</v>
      </c>
      <c r="B1130" s="48">
        <v>43038</v>
      </c>
      <c r="C1130" t="s">
        <v>62</v>
      </c>
      <c r="D1130" t="str">
        <f>IF(COUNTIFS(Verweise!$A$2:$A$4542,Übersicht!$C$7,Verweise!$B$2:$B$4542,B1130)=1,"Feiertag",IF(C1130="Samstag","",IF(C1130="Sonntag","",Übersicht!$C$8)))</f>
        <v>Büro</v>
      </c>
    </row>
    <row r="1131" spans="1:4" x14ac:dyDescent="0.25">
      <c r="A1131" t="s">
        <v>71</v>
      </c>
      <c r="B1131" s="48">
        <v>43055</v>
      </c>
      <c r="C1131" t="s">
        <v>72</v>
      </c>
      <c r="D1131" t="str">
        <f>IF(COUNTIFS(Verweise!$A$2:$A$4542,Übersicht!$C$7,Verweise!$B$2:$B$4542,B1131)=1,"Feiertag",IF(C1131="Samstag","",IF(C1131="Sonntag","",Übersicht!$C$8)))</f>
        <v>Büro</v>
      </c>
    </row>
    <row r="1132" spans="1:4" x14ac:dyDescent="0.25">
      <c r="A1132" t="s">
        <v>71</v>
      </c>
      <c r="B1132" s="48">
        <v>43093</v>
      </c>
      <c r="C1132" t="s">
        <v>55</v>
      </c>
      <c r="D1132" t="str">
        <f>IF(COUNTIFS(Verweise!$A$2:$A$4542,Übersicht!$C$7,Verweise!$B$2:$B$4542,B1132)=1,"Feiertag",IF(C1132="Samstag","",IF(C1132="Sonntag","",Übersicht!$C$8)))</f>
        <v>Feiertag</v>
      </c>
    </row>
    <row r="1133" spans="1:4" x14ac:dyDescent="0.25">
      <c r="A1133" t="s">
        <v>71</v>
      </c>
      <c r="B1133" s="48">
        <v>43094</v>
      </c>
      <c r="C1133" t="s">
        <v>56</v>
      </c>
      <c r="D1133" t="str">
        <f>IF(COUNTIFS(Verweise!$A$2:$A$4542,Übersicht!$C$7,Verweise!$B$2:$B$4542,B1133)=1,"Feiertag",IF(C1133="Samstag","",IF(C1133="Sonntag","",Übersicht!$C$8)))</f>
        <v>Feiertag</v>
      </c>
    </row>
    <row r="1134" spans="1:4" x14ac:dyDescent="0.25">
      <c r="A1134" t="s">
        <v>73</v>
      </c>
      <c r="B1134" s="48">
        <v>42735</v>
      </c>
      <c r="C1134" t="s">
        <v>43</v>
      </c>
      <c r="D1134" t="str">
        <f>IF(COUNTIFS(Verweise!$A$2:$A$4542,Übersicht!$C$7,Verweise!$B$2:$B$4542,B1134)=1,"Feiertag",IF(C1134="Samstag","",IF(C1134="Sonntag","",Übersicht!$C$8)))</f>
        <v>Feiertag</v>
      </c>
    </row>
    <row r="1135" spans="1:4" x14ac:dyDescent="0.25">
      <c r="A1135" t="s">
        <v>73</v>
      </c>
      <c r="B1135" s="48">
        <v>42826</v>
      </c>
      <c r="C1135" t="s">
        <v>45</v>
      </c>
      <c r="D1135" t="str">
        <f>IF(COUNTIFS(Verweise!$A$2:$A$4542,Übersicht!$C$7,Verweise!$B$2:$B$4542,B1135)=1,"Feiertag",IF(C1135="Samstag","",IF(C1135="Sonntag","",Übersicht!$C$8)))</f>
        <v>Feiertag</v>
      </c>
    </row>
    <row r="1136" spans="1:4" x14ac:dyDescent="0.25">
      <c r="A1136" t="s">
        <v>73</v>
      </c>
      <c r="B1136" s="48">
        <v>42828</v>
      </c>
      <c r="C1136" t="s">
        <v>46</v>
      </c>
      <c r="D1136" t="str">
        <f>IF(COUNTIFS(Verweise!$A$2:$A$4542,Übersicht!$C$7,Verweise!$B$2:$B$4542,B1136)=1,"Feiertag",IF(C1136="Samstag","",IF(C1136="Sonntag","",Übersicht!$C$8)))</f>
        <v>Feiertag</v>
      </c>
    </row>
    <row r="1137" spans="1:4" x14ac:dyDescent="0.25">
      <c r="A1137" t="s">
        <v>73</v>
      </c>
      <c r="B1137" s="48">
        <v>42829</v>
      </c>
      <c r="C1137" t="s">
        <v>47</v>
      </c>
      <c r="D1137" t="str">
        <f>IF(COUNTIFS(Verweise!$A$2:$A$4542,Übersicht!$C$7,Verweise!$B$2:$B$4542,B1137)=1,"Feiertag",IF(C1137="Samstag","",IF(C1137="Sonntag","",Übersicht!$C$8)))</f>
        <v>Feiertag</v>
      </c>
    </row>
    <row r="1138" spans="1:4" x14ac:dyDescent="0.25">
      <c r="A1138" t="s">
        <v>73</v>
      </c>
      <c r="B1138" s="48">
        <v>42855</v>
      </c>
      <c r="C1138" t="s">
        <v>48</v>
      </c>
      <c r="D1138" t="str">
        <f>IF(COUNTIFS(Verweise!$A$2:$A$4542,Übersicht!$C$7,Verweise!$B$2:$B$4542,B1138)=1,"Feiertag",IF(C1138="Samstag","",IF(C1138="Sonntag","",Übersicht!$C$8)))</f>
        <v>Feiertag</v>
      </c>
    </row>
    <row r="1139" spans="1:4" x14ac:dyDescent="0.25">
      <c r="A1139" t="s">
        <v>73</v>
      </c>
      <c r="B1139" s="48">
        <v>42867</v>
      </c>
      <c r="C1139" t="s">
        <v>49</v>
      </c>
      <c r="D1139" t="str">
        <f>IF(COUNTIFS(Verweise!$A$2:$A$4542,Übersicht!$C$7,Verweise!$B$2:$B$4542,B1139)=1,"Feiertag",IF(C1139="Samstag","",IF(C1139="Sonntag","",Übersicht!$C$8)))</f>
        <v>Feiertag</v>
      </c>
    </row>
    <row r="1140" spans="1:4" x14ac:dyDescent="0.25">
      <c r="A1140" t="s">
        <v>73</v>
      </c>
      <c r="B1140" s="48">
        <v>42877</v>
      </c>
      <c r="C1140" t="s">
        <v>50</v>
      </c>
      <c r="D1140" t="str">
        <f>IF(COUNTIFS(Verweise!$A$2:$A$4542,Übersicht!$C$7,Verweise!$B$2:$B$4542,B1140)=1,"Feiertag",IF(C1140="Samstag","",IF(C1140="Sonntag","",Übersicht!$C$8)))</f>
        <v>Feiertag</v>
      </c>
    </row>
    <row r="1141" spans="1:4" x14ac:dyDescent="0.25">
      <c r="A1141" t="s">
        <v>73</v>
      </c>
      <c r="B1141" s="48">
        <v>42878</v>
      </c>
      <c r="C1141" t="s">
        <v>51</v>
      </c>
      <c r="D1141" t="str">
        <f>IF(COUNTIFS(Verweise!$A$2:$A$4542,Übersicht!$C$7,Verweise!$B$2:$B$4542,B1141)=1,"Feiertag",IF(C1141="Samstag","",IF(C1141="Sonntag","",Übersicht!$C$8)))</f>
        <v>Feiertag</v>
      </c>
    </row>
    <row r="1142" spans="1:4" x14ac:dyDescent="0.25">
      <c r="A1142" t="s">
        <v>73</v>
      </c>
      <c r="B1142" s="48">
        <v>42888</v>
      </c>
      <c r="C1142" t="s">
        <v>52</v>
      </c>
      <c r="D1142" t="str">
        <f>IF(COUNTIFS(Verweise!$A$2:$A$4542,Übersicht!$C$7,Verweise!$B$2:$B$4542,B1142)=1,"Feiertag",IF(C1142="Samstag","",IF(C1142="Sonntag","",Übersicht!$C$8)))</f>
        <v>Feiertag</v>
      </c>
    </row>
    <row r="1143" spans="1:4" x14ac:dyDescent="0.25">
      <c r="A1143" t="s">
        <v>73</v>
      </c>
      <c r="B1143" s="48">
        <v>43010</v>
      </c>
      <c r="C1143" t="s">
        <v>53</v>
      </c>
      <c r="D1143" t="str">
        <f>IF(COUNTIFS(Verweise!$A$2:$A$4542,Übersicht!$C$7,Verweise!$B$2:$B$4542,B1143)=1,"Feiertag",IF(C1143="Samstag","",IF(C1143="Sonntag","",Übersicht!$C$8)))</f>
        <v>Feiertag</v>
      </c>
    </row>
    <row r="1144" spans="1:4" x14ac:dyDescent="0.25">
      <c r="A1144" t="s">
        <v>73</v>
      </c>
      <c r="B1144" s="48">
        <v>43038</v>
      </c>
      <c r="C1144" t="s">
        <v>62</v>
      </c>
      <c r="D1144" t="str">
        <f>IF(COUNTIFS(Verweise!$A$2:$A$4542,Übersicht!$C$7,Verweise!$B$2:$B$4542,B1144)=1,"Feiertag",IF(C1144="Samstag","",IF(C1144="Sonntag","",Übersicht!$C$8)))</f>
        <v>Büro</v>
      </c>
    </row>
    <row r="1145" spans="1:4" x14ac:dyDescent="0.25">
      <c r="A1145" t="s">
        <v>73</v>
      </c>
      <c r="B1145" s="48">
        <v>43055</v>
      </c>
      <c r="C1145" t="s">
        <v>72</v>
      </c>
      <c r="D1145" t="str">
        <f>IF(COUNTIFS(Verweise!$A$2:$A$4542,Übersicht!$C$7,Verweise!$B$2:$B$4542,B1145)=1,"Feiertag",IF(C1145="Samstag","",IF(C1145="Sonntag","",Übersicht!$C$8)))</f>
        <v>Büro</v>
      </c>
    </row>
    <row r="1146" spans="1:4" x14ac:dyDescent="0.25">
      <c r="A1146" t="s">
        <v>73</v>
      </c>
      <c r="B1146" s="48">
        <v>43093</v>
      </c>
      <c r="C1146" t="s">
        <v>55</v>
      </c>
      <c r="D1146" t="str">
        <f>IF(COUNTIFS(Verweise!$A$2:$A$4542,Übersicht!$C$7,Verweise!$B$2:$B$4542,B1146)=1,"Feiertag",IF(C1146="Samstag","",IF(C1146="Sonntag","",Übersicht!$C$8)))</f>
        <v>Feiertag</v>
      </c>
    </row>
    <row r="1147" spans="1:4" x14ac:dyDescent="0.25">
      <c r="A1147" t="s">
        <v>73</v>
      </c>
      <c r="B1147" s="48">
        <v>43094</v>
      </c>
      <c r="C1147" t="s">
        <v>56</v>
      </c>
      <c r="D1147" t="str">
        <f>IF(COUNTIFS(Verweise!$A$2:$A$4542,Übersicht!$C$7,Verweise!$B$2:$B$4542,B1147)=1,"Feiertag",IF(C1147="Samstag","",IF(C1147="Sonntag","",Übersicht!$C$8)))</f>
        <v>Feiertag</v>
      </c>
    </row>
    <row r="1148" spans="1:4" x14ac:dyDescent="0.25">
      <c r="A1148" t="s">
        <v>74</v>
      </c>
      <c r="B1148" s="48">
        <v>42735</v>
      </c>
      <c r="C1148" t="s">
        <v>43</v>
      </c>
      <c r="D1148" t="str">
        <f>IF(COUNTIFS(Verweise!$A$2:$A$4542,Übersicht!$C$7,Verweise!$B$2:$B$4542,B1148)=1,"Feiertag",IF(C1148="Samstag","",IF(C1148="Sonntag","",Übersicht!$C$8)))</f>
        <v>Feiertag</v>
      </c>
    </row>
    <row r="1149" spans="1:4" x14ac:dyDescent="0.25">
      <c r="A1149" t="s">
        <v>74</v>
      </c>
      <c r="B1149" s="48">
        <v>42740</v>
      </c>
      <c r="C1149" t="s">
        <v>44</v>
      </c>
      <c r="D1149" t="str">
        <f>IF(COUNTIFS(Verweise!$A$2:$A$4542,Übersicht!$C$7,Verweise!$B$2:$B$4542,B1149)=1,"Feiertag",IF(C1149="Samstag","",IF(C1149="Sonntag","",Übersicht!$C$8)))</f>
        <v>Büro</v>
      </c>
    </row>
    <row r="1150" spans="1:4" x14ac:dyDescent="0.25">
      <c r="A1150" t="s">
        <v>74</v>
      </c>
      <c r="B1150" s="48">
        <v>42826</v>
      </c>
      <c r="C1150" t="s">
        <v>45</v>
      </c>
      <c r="D1150" t="str">
        <f>IF(COUNTIFS(Verweise!$A$2:$A$4542,Übersicht!$C$7,Verweise!$B$2:$B$4542,B1150)=1,"Feiertag",IF(C1150="Samstag","",IF(C1150="Sonntag","",Übersicht!$C$8)))</f>
        <v>Feiertag</v>
      </c>
    </row>
    <row r="1151" spans="1:4" x14ac:dyDescent="0.25">
      <c r="A1151" t="s">
        <v>74</v>
      </c>
      <c r="B1151" s="48">
        <v>42828</v>
      </c>
      <c r="C1151" t="s">
        <v>46</v>
      </c>
      <c r="D1151" t="str">
        <f>IF(COUNTIFS(Verweise!$A$2:$A$4542,Übersicht!$C$7,Verweise!$B$2:$B$4542,B1151)=1,"Feiertag",IF(C1151="Samstag","",IF(C1151="Sonntag","",Übersicht!$C$8)))</f>
        <v>Feiertag</v>
      </c>
    </row>
    <row r="1152" spans="1:4" x14ac:dyDescent="0.25">
      <c r="A1152" t="s">
        <v>74</v>
      </c>
      <c r="B1152" s="48">
        <v>42829</v>
      </c>
      <c r="C1152" t="s">
        <v>47</v>
      </c>
      <c r="D1152" t="str">
        <f>IF(COUNTIFS(Verweise!$A$2:$A$4542,Übersicht!$C$7,Verweise!$B$2:$B$4542,B1152)=1,"Feiertag",IF(C1152="Samstag","",IF(C1152="Sonntag","",Übersicht!$C$8)))</f>
        <v>Feiertag</v>
      </c>
    </row>
    <row r="1153" spans="1:4" x14ac:dyDescent="0.25">
      <c r="A1153" t="s">
        <v>74</v>
      </c>
      <c r="B1153" s="48">
        <v>42855</v>
      </c>
      <c r="C1153" t="s">
        <v>48</v>
      </c>
      <c r="D1153" t="str">
        <f>IF(COUNTIFS(Verweise!$A$2:$A$4542,Übersicht!$C$7,Verweise!$B$2:$B$4542,B1153)=1,"Feiertag",IF(C1153="Samstag","",IF(C1153="Sonntag","",Übersicht!$C$8)))</f>
        <v>Feiertag</v>
      </c>
    </row>
    <row r="1154" spans="1:4" x14ac:dyDescent="0.25">
      <c r="A1154" t="s">
        <v>74</v>
      </c>
      <c r="B1154" s="48">
        <v>42867</v>
      </c>
      <c r="C1154" t="s">
        <v>49</v>
      </c>
      <c r="D1154" t="str">
        <f>IF(COUNTIFS(Verweise!$A$2:$A$4542,Übersicht!$C$7,Verweise!$B$2:$B$4542,B1154)=1,"Feiertag",IF(C1154="Samstag","",IF(C1154="Sonntag","",Übersicht!$C$8)))</f>
        <v>Feiertag</v>
      </c>
    </row>
    <row r="1155" spans="1:4" x14ac:dyDescent="0.25">
      <c r="A1155" t="s">
        <v>74</v>
      </c>
      <c r="B1155" s="48">
        <v>42877</v>
      </c>
      <c r="C1155" t="s">
        <v>50</v>
      </c>
      <c r="D1155" t="str">
        <f>IF(COUNTIFS(Verweise!$A$2:$A$4542,Übersicht!$C$7,Verweise!$B$2:$B$4542,B1155)=1,"Feiertag",IF(C1155="Samstag","",IF(C1155="Sonntag","",Übersicht!$C$8)))</f>
        <v>Feiertag</v>
      </c>
    </row>
    <row r="1156" spans="1:4" x14ac:dyDescent="0.25">
      <c r="A1156" t="s">
        <v>74</v>
      </c>
      <c r="B1156" s="48">
        <v>42878</v>
      </c>
      <c r="C1156" t="s">
        <v>51</v>
      </c>
      <c r="D1156" t="str">
        <f>IF(COUNTIFS(Verweise!$A$2:$A$4542,Übersicht!$C$7,Verweise!$B$2:$B$4542,B1156)=1,"Feiertag",IF(C1156="Samstag","",IF(C1156="Sonntag","",Übersicht!$C$8)))</f>
        <v>Feiertag</v>
      </c>
    </row>
    <row r="1157" spans="1:4" x14ac:dyDescent="0.25">
      <c r="A1157" t="s">
        <v>74</v>
      </c>
      <c r="B1157" s="48">
        <v>43010</v>
      </c>
      <c r="C1157" t="s">
        <v>53</v>
      </c>
      <c r="D1157" t="str">
        <f>IF(COUNTIFS(Verweise!$A$2:$A$4542,Übersicht!$C$7,Verweise!$B$2:$B$4542,B1157)=1,"Feiertag",IF(C1157="Samstag","",IF(C1157="Sonntag","",Übersicht!$C$8)))</f>
        <v>Feiertag</v>
      </c>
    </row>
    <row r="1158" spans="1:4" x14ac:dyDescent="0.25">
      <c r="A1158" t="s">
        <v>74</v>
      </c>
      <c r="B1158" s="48">
        <v>43038</v>
      </c>
      <c r="C1158" t="s">
        <v>62</v>
      </c>
      <c r="D1158" t="str">
        <f>IF(COUNTIFS(Verweise!$A$2:$A$4542,Übersicht!$C$7,Verweise!$B$2:$B$4542,B1158)=1,"Feiertag",IF(C1158="Samstag","",IF(C1158="Sonntag","",Übersicht!$C$8)))</f>
        <v>Büro</v>
      </c>
    </row>
    <row r="1159" spans="1:4" x14ac:dyDescent="0.25">
      <c r="A1159" t="s">
        <v>74</v>
      </c>
      <c r="B1159" s="48">
        <v>43093</v>
      </c>
      <c r="C1159" t="s">
        <v>55</v>
      </c>
      <c r="D1159" t="str">
        <f>IF(COUNTIFS(Verweise!$A$2:$A$4542,Übersicht!$C$7,Verweise!$B$2:$B$4542,B1159)=1,"Feiertag",IF(C1159="Samstag","",IF(C1159="Sonntag","",Übersicht!$C$8)))</f>
        <v>Feiertag</v>
      </c>
    </row>
    <row r="1160" spans="1:4" x14ac:dyDescent="0.25">
      <c r="A1160" t="s">
        <v>74</v>
      </c>
      <c r="B1160" s="48">
        <v>43094</v>
      </c>
      <c r="C1160" t="s">
        <v>56</v>
      </c>
      <c r="D1160" t="str">
        <f>IF(COUNTIFS(Verweise!$A$2:$A$4542,Übersicht!$C$7,Verweise!$B$2:$B$4542,B1160)=1,"Feiertag",IF(C1160="Samstag","",IF(C1160="Sonntag","",Übersicht!$C$8)))</f>
        <v>Feiertag</v>
      </c>
    </row>
    <row r="1161" spans="1:4" x14ac:dyDescent="0.25">
      <c r="A1161" t="s">
        <v>75</v>
      </c>
      <c r="B1161" s="48">
        <v>42735</v>
      </c>
      <c r="C1161" t="s">
        <v>43</v>
      </c>
      <c r="D1161" t="str">
        <f>IF(COUNTIFS(Verweise!$A$2:$A$4542,Übersicht!$C$7,Verweise!$B$2:$B$4542,B1161)=1,"Feiertag",IF(C1161="Samstag","",IF(C1161="Sonntag","",Übersicht!$C$8)))</f>
        <v>Feiertag</v>
      </c>
    </row>
    <row r="1162" spans="1:4" x14ac:dyDescent="0.25">
      <c r="A1162" t="s">
        <v>75</v>
      </c>
      <c r="B1162" s="48">
        <v>42826</v>
      </c>
      <c r="C1162" t="s">
        <v>45</v>
      </c>
      <c r="D1162" t="str">
        <f>IF(COUNTIFS(Verweise!$A$2:$A$4542,Übersicht!$C$7,Verweise!$B$2:$B$4542,B1162)=1,"Feiertag",IF(C1162="Samstag","",IF(C1162="Sonntag","",Übersicht!$C$8)))</f>
        <v>Feiertag</v>
      </c>
    </row>
    <row r="1163" spans="1:4" x14ac:dyDescent="0.25">
      <c r="A1163" t="s">
        <v>75</v>
      </c>
      <c r="B1163" s="48">
        <v>42828</v>
      </c>
      <c r="C1163" t="s">
        <v>46</v>
      </c>
      <c r="D1163" t="str">
        <f>IF(COUNTIFS(Verweise!$A$2:$A$4542,Übersicht!$C$7,Verweise!$B$2:$B$4542,B1163)=1,"Feiertag",IF(C1163="Samstag","",IF(C1163="Sonntag","",Übersicht!$C$8)))</f>
        <v>Feiertag</v>
      </c>
    </row>
    <row r="1164" spans="1:4" x14ac:dyDescent="0.25">
      <c r="A1164" t="s">
        <v>75</v>
      </c>
      <c r="B1164" s="48">
        <v>42829</v>
      </c>
      <c r="C1164" t="s">
        <v>47</v>
      </c>
      <c r="D1164" t="str">
        <f>IF(COUNTIFS(Verweise!$A$2:$A$4542,Übersicht!$C$7,Verweise!$B$2:$B$4542,B1164)=1,"Feiertag",IF(C1164="Samstag","",IF(C1164="Sonntag","",Übersicht!$C$8)))</f>
        <v>Feiertag</v>
      </c>
    </row>
    <row r="1165" spans="1:4" x14ac:dyDescent="0.25">
      <c r="A1165" t="s">
        <v>75</v>
      </c>
      <c r="B1165" s="48">
        <v>42855</v>
      </c>
      <c r="C1165" t="s">
        <v>48</v>
      </c>
      <c r="D1165" t="str">
        <f>IF(COUNTIFS(Verweise!$A$2:$A$4542,Übersicht!$C$7,Verweise!$B$2:$B$4542,B1165)=1,"Feiertag",IF(C1165="Samstag","",IF(C1165="Sonntag","",Übersicht!$C$8)))</f>
        <v>Feiertag</v>
      </c>
    </row>
    <row r="1166" spans="1:4" x14ac:dyDescent="0.25">
      <c r="A1166" t="s">
        <v>75</v>
      </c>
      <c r="B1166" s="48">
        <v>42867</v>
      </c>
      <c r="C1166" t="s">
        <v>49</v>
      </c>
      <c r="D1166" t="str">
        <f>IF(COUNTIFS(Verweise!$A$2:$A$4542,Übersicht!$C$7,Verweise!$B$2:$B$4542,B1166)=1,"Feiertag",IF(C1166="Samstag","",IF(C1166="Sonntag","",Übersicht!$C$8)))</f>
        <v>Feiertag</v>
      </c>
    </row>
    <row r="1167" spans="1:4" x14ac:dyDescent="0.25">
      <c r="A1167" t="s">
        <v>75</v>
      </c>
      <c r="B1167" s="48">
        <v>42877</v>
      </c>
      <c r="C1167" t="s">
        <v>50</v>
      </c>
      <c r="D1167" t="str">
        <f>IF(COUNTIFS(Verweise!$A$2:$A$4542,Übersicht!$C$7,Verweise!$B$2:$B$4542,B1167)=1,"Feiertag",IF(C1167="Samstag","",IF(C1167="Sonntag","",Übersicht!$C$8)))</f>
        <v>Feiertag</v>
      </c>
    </row>
    <row r="1168" spans="1:4" x14ac:dyDescent="0.25">
      <c r="A1168" t="s">
        <v>75</v>
      </c>
      <c r="B1168" s="48">
        <v>42878</v>
      </c>
      <c r="C1168" t="s">
        <v>51</v>
      </c>
      <c r="D1168" t="str">
        <f>IF(COUNTIFS(Verweise!$A$2:$A$4542,Übersicht!$C$7,Verweise!$B$2:$B$4542,B1168)=1,"Feiertag",IF(C1168="Samstag","",IF(C1168="Sonntag","",Übersicht!$C$8)))</f>
        <v>Feiertag</v>
      </c>
    </row>
    <row r="1169" spans="1:4" x14ac:dyDescent="0.25">
      <c r="A1169" t="s">
        <v>75</v>
      </c>
      <c r="B1169" s="48">
        <v>43010</v>
      </c>
      <c r="C1169" t="s">
        <v>53</v>
      </c>
      <c r="D1169" t="str">
        <f>IF(COUNTIFS(Verweise!$A$2:$A$4542,Übersicht!$C$7,Verweise!$B$2:$B$4542,B1169)=1,"Feiertag",IF(C1169="Samstag","",IF(C1169="Sonntag","",Übersicht!$C$8)))</f>
        <v>Feiertag</v>
      </c>
    </row>
    <row r="1170" spans="1:4" x14ac:dyDescent="0.25">
      <c r="A1170" t="s">
        <v>75</v>
      </c>
      <c r="B1170" s="48">
        <v>43093</v>
      </c>
      <c r="C1170" t="s">
        <v>55</v>
      </c>
      <c r="D1170" t="str">
        <f>IF(COUNTIFS(Verweise!$A$2:$A$4542,Übersicht!$C$7,Verweise!$B$2:$B$4542,B1170)=1,"Feiertag",IF(C1170="Samstag","",IF(C1170="Sonntag","",Übersicht!$C$8)))</f>
        <v>Feiertag</v>
      </c>
    </row>
    <row r="1171" spans="1:4" x14ac:dyDescent="0.25">
      <c r="A1171" t="s">
        <v>75</v>
      </c>
      <c r="B1171" s="48">
        <v>43094</v>
      </c>
      <c r="C1171" t="s">
        <v>56</v>
      </c>
      <c r="D1171" t="str">
        <f>IF(COUNTIFS(Verweise!$A$2:$A$4542,Übersicht!$C$7,Verweise!$B$2:$B$4542,B1171)=1,"Feiertag",IF(C1171="Samstag","",IF(C1171="Sonntag","",Übersicht!$C$8)))</f>
        <v>Feiertag</v>
      </c>
    </row>
    <row r="1172" spans="1:4" x14ac:dyDescent="0.25">
      <c r="A1172" t="s">
        <v>76</v>
      </c>
      <c r="B1172" s="48">
        <v>42735</v>
      </c>
      <c r="C1172" t="s">
        <v>43</v>
      </c>
      <c r="D1172" t="str">
        <f>IF(COUNTIFS(Verweise!$A$2:$A$4542,Übersicht!$C$7,Verweise!$B$2:$B$4542,B1172)=1,"Feiertag",IF(C1172="Samstag","",IF(C1172="Sonntag","",Übersicht!$C$8)))</f>
        <v>Feiertag</v>
      </c>
    </row>
    <row r="1173" spans="1:4" x14ac:dyDescent="0.25">
      <c r="A1173" t="s">
        <v>76</v>
      </c>
      <c r="B1173" s="48">
        <v>42826</v>
      </c>
      <c r="C1173" t="s">
        <v>45</v>
      </c>
      <c r="D1173" t="str">
        <f>IF(COUNTIFS(Verweise!$A$2:$A$4542,Übersicht!$C$7,Verweise!$B$2:$B$4542,B1173)=1,"Feiertag",IF(C1173="Samstag","",IF(C1173="Sonntag","",Übersicht!$C$8)))</f>
        <v>Feiertag</v>
      </c>
    </row>
    <row r="1174" spans="1:4" x14ac:dyDescent="0.25">
      <c r="A1174" t="s">
        <v>76</v>
      </c>
      <c r="B1174" s="48">
        <v>42828</v>
      </c>
      <c r="C1174" t="s">
        <v>46</v>
      </c>
      <c r="D1174" t="str">
        <f>IF(COUNTIFS(Verweise!$A$2:$A$4542,Übersicht!$C$7,Verweise!$B$2:$B$4542,B1174)=1,"Feiertag",IF(C1174="Samstag","",IF(C1174="Sonntag","",Übersicht!$C$8)))</f>
        <v>Feiertag</v>
      </c>
    </row>
    <row r="1175" spans="1:4" x14ac:dyDescent="0.25">
      <c r="A1175" t="s">
        <v>76</v>
      </c>
      <c r="B1175" s="48">
        <v>42829</v>
      </c>
      <c r="C1175" t="s">
        <v>47</v>
      </c>
      <c r="D1175" t="str">
        <f>IF(COUNTIFS(Verweise!$A$2:$A$4542,Übersicht!$C$7,Verweise!$B$2:$B$4542,B1175)=1,"Feiertag",IF(C1175="Samstag","",IF(C1175="Sonntag","",Übersicht!$C$8)))</f>
        <v>Feiertag</v>
      </c>
    </row>
    <row r="1176" spans="1:4" x14ac:dyDescent="0.25">
      <c r="A1176" t="s">
        <v>76</v>
      </c>
      <c r="B1176" s="48">
        <v>42855</v>
      </c>
      <c r="C1176" t="s">
        <v>48</v>
      </c>
      <c r="D1176" t="str">
        <f>IF(COUNTIFS(Verweise!$A$2:$A$4542,Übersicht!$C$7,Verweise!$B$2:$B$4542,B1176)=1,"Feiertag",IF(C1176="Samstag","",IF(C1176="Sonntag","",Übersicht!$C$8)))</f>
        <v>Feiertag</v>
      </c>
    </row>
    <row r="1177" spans="1:4" x14ac:dyDescent="0.25">
      <c r="A1177" t="s">
        <v>76</v>
      </c>
      <c r="B1177" s="48">
        <v>42867</v>
      </c>
      <c r="C1177" t="s">
        <v>49</v>
      </c>
      <c r="D1177" t="str">
        <f>IF(COUNTIFS(Verweise!$A$2:$A$4542,Übersicht!$C$7,Verweise!$B$2:$B$4542,B1177)=1,"Feiertag",IF(C1177="Samstag","",IF(C1177="Sonntag","",Übersicht!$C$8)))</f>
        <v>Feiertag</v>
      </c>
    </row>
    <row r="1178" spans="1:4" x14ac:dyDescent="0.25">
      <c r="A1178" t="s">
        <v>76</v>
      </c>
      <c r="B1178" s="48">
        <v>42877</v>
      </c>
      <c r="C1178" t="s">
        <v>50</v>
      </c>
      <c r="D1178" t="str">
        <f>IF(COUNTIFS(Verweise!$A$2:$A$4542,Übersicht!$C$7,Verweise!$B$2:$B$4542,B1178)=1,"Feiertag",IF(C1178="Samstag","",IF(C1178="Sonntag","",Übersicht!$C$8)))</f>
        <v>Feiertag</v>
      </c>
    </row>
    <row r="1179" spans="1:4" x14ac:dyDescent="0.25">
      <c r="A1179" t="s">
        <v>76</v>
      </c>
      <c r="B1179" s="48">
        <v>42878</v>
      </c>
      <c r="C1179" t="s">
        <v>51</v>
      </c>
      <c r="D1179" t="str">
        <f>IF(COUNTIFS(Verweise!$A$2:$A$4542,Übersicht!$C$7,Verweise!$B$2:$B$4542,B1179)=1,"Feiertag",IF(C1179="Samstag","",IF(C1179="Sonntag","",Übersicht!$C$8)))</f>
        <v>Feiertag</v>
      </c>
    </row>
    <row r="1180" spans="1:4" x14ac:dyDescent="0.25">
      <c r="A1180" t="s">
        <v>76</v>
      </c>
      <c r="B1180" s="48">
        <v>43010</v>
      </c>
      <c r="C1180" t="s">
        <v>53</v>
      </c>
      <c r="D1180" t="str">
        <f>IF(COUNTIFS(Verweise!$A$2:$A$4542,Übersicht!$C$7,Verweise!$B$2:$B$4542,B1180)=1,"Feiertag",IF(C1180="Samstag","",IF(C1180="Sonntag","",Übersicht!$C$8)))</f>
        <v>Feiertag</v>
      </c>
    </row>
    <row r="1181" spans="1:4" x14ac:dyDescent="0.25">
      <c r="A1181" t="s">
        <v>76</v>
      </c>
      <c r="B1181" s="48">
        <v>43038</v>
      </c>
      <c r="C1181" t="s">
        <v>62</v>
      </c>
      <c r="D1181" t="str">
        <f>IF(COUNTIFS(Verweise!$A$2:$A$4542,Übersicht!$C$7,Verweise!$B$2:$B$4542,B1181)=1,"Feiertag",IF(C1181="Samstag","",IF(C1181="Sonntag","",Übersicht!$C$8)))</f>
        <v>Büro</v>
      </c>
    </row>
    <row r="1182" spans="1:4" x14ac:dyDescent="0.25">
      <c r="A1182" t="s">
        <v>76</v>
      </c>
      <c r="B1182" s="48">
        <v>43093</v>
      </c>
      <c r="C1182" t="s">
        <v>55</v>
      </c>
      <c r="D1182" t="str">
        <f>IF(COUNTIFS(Verweise!$A$2:$A$4542,Übersicht!$C$7,Verweise!$B$2:$B$4542,B1182)=1,"Feiertag",IF(C1182="Samstag","",IF(C1182="Sonntag","",Übersicht!$C$8)))</f>
        <v>Feiertag</v>
      </c>
    </row>
    <row r="1183" spans="1:4" x14ac:dyDescent="0.25">
      <c r="A1183" t="s">
        <v>76</v>
      </c>
      <c r="B1183" s="48">
        <v>43094</v>
      </c>
      <c r="C1183" t="s">
        <v>56</v>
      </c>
      <c r="D1183" t="str">
        <f>IF(COUNTIFS(Verweise!$A$2:$A$4542,Übersicht!$C$7,Verweise!$B$2:$B$4542,B1183)=1,"Feiertag",IF(C1183="Samstag","",IF(C1183="Sonntag","",Übersicht!$C$8)))</f>
        <v>Feiertag</v>
      </c>
    </row>
    <row r="1184" spans="1:4" x14ac:dyDescent="0.25">
      <c r="A1184" t="s">
        <v>77</v>
      </c>
      <c r="B1184" s="48">
        <v>42735</v>
      </c>
      <c r="C1184" t="s">
        <v>43</v>
      </c>
      <c r="D1184" t="str">
        <f>IF(COUNTIFS(Verweise!$A$2:$A$4542,Übersicht!$C$7,Verweise!$B$2:$B$4542,B1184)=1,"Feiertag",IF(C1184="Samstag","",IF(C1184="Sonntag","",Übersicht!$C$8)))</f>
        <v>Feiertag</v>
      </c>
    </row>
    <row r="1185" spans="1:4" x14ac:dyDescent="0.25">
      <c r="A1185" t="s">
        <v>77</v>
      </c>
      <c r="B1185" s="48">
        <v>42826</v>
      </c>
      <c r="C1185" t="s">
        <v>45</v>
      </c>
      <c r="D1185" t="str">
        <f>IF(COUNTIFS(Verweise!$A$2:$A$4542,Übersicht!$C$7,Verweise!$B$2:$B$4542,B1185)=1,"Feiertag",IF(C1185="Samstag","",IF(C1185="Sonntag","",Übersicht!$C$8)))</f>
        <v>Feiertag</v>
      </c>
    </row>
    <row r="1186" spans="1:4" x14ac:dyDescent="0.25">
      <c r="A1186" t="s">
        <v>77</v>
      </c>
      <c r="B1186" s="48">
        <v>42828</v>
      </c>
      <c r="C1186" t="s">
        <v>46</v>
      </c>
      <c r="D1186" t="str">
        <f>IF(COUNTIFS(Verweise!$A$2:$A$4542,Übersicht!$C$7,Verweise!$B$2:$B$4542,B1186)=1,"Feiertag",IF(C1186="Samstag","",IF(C1186="Sonntag","",Übersicht!$C$8)))</f>
        <v>Feiertag</v>
      </c>
    </row>
    <row r="1187" spans="1:4" x14ac:dyDescent="0.25">
      <c r="A1187" t="s">
        <v>77</v>
      </c>
      <c r="B1187" s="48">
        <v>42829</v>
      </c>
      <c r="C1187" t="s">
        <v>47</v>
      </c>
      <c r="D1187" t="str">
        <f>IF(COUNTIFS(Verweise!$A$2:$A$4542,Übersicht!$C$7,Verweise!$B$2:$B$4542,B1187)=1,"Feiertag",IF(C1187="Samstag","",IF(C1187="Sonntag","",Übersicht!$C$8)))</f>
        <v>Feiertag</v>
      </c>
    </row>
    <row r="1188" spans="1:4" x14ac:dyDescent="0.25">
      <c r="A1188" t="s">
        <v>77</v>
      </c>
      <c r="B1188" s="48">
        <v>42855</v>
      </c>
      <c r="C1188" t="s">
        <v>48</v>
      </c>
      <c r="D1188" t="str">
        <f>IF(COUNTIFS(Verweise!$A$2:$A$4542,Übersicht!$C$7,Verweise!$B$2:$B$4542,B1188)=1,"Feiertag",IF(C1188="Samstag","",IF(C1188="Sonntag","",Übersicht!$C$8)))</f>
        <v>Feiertag</v>
      </c>
    </row>
    <row r="1189" spans="1:4" x14ac:dyDescent="0.25">
      <c r="A1189" t="s">
        <v>77</v>
      </c>
      <c r="B1189" s="48">
        <v>42867</v>
      </c>
      <c r="C1189" t="s">
        <v>49</v>
      </c>
      <c r="D1189" t="str">
        <f>IF(COUNTIFS(Verweise!$A$2:$A$4542,Übersicht!$C$7,Verweise!$B$2:$B$4542,B1189)=1,"Feiertag",IF(C1189="Samstag","",IF(C1189="Sonntag","",Übersicht!$C$8)))</f>
        <v>Feiertag</v>
      </c>
    </row>
    <row r="1190" spans="1:4" x14ac:dyDescent="0.25">
      <c r="A1190" t="s">
        <v>77</v>
      </c>
      <c r="B1190" s="48">
        <v>42877</v>
      </c>
      <c r="C1190" t="s">
        <v>50</v>
      </c>
      <c r="D1190" t="str">
        <f>IF(COUNTIFS(Verweise!$A$2:$A$4542,Übersicht!$C$7,Verweise!$B$2:$B$4542,B1190)=1,"Feiertag",IF(C1190="Samstag","",IF(C1190="Sonntag","",Übersicht!$C$8)))</f>
        <v>Feiertag</v>
      </c>
    </row>
    <row r="1191" spans="1:4" x14ac:dyDescent="0.25">
      <c r="A1191" t="s">
        <v>77</v>
      </c>
      <c r="B1191" s="48">
        <v>42878</v>
      </c>
      <c r="C1191" t="s">
        <v>51</v>
      </c>
      <c r="D1191" t="str">
        <f>IF(COUNTIFS(Verweise!$A$2:$A$4542,Übersicht!$C$7,Verweise!$B$2:$B$4542,B1191)=1,"Feiertag",IF(C1191="Samstag","",IF(C1191="Sonntag","",Übersicht!$C$8)))</f>
        <v>Feiertag</v>
      </c>
    </row>
    <row r="1192" spans="1:4" x14ac:dyDescent="0.25">
      <c r="A1192" t="s">
        <v>77</v>
      </c>
      <c r="B1192" s="48">
        <v>42888</v>
      </c>
      <c r="C1192" t="s">
        <v>52</v>
      </c>
      <c r="D1192" t="str">
        <f>IF(COUNTIFS(Verweise!$A$2:$A$4542,Übersicht!$C$7,Verweise!$B$2:$B$4542,B1192)=1,"Feiertag",IF(C1192="Samstag","",IF(C1192="Sonntag","",Übersicht!$C$8)))</f>
        <v>Feiertag</v>
      </c>
    </row>
    <row r="1193" spans="1:4" x14ac:dyDescent="0.25">
      <c r="A1193" t="s">
        <v>77</v>
      </c>
      <c r="B1193" s="48">
        <v>43010</v>
      </c>
      <c r="C1193" t="s">
        <v>53</v>
      </c>
      <c r="D1193" t="str">
        <f>IF(COUNTIFS(Verweise!$A$2:$A$4542,Übersicht!$C$7,Verweise!$B$2:$B$4542,B1193)=1,"Feiertag",IF(C1193="Samstag","",IF(C1193="Sonntag","",Übersicht!$C$8)))</f>
        <v>Feiertag</v>
      </c>
    </row>
    <row r="1194" spans="1:4" x14ac:dyDescent="0.25">
      <c r="A1194" t="s">
        <v>77</v>
      </c>
      <c r="B1194" s="48">
        <v>43038</v>
      </c>
      <c r="C1194" t="s">
        <v>62</v>
      </c>
      <c r="D1194" t="str">
        <f>IF(COUNTIFS(Verweise!$A$2:$A$4542,Übersicht!$C$7,Verweise!$B$2:$B$4542,B1194)=1,"Feiertag",IF(C1194="Samstag","",IF(C1194="Sonntag","",Übersicht!$C$8)))</f>
        <v>Büro</v>
      </c>
    </row>
    <row r="1195" spans="1:4" x14ac:dyDescent="0.25">
      <c r="A1195" t="s">
        <v>77</v>
      </c>
      <c r="B1195" s="48">
        <v>43093</v>
      </c>
      <c r="C1195" t="s">
        <v>55</v>
      </c>
      <c r="D1195" t="str">
        <f>IF(COUNTIFS(Verweise!$A$2:$A$4542,Übersicht!$C$7,Verweise!$B$2:$B$4542,B1195)=1,"Feiertag",IF(C1195="Samstag","",IF(C1195="Sonntag","",Übersicht!$C$8)))</f>
        <v>Feiertag</v>
      </c>
    </row>
    <row r="1196" spans="1:4" x14ac:dyDescent="0.25">
      <c r="A1196" t="s">
        <v>77</v>
      </c>
      <c r="B1196" s="48">
        <v>43094</v>
      </c>
      <c r="C1196" t="s">
        <v>56</v>
      </c>
      <c r="D1196" t="str">
        <f>IF(COUNTIFS(Verweise!$A$2:$A$4542,Übersicht!$C$7,Verweise!$B$2:$B$4542,B1196)=1,"Feiertag",IF(C1196="Samstag","",IF(C1196="Sonntag","",Übersicht!$C$8)))</f>
        <v>Feiertag</v>
      </c>
    </row>
    <row r="1197" spans="1:4" x14ac:dyDescent="0.25">
      <c r="A1197" t="s">
        <v>42</v>
      </c>
      <c r="B1197" s="48">
        <v>43100</v>
      </c>
      <c r="C1197" t="s">
        <v>43</v>
      </c>
      <c r="D1197" t="str">
        <f>IF(COUNTIFS(Verweise!$A$2:$A$4542,Übersicht!$C$7,Verweise!$B$2:$B$4542,B1197)=1,"Feiertag",IF(C1197="Samstag","",IF(C1197="Sonntag","",Übersicht!$C$8)))</f>
        <v>Feiertag</v>
      </c>
    </row>
    <row r="1198" spans="1:4" x14ac:dyDescent="0.25">
      <c r="A1198" t="s">
        <v>42</v>
      </c>
      <c r="B1198" s="48">
        <v>43105</v>
      </c>
      <c r="C1198" t="s">
        <v>44</v>
      </c>
      <c r="D1198" t="str">
        <f>IF(COUNTIFS(Verweise!$A$2:$A$4542,Übersicht!$C$7,Verweise!$B$2:$B$4542,B1198)=1,"Feiertag",IF(C1198="Samstag","",IF(C1198="Sonntag","",Übersicht!$C$8)))</f>
        <v>Büro</v>
      </c>
    </row>
    <row r="1199" spans="1:4" x14ac:dyDescent="0.25">
      <c r="A1199" t="s">
        <v>42</v>
      </c>
      <c r="B1199" s="48">
        <v>43204</v>
      </c>
      <c r="C1199" t="s">
        <v>45</v>
      </c>
      <c r="D1199" t="str">
        <f>IF(COUNTIFS(Verweise!$A$2:$A$4542,Übersicht!$C$7,Verweise!$B$2:$B$4542,B1199)=1,"Feiertag",IF(C1199="Samstag","",IF(C1199="Sonntag","",Übersicht!$C$8)))</f>
        <v>Feiertag</v>
      </c>
    </row>
    <row r="1200" spans="1:4" x14ac:dyDescent="0.25">
      <c r="A1200" t="s">
        <v>42</v>
      </c>
      <c r="B1200" s="48">
        <v>43206</v>
      </c>
      <c r="C1200" t="s">
        <v>46</v>
      </c>
      <c r="D1200" t="str">
        <f>IF(COUNTIFS(Verweise!$A$2:$A$4542,Übersicht!$C$7,Verweise!$B$2:$B$4542,B1200)=1,"Feiertag",IF(C1200="Samstag","",IF(C1200="Sonntag","",Übersicht!$C$8)))</f>
        <v>Feiertag</v>
      </c>
    </row>
    <row r="1201" spans="1:4" x14ac:dyDescent="0.25">
      <c r="A1201" t="s">
        <v>42</v>
      </c>
      <c r="B1201" s="48">
        <v>43207</v>
      </c>
      <c r="C1201" t="s">
        <v>47</v>
      </c>
      <c r="D1201" t="str">
        <f>IF(COUNTIFS(Verweise!$A$2:$A$4542,Übersicht!$C$7,Verweise!$B$2:$B$4542,B1201)=1,"Feiertag",IF(C1201="Samstag","",IF(C1201="Sonntag","",Übersicht!$C$8)))</f>
        <v>Feiertag</v>
      </c>
    </row>
    <row r="1202" spans="1:4" x14ac:dyDescent="0.25">
      <c r="A1202" t="s">
        <v>42</v>
      </c>
      <c r="B1202" s="48">
        <v>43220</v>
      </c>
      <c r="C1202" t="s">
        <v>48</v>
      </c>
      <c r="D1202" t="str">
        <f>IF(COUNTIFS(Verweise!$A$2:$A$4542,Übersicht!$C$7,Verweise!$B$2:$B$4542,B1202)=1,"Feiertag",IF(C1202="Samstag","",IF(C1202="Sonntag","",Übersicht!$C$8)))</f>
        <v>Feiertag</v>
      </c>
    </row>
    <row r="1203" spans="1:4" x14ac:dyDescent="0.25">
      <c r="A1203" t="s">
        <v>42</v>
      </c>
      <c r="B1203" s="48">
        <v>43245</v>
      </c>
      <c r="C1203" t="s">
        <v>49</v>
      </c>
      <c r="D1203" t="str">
        <f>IF(COUNTIFS(Verweise!$A$2:$A$4542,Übersicht!$C$7,Verweise!$B$2:$B$4542,B1203)=1,"Feiertag",IF(C1203="Samstag","",IF(C1203="Sonntag","",Übersicht!$C$8)))</f>
        <v>Feiertag</v>
      </c>
    </row>
    <row r="1204" spans="1:4" x14ac:dyDescent="0.25">
      <c r="A1204" t="s">
        <v>42</v>
      </c>
      <c r="B1204" s="48">
        <v>43255</v>
      </c>
      <c r="C1204" t="s">
        <v>50</v>
      </c>
      <c r="D1204" t="str">
        <f>IF(COUNTIFS(Verweise!$A$2:$A$4542,Übersicht!$C$7,Verweise!$B$2:$B$4542,B1204)=1,"Feiertag",IF(C1204="Samstag","",IF(C1204="Sonntag","",Übersicht!$C$8)))</f>
        <v>Feiertag</v>
      </c>
    </row>
    <row r="1205" spans="1:4" x14ac:dyDescent="0.25">
      <c r="A1205" t="s">
        <v>42</v>
      </c>
      <c r="B1205" s="48">
        <v>43256</v>
      </c>
      <c r="C1205" t="s">
        <v>51</v>
      </c>
      <c r="D1205" t="str">
        <f>IF(COUNTIFS(Verweise!$A$2:$A$4542,Übersicht!$C$7,Verweise!$B$2:$B$4542,B1205)=1,"Feiertag",IF(C1205="Samstag","",IF(C1205="Sonntag","",Übersicht!$C$8)))</f>
        <v>Feiertag</v>
      </c>
    </row>
    <row r="1206" spans="1:4" x14ac:dyDescent="0.25">
      <c r="A1206" t="s">
        <v>42</v>
      </c>
      <c r="B1206" s="48">
        <v>43266</v>
      </c>
      <c r="C1206" t="s">
        <v>52</v>
      </c>
      <c r="D1206" t="str">
        <f>IF(COUNTIFS(Verweise!$A$2:$A$4542,Übersicht!$C$7,Verweise!$B$2:$B$4542,B1206)=1,"Feiertag",IF(C1206="Samstag","",IF(C1206="Sonntag","",Übersicht!$C$8)))</f>
        <v>Feiertag</v>
      </c>
    </row>
    <row r="1207" spans="1:4" x14ac:dyDescent="0.25">
      <c r="A1207" t="s">
        <v>42</v>
      </c>
      <c r="B1207" s="48">
        <v>43375</v>
      </c>
      <c r="C1207" t="s">
        <v>53</v>
      </c>
      <c r="D1207" t="str">
        <f>IF(COUNTIFS(Verweise!$A$2:$A$4542,Übersicht!$C$7,Verweise!$B$2:$B$4542,B1207)=1,"Feiertag",IF(C1207="Samstag","",IF(C1207="Sonntag","",Übersicht!$C$8)))</f>
        <v>Feiertag</v>
      </c>
    </row>
    <row r="1208" spans="1:4" x14ac:dyDescent="0.25">
      <c r="A1208" t="s">
        <v>42</v>
      </c>
      <c r="B1208" s="48">
        <v>43404</v>
      </c>
      <c r="C1208" t="s">
        <v>54</v>
      </c>
      <c r="D1208" t="str">
        <f>IF(COUNTIFS(Verweise!$A$2:$A$4542,Übersicht!$C$7,Verweise!$B$2:$B$4542,B1208)=1,"Feiertag",IF(C1208="Samstag","",IF(C1208="Sonntag","",Übersicht!$C$8)))</f>
        <v>Feiertag</v>
      </c>
    </row>
    <row r="1209" spans="1:4" x14ac:dyDescent="0.25">
      <c r="A1209" t="s">
        <v>42</v>
      </c>
      <c r="B1209" s="48">
        <v>43458</v>
      </c>
      <c r="C1209" t="s">
        <v>55</v>
      </c>
      <c r="D1209" t="str">
        <f>IF(COUNTIFS(Verweise!$A$2:$A$4542,Übersicht!$C$7,Verweise!$B$2:$B$4542,B1209)=1,"Feiertag",IF(C1209="Samstag","",IF(C1209="Sonntag","",Übersicht!$C$8)))</f>
        <v>Feiertag</v>
      </c>
    </row>
    <row r="1210" spans="1:4" x14ac:dyDescent="0.25">
      <c r="A1210" t="s">
        <v>42</v>
      </c>
      <c r="B1210" s="48">
        <v>43459</v>
      </c>
      <c r="C1210" t="s">
        <v>56</v>
      </c>
      <c r="D1210" t="str">
        <f>IF(COUNTIFS(Verweise!$A$2:$A$4542,Übersicht!$C$7,Verweise!$B$2:$B$4542,B1210)=1,"Feiertag",IF(C1210="Samstag","",IF(C1210="Sonntag","",Übersicht!$C$8)))</f>
        <v>Feiertag</v>
      </c>
    </row>
    <row r="1211" spans="1:4" x14ac:dyDescent="0.25">
      <c r="A1211" t="s">
        <v>57</v>
      </c>
      <c r="B1211" s="48">
        <v>43100</v>
      </c>
      <c r="C1211" t="s">
        <v>43</v>
      </c>
      <c r="D1211" t="str">
        <f>IF(COUNTIFS(Verweise!$A$2:$A$4542,Übersicht!$C$7,Verweise!$B$2:$B$4542,B1211)=1,"Feiertag",IF(C1211="Samstag","",IF(C1211="Sonntag","",Übersicht!$C$8)))</f>
        <v>Feiertag</v>
      </c>
    </row>
    <row r="1212" spans="1:4" x14ac:dyDescent="0.25">
      <c r="A1212" t="s">
        <v>57</v>
      </c>
      <c r="B1212" s="48">
        <v>43105</v>
      </c>
      <c r="C1212" t="s">
        <v>44</v>
      </c>
      <c r="D1212" t="str">
        <f>IF(COUNTIFS(Verweise!$A$2:$A$4542,Übersicht!$C$7,Verweise!$B$2:$B$4542,B1212)=1,"Feiertag",IF(C1212="Samstag","",IF(C1212="Sonntag","",Übersicht!$C$8)))</f>
        <v>Büro</v>
      </c>
    </row>
    <row r="1213" spans="1:4" x14ac:dyDescent="0.25">
      <c r="A1213" t="s">
        <v>57</v>
      </c>
      <c r="B1213" s="48">
        <v>43204</v>
      </c>
      <c r="C1213" t="s">
        <v>45</v>
      </c>
      <c r="D1213" t="str">
        <f>IF(COUNTIFS(Verweise!$A$2:$A$4542,Übersicht!$C$7,Verweise!$B$2:$B$4542,B1213)=1,"Feiertag",IF(C1213="Samstag","",IF(C1213="Sonntag","",Übersicht!$C$8)))</f>
        <v>Feiertag</v>
      </c>
    </row>
    <row r="1214" spans="1:4" x14ac:dyDescent="0.25">
      <c r="A1214" t="s">
        <v>57</v>
      </c>
      <c r="B1214" s="48">
        <v>43206</v>
      </c>
      <c r="C1214" t="s">
        <v>46</v>
      </c>
      <c r="D1214" t="str">
        <f>IF(COUNTIFS(Verweise!$A$2:$A$4542,Übersicht!$C$7,Verweise!$B$2:$B$4542,B1214)=1,"Feiertag",IF(C1214="Samstag","",IF(C1214="Sonntag","",Übersicht!$C$8)))</f>
        <v>Feiertag</v>
      </c>
    </row>
    <row r="1215" spans="1:4" x14ac:dyDescent="0.25">
      <c r="A1215" t="s">
        <v>57</v>
      </c>
      <c r="B1215" s="48">
        <v>43207</v>
      </c>
      <c r="C1215" t="s">
        <v>47</v>
      </c>
      <c r="D1215" t="str">
        <f>IF(COUNTIFS(Verweise!$A$2:$A$4542,Übersicht!$C$7,Verweise!$B$2:$B$4542,B1215)=1,"Feiertag",IF(C1215="Samstag","",IF(C1215="Sonntag","",Übersicht!$C$8)))</f>
        <v>Feiertag</v>
      </c>
    </row>
    <row r="1216" spans="1:4" x14ac:dyDescent="0.25">
      <c r="A1216" t="s">
        <v>57</v>
      </c>
      <c r="B1216" s="48">
        <v>43220</v>
      </c>
      <c r="C1216" t="s">
        <v>48</v>
      </c>
      <c r="D1216" t="str">
        <f>IF(COUNTIFS(Verweise!$A$2:$A$4542,Übersicht!$C$7,Verweise!$B$2:$B$4542,B1216)=1,"Feiertag",IF(C1216="Samstag","",IF(C1216="Sonntag","",Übersicht!$C$8)))</f>
        <v>Feiertag</v>
      </c>
    </row>
    <row r="1217" spans="1:4" x14ac:dyDescent="0.25">
      <c r="A1217" t="s">
        <v>57</v>
      </c>
      <c r="B1217" s="48">
        <v>43245</v>
      </c>
      <c r="C1217" t="s">
        <v>49</v>
      </c>
      <c r="D1217" t="str">
        <f>IF(COUNTIFS(Verweise!$A$2:$A$4542,Übersicht!$C$7,Verweise!$B$2:$B$4542,B1217)=1,"Feiertag",IF(C1217="Samstag","",IF(C1217="Sonntag","",Übersicht!$C$8)))</f>
        <v>Feiertag</v>
      </c>
    </row>
    <row r="1218" spans="1:4" x14ac:dyDescent="0.25">
      <c r="A1218" t="s">
        <v>57</v>
      </c>
      <c r="B1218" s="48">
        <v>43255</v>
      </c>
      <c r="C1218" t="s">
        <v>50</v>
      </c>
      <c r="D1218" t="str">
        <f>IF(COUNTIFS(Verweise!$A$2:$A$4542,Übersicht!$C$7,Verweise!$B$2:$B$4542,B1218)=1,"Feiertag",IF(C1218="Samstag","",IF(C1218="Sonntag","",Übersicht!$C$8)))</f>
        <v>Feiertag</v>
      </c>
    </row>
    <row r="1219" spans="1:4" x14ac:dyDescent="0.25">
      <c r="A1219" t="s">
        <v>57</v>
      </c>
      <c r="B1219" s="48">
        <v>43256</v>
      </c>
      <c r="C1219" t="s">
        <v>51</v>
      </c>
      <c r="D1219" t="str">
        <f>IF(COUNTIFS(Verweise!$A$2:$A$4542,Übersicht!$C$7,Verweise!$B$2:$B$4542,B1219)=1,"Feiertag",IF(C1219="Samstag","",IF(C1219="Sonntag","",Übersicht!$C$8)))</f>
        <v>Feiertag</v>
      </c>
    </row>
    <row r="1220" spans="1:4" x14ac:dyDescent="0.25">
      <c r="A1220" t="s">
        <v>57</v>
      </c>
      <c r="B1220" s="48">
        <v>43266</v>
      </c>
      <c r="C1220" t="s">
        <v>52</v>
      </c>
      <c r="D1220" t="str">
        <f>IF(COUNTIFS(Verweise!$A$2:$A$4542,Übersicht!$C$7,Verweise!$B$2:$B$4542,B1220)=1,"Feiertag",IF(C1220="Samstag","",IF(C1220="Sonntag","",Übersicht!$C$8)))</f>
        <v>Feiertag</v>
      </c>
    </row>
    <row r="1221" spans="1:4" x14ac:dyDescent="0.25">
      <c r="A1221" t="s">
        <v>57</v>
      </c>
      <c r="B1221" s="48">
        <v>43375</v>
      </c>
      <c r="C1221" t="s">
        <v>53</v>
      </c>
      <c r="D1221" t="str">
        <f>IF(COUNTIFS(Verweise!$A$2:$A$4542,Übersicht!$C$7,Verweise!$B$2:$B$4542,B1221)=1,"Feiertag",IF(C1221="Samstag","",IF(C1221="Sonntag","",Übersicht!$C$8)))</f>
        <v>Feiertag</v>
      </c>
    </row>
    <row r="1222" spans="1:4" x14ac:dyDescent="0.25">
      <c r="A1222" t="s">
        <v>57</v>
      </c>
      <c r="B1222" s="48">
        <v>43404</v>
      </c>
      <c r="C1222" t="s">
        <v>54</v>
      </c>
      <c r="D1222" t="str">
        <f>IF(COUNTIFS(Verweise!$A$2:$A$4542,Übersicht!$C$7,Verweise!$B$2:$B$4542,B1222)=1,"Feiertag",IF(C1222="Samstag","",IF(C1222="Sonntag","",Übersicht!$C$8)))</f>
        <v>Feiertag</v>
      </c>
    </row>
    <row r="1223" spans="1:4" x14ac:dyDescent="0.25">
      <c r="A1223" t="s">
        <v>57</v>
      </c>
      <c r="B1223" s="48">
        <v>43458</v>
      </c>
      <c r="C1223" t="s">
        <v>55</v>
      </c>
      <c r="D1223" t="str">
        <f>IF(COUNTIFS(Verweise!$A$2:$A$4542,Übersicht!$C$7,Verweise!$B$2:$B$4542,B1223)=1,"Feiertag",IF(C1223="Samstag","",IF(C1223="Sonntag","",Übersicht!$C$8)))</f>
        <v>Feiertag</v>
      </c>
    </row>
    <row r="1224" spans="1:4" x14ac:dyDescent="0.25">
      <c r="A1224" t="s">
        <v>57</v>
      </c>
      <c r="B1224" s="48">
        <v>43459</v>
      </c>
      <c r="C1224" t="s">
        <v>56</v>
      </c>
      <c r="D1224" t="str">
        <f>IF(COUNTIFS(Verweise!$A$2:$A$4542,Übersicht!$C$7,Verweise!$B$2:$B$4542,B1224)=1,"Feiertag",IF(C1224="Samstag","",IF(C1224="Sonntag","",Übersicht!$C$8)))</f>
        <v>Feiertag</v>
      </c>
    </row>
    <row r="1225" spans="1:4" x14ac:dyDescent="0.25">
      <c r="A1225" t="s">
        <v>58</v>
      </c>
      <c r="B1225" s="48">
        <v>43100</v>
      </c>
      <c r="C1225" t="s">
        <v>43</v>
      </c>
      <c r="D1225" t="str">
        <f>IF(COUNTIFS(Verweise!$A$2:$A$4542,Übersicht!$C$7,Verweise!$B$2:$B$4542,B1225)=1,"Feiertag",IF(C1225="Samstag","",IF(C1225="Sonntag","",Übersicht!$C$8)))</f>
        <v>Feiertag</v>
      </c>
    </row>
    <row r="1226" spans="1:4" x14ac:dyDescent="0.25">
      <c r="A1226" t="s">
        <v>58</v>
      </c>
      <c r="B1226" s="48">
        <v>43105</v>
      </c>
      <c r="C1226" t="s">
        <v>44</v>
      </c>
      <c r="D1226" t="str">
        <f>IF(COUNTIFS(Verweise!$A$2:$A$4542,Übersicht!$C$7,Verweise!$B$2:$B$4542,B1226)=1,"Feiertag",IF(C1226="Samstag","",IF(C1226="Sonntag","",Übersicht!$C$8)))</f>
        <v>Büro</v>
      </c>
    </row>
    <row r="1227" spans="1:4" x14ac:dyDescent="0.25">
      <c r="A1227" t="s">
        <v>58</v>
      </c>
      <c r="B1227" s="48">
        <v>43204</v>
      </c>
      <c r="C1227" t="s">
        <v>45</v>
      </c>
      <c r="D1227" t="str">
        <f>IF(COUNTIFS(Verweise!$A$2:$A$4542,Übersicht!$C$7,Verweise!$B$2:$B$4542,B1227)=1,"Feiertag",IF(C1227="Samstag","",IF(C1227="Sonntag","",Übersicht!$C$8)))</f>
        <v>Feiertag</v>
      </c>
    </row>
    <row r="1228" spans="1:4" x14ac:dyDescent="0.25">
      <c r="A1228" t="s">
        <v>58</v>
      </c>
      <c r="B1228" s="48">
        <v>43206</v>
      </c>
      <c r="C1228" t="s">
        <v>46</v>
      </c>
      <c r="D1228" t="str">
        <f>IF(COUNTIFS(Verweise!$A$2:$A$4542,Übersicht!$C$7,Verweise!$B$2:$B$4542,B1228)=1,"Feiertag",IF(C1228="Samstag","",IF(C1228="Sonntag","",Übersicht!$C$8)))</f>
        <v>Feiertag</v>
      </c>
    </row>
    <row r="1229" spans="1:4" x14ac:dyDescent="0.25">
      <c r="A1229" t="s">
        <v>58</v>
      </c>
      <c r="B1229" s="48">
        <v>43207</v>
      </c>
      <c r="C1229" t="s">
        <v>47</v>
      </c>
      <c r="D1229" t="str">
        <f>IF(COUNTIFS(Verweise!$A$2:$A$4542,Übersicht!$C$7,Verweise!$B$2:$B$4542,B1229)=1,"Feiertag",IF(C1229="Samstag","",IF(C1229="Sonntag","",Übersicht!$C$8)))</f>
        <v>Feiertag</v>
      </c>
    </row>
    <row r="1230" spans="1:4" x14ac:dyDescent="0.25">
      <c r="A1230" t="s">
        <v>58</v>
      </c>
      <c r="B1230" s="48">
        <v>43220</v>
      </c>
      <c r="C1230" t="s">
        <v>48</v>
      </c>
      <c r="D1230" t="str">
        <f>IF(COUNTIFS(Verweise!$A$2:$A$4542,Übersicht!$C$7,Verweise!$B$2:$B$4542,B1230)=1,"Feiertag",IF(C1230="Samstag","",IF(C1230="Sonntag","",Übersicht!$C$8)))</f>
        <v>Feiertag</v>
      </c>
    </row>
    <row r="1231" spans="1:4" x14ac:dyDescent="0.25">
      <c r="A1231" t="s">
        <v>58</v>
      </c>
      <c r="B1231" s="48">
        <v>43245</v>
      </c>
      <c r="C1231" t="s">
        <v>49</v>
      </c>
      <c r="D1231" t="str">
        <f>IF(COUNTIFS(Verweise!$A$2:$A$4542,Übersicht!$C$7,Verweise!$B$2:$B$4542,B1231)=1,"Feiertag",IF(C1231="Samstag","",IF(C1231="Sonntag","",Übersicht!$C$8)))</f>
        <v>Feiertag</v>
      </c>
    </row>
    <row r="1232" spans="1:4" x14ac:dyDescent="0.25">
      <c r="A1232" t="s">
        <v>58</v>
      </c>
      <c r="B1232" s="48">
        <v>43255</v>
      </c>
      <c r="C1232" t="s">
        <v>50</v>
      </c>
      <c r="D1232" t="str">
        <f>IF(COUNTIFS(Verweise!$A$2:$A$4542,Übersicht!$C$7,Verweise!$B$2:$B$4542,B1232)=1,"Feiertag",IF(C1232="Samstag","",IF(C1232="Sonntag","",Übersicht!$C$8)))</f>
        <v>Feiertag</v>
      </c>
    </row>
    <row r="1233" spans="1:4" x14ac:dyDescent="0.25">
      <c r="A1233" t="s">
        <v>58</v>
      </c>
      <c r="B1233" s="48">
        <v>43256</v>
      </c>
      <c r="C1233" t="s">
        <v>51</v>
      </c>
      <c r="D1233" t="str">
        <f>IF(COUNTIFS(Verweise!$A$2:$A$4542,Übersicht!$C$7,Verweise!$B$2:$B$4542,B1233)=1,"Feiertag",IF(C1233="Samstag","",IF(C1233="Sonntag","",Übersicht!$C$8)))</f>
        <v>Feiertag</v>
      </c>
    </row>
    <row r="1234" spans="1:4" x14ac:dyDescent="0.25">
      <c r="A1234" t="s">
        <v>58</v>
      </c>
      <c r="B1234" s="48">
        <v>43266</v>
      </c>
      <c r="C1234" t="s">
        <v>52</v>
      </c>
      <c r="D1234" t="str">
        <f>IF(COUNTIFS(Verweise!$A$2:$A$4542,Übersicht!$C$7,Verweise!$B$2:$B$4542,B1234)=1,"Feiertag",IF(C1234="Samstag","",IF(C1234="Sonntag","",Übersicht!$C$8)))</f>
        <v>Feiertag</v>
      </c>
    </row>
    <row r="1235" spans="1:4" x14ac:dyDescent="0.25">
      <c r="A1235" t="s">
        <v>58</v>
      </c>
      <c r="B1235" s="48">
        <v>43326</v>
      </c>
      <c r="C1235" t="s">
        <v>59</v>
      </c>
      <c r="D1235" t="str">
        <f>IF(COUNTIFS(Verweise!$A$2:$A$4542,Übersicht!$C$7,Verweise!$B$2:$B$4542,B1235)=1,"Feiertag",IF(C1235="Samstag","",IF(C1235="Sonntag","",Übersicht!$C$8)))</f>
        <v>Büro</v>
      </c>
    </row>
    <row r="1236" spans="1:4" x14ac:dyDescent="0.25">
      <c r="A1236" t="s">
        <v>58</v>
      </c>
      <c r="B1236" s="48">
        <v>43375</v>
      </c>
      <c r="C1236" t="s">
        <v>53</v>
      </c>
      <c r="D1236" t="str">
        <f>IF(COUNTIFS(Verweise!$A$2:$A$4542,Übersicht!$C$7,Verweise!$B$2:$B$4542,B1236)=1,"Feiertag",IF(C1236="Samstag","",IF(C1236="Sonntag","",Übersicht!$C$8)))</f>
        <v>Feiertag</v>
      </c>
    </row>
    <row r="1237" spans="1:4" x14ac:dyDescent="0.25">
      <c r="A1237" t="s">
        <v>58</v>
      </c>
      <c r="B1237" s="48">
        <v>43404</v>
      </c>
      <c r="C1237" t="s">
        <v>54</v>
      </c>
      <c r="D1237" t="str">
        <f>IF(COUNTIFS(Verweise!$A$2:$A$4542,Übersicht!$C$7,Verweise!$B$2:$B$4542,B1237)=1,"Feiertag",IF(C1237="Samstag","",IF(C1237="Sonntag","",Übersicht!$C$8)))</f>
        <v>Feiertag</v>
      </c>
    </row>
    <row r="1238" spans="1:4" x14ac:dyDescent="0.25">
      <c r="A1238" t="s">
        <v>58</v>
      </c>
      <c r="B1238" s="48">
        <v>43458</v>
      </c>
      <c r="C1238" t="s">
        <v>55</v>
      </c>
      <c r="D1238" t="str">
        <f>IF(COUNTIFS(Verweise!$A$2:$A$4542,Übersicht!$C$7,Verweise!$B$2:$B$4542,B1238)=1,"Feiertag",IF(C1238="Samstag","",IF(C1238="Sonntag","",Übersicht!$C$8)))</f>
        <v>Feiertag</v>
      </c>
    </row>
    <row r="1239" spans="1:4" x14ac:dyDescent="0.25">
      <c r="A1239" t="s">
        <v>58</v>
      </c>
      <c r="B1239" s="48">
        <v>43459</v>
      </c>
      <c r="C1239" t="s">
        <v>56</v>
      </c>
      <c r="D1239" t="str">
        <f>IF(COUNTIFS(Verweise!$A$2:$A$4542,Übersicht!$C$7,Verweise!$B$2:$B$4542,B1239)=1,"Feiertag",IF(C1239="Samstag","",IF(C1239="Sonntag","",Übersicht!$C$8)))</f>
        <v>Feiertag</v>
      </c>
    </row>
    <row r="1240" spans="1:4" x14ac:dyDescent="0.25">
      <c r="A1240" t="s">
        <v>60</v>
      </c>
      <c r="B1240" s="48">
        <v>43100</v>
      </c>
      <c r="C1240" t="s">
        <v>43</v>
      </c>
      <c r="D1240" t="str">
        <f>IF(COUNTIFS(Verweise!$A$2:$A$4542,Übersicht!$C$7,Verweise!$B$2:$B$4542,B1240)=1,"Feiertag",IF(C1240="Samstag","",IF(C1240="Sonntag","",Übersicht!$C$8)))</f>
        <v>Feiertag</v>
      </c>
    </row>
    <row r="1241" spans="1:4" x14ac:dyDescent="0.25">
      <c r="A1241" t="s">
        <v>60</v>
      </c>
      <c r="B1241" s="48">
        <v>43204</v>
      </c>
      <c r="C1241" t="s">
        <v>45</v>
      </c>
      <c r="D1241" t="str">
        <f>IF(COUNTIFS(Verweise!$A$2:$A$4542,Übersicht!$C$7,Verweise!$B$2:$B$4542,B1241)=1,"Feiertag",IF(C1241="Samstag","",IF(C1241="Sonntag","",Übersicht!$C$8)))</f>
        <v>Feiertag</v>
      </c>
    </row>
    <row r="1242" spans="1:4" x14ac:dyDescent="0.25">
      <c r="A1242" t="s">
        <v>60</v>
      </c>
      <c r="B1242" s="48">
        <v>43206</v>
      </c>
      <c r="C1242" t="s">
        <v>46</v>
      </c>
      <c r="D1242" t="str">
        <f>IF(COUNTIFS(Verweise!$A$2:$A$4542,Übersicht!$C$7,Verweise!$B$2:$B$4542,B1242)=1,"Feiertag",IF(C1242="Samstag","",IF(C1242="Sonntag","",Übersicht!$C$8)))</f>
        <v>Feiertag</v>
      </c>
    </row>
    <row r="1243" spans="1:4" x14ac:dyDescent="0.25">
      <c r="A1243" t="s">
        <v>60</v>
      </c>
      <c r="B1243" s="48">
        <v>43207</v>
      </c>
      <c r="C1243" t="s">
        <v>47</v>
      </c>
      <c r="D1243" t="str">
        <f>IF(COUNTIFS(Verweise!$A$2:$A$4542,Übersicht!$C$7,Verweise!$B$2:$B$4542,B1243)=1,"Feiertag",IF(C1243="Samstag","",IF(C1243="Sonntag","",Übersicht!$C$8)))</f>
        <v>Feiertag</v>
      </c>
    </row>
    <row r="1244" spans="1:4" x14ac:dyDescent="0.25">
      <c r="A1244" t="s">
        <v>60</v>
      </c>
      <c r="B1244" s="48">
        <v>43220</v>
      </c>
      <c r="C1244" t="s">
        <v>48</v>
      </c>
      <c r="D1244" t="str">
        <f>IF(COUNTIFS(Verweise!$A$2:$A$4542,Übersicht!$C$7,Verweise!$B$2:$B$4542,B1244)=1,"Feiertag",IF(C1244="Samstag","",IF(C1244="Sonntag","",Übersicht!$C$8)))</f>
        <v>Feiertag</v>
      </c>
    </row>
    <row r="1245" spans="1:4" x14ac:dyDescent="0.25">
      <c r="A1245" t="s">
        <v>60</v>
      </c>
      <c r="B1245" s="48">
        <v>43245</v>
      </c>
      <c r="C1245" t="s">
        <v>49</v>
      </c>
      <c r="D1245" t="str">
        <f>IF(COUNTIFS(Verweise!$A$2:$A$4542,Übersicht!$C$7,Verweise!$B$2:$B$4542,B1245)=1,"Feiertag",IF(C1245="Samstag","",IF(C1245="Sonntag","",Übersicht!$C$8)))</f>
        <v>Feiertag</v>
      </c>
    </row>
    <row r="1246" spans="1:4" x14ac:dyDescent="0.25">
      <c r="A1246" t="s">
        <v>60</v>
      </c>
      <c r="B1246" s="48">
        <v>43255</v>
      </c>
      <c r="C1246" t="s">
        <v>50</v>
      </c>
      <c r="D1246" t="str">
        <f>IF(COUNTIFS(Verweise!$A$2:$A$4542,Übersicht!$C$7,Verweise!$B$2:$B$4542,B1246)=1,"Feiertag",IF(C1246="Samstag","",IF(C1246="Sonntag","",Übersicht!$C$8)))</f>
        <v>Feiertag</v>
      </c>
    </row>
    <row r="1247" spans="1:4" x14ac:dyDescent="0.25">
      <c r="A1247" t="s">
        <v>60</v>
      </c>
      <c r="B1247" s="48">
        <v>43256</v>
      </c>
      <c r="C1247" t="s">
        <v>51</v>
      </c>
      <c r="D1247" t="str">
        <f>IF(COUNTIFS(Verweise!$A$2:$A$4542,Übersicht!$C$7,Verweise!$B$2:$B$4542,B1247)=1,"Feiertag",IF(C1247="Samstag","",IF(C1247="Sonntag","",Übersicht!$C$8)))</f>
        <v>Feiertag</v>
      </c>
    </row>
    <row r="1248" spans="1:4" x14ac:dyDescent="0.25">
      <c r="A1248" t="s">
        <v>60</v>
      </c>
      <c r="B1248" s="48">
        <v>43375</v>
      </c>
      <c r="C1248" t="s">
        <v>53</v>
      </c>
      <c r="D1248" t="str">
        <f>IF(COUNTIFS(Verweise!$A$2:$A$4542,Übersicht!$C$7,Verweise!$B$2:$B$4542,B1248)=1,"Feiertag",IF(C1248="Samstag","",IF(C1248="Sonntag","",Übersicht!$C$8)))</f>
        <v>Feiertag</v>
      </c>
    </row>
    <row r="1249" spans="1:4" x14ac:dyDescent="0.25">
      <c r="A1249" t="s">
        <v>60</v>
      </c>
      <c r="B1249" s="48">
        <v>43458</v>
      </c>
      <c r="C1249" t="s">
        <v>55</v>
      </c>
      <c r="D1249" t="str">
        <f>IF(COUNTIFS(Verweise!$A$2:$A$4542,Übersicht!$C$7,Verweise!$B$2:$B$4542,B1249)=1,"Feiertag",IF(C1249="Samstag","",IF(C1249="Sonntag","",Übersicht!$C$8)))</f>
        <v>Feiertag</v>
      </c>
    </row>
    <row r="1250" spans="1:4" x14ac:dyDescent="0.25">
      <c r="A1250" t="s">
        <v>60</v>
      </c>
      <c r="B1250" s="48">
        <v>43459</v>
      </c>
      <c r="C1250" t="s">
        <v>56</v>
      </c>
      <c r="D1250" t="str">
        <f>IF(COUNTIFS(Verweise!$A$2:$A$4542,Übersicht!$C$7,Verweise!$B$2:$B$4542,B1250)=1,"Feiertag",IF(C1250="Samstag","",IF(C1250="Sonntag","",Übersicht!$C$8)))</f>
        <v>Feiertag</v>
      </c>
    </row>
    <row r="1251" spans="1:4" x14ac:dyDescent="0.25">
      <c r="A1251" t="s">
        <v>61</v>
      </c>
      <c r="B1251" s="48">
        <v>43100</v>
      </c>
      <c r="C1251" t="s">
        <v>43</v>
      </c>
      <c r="D1251" t="str">
        <f>IF(COUNTIFS(Verweise!$A$2:$A$4542,Übersicht!$C$7,Verweise!$B$2:$B$4542,B1251)=1,"Feiertag",IF(C1251="Samstag","",IF(C1251="Sonntag","",Übersicht!$C$8)))</f>
        <v>Feiertag</v>
      </c>
    </row>
    <row r="1252" spans="1:4" x14ac:dyDescent="0.25">
      <c r="A1252" t="s">
        <v>61</v>
      </c>
      <c r="B1252" s="48">
        <v>43204</v>
      </c>
      <c r="C1252" t="s">
        <v>45</v>
      </c>
      <c r="D1252" t="str">
        <f>IF(COUNTIFS(Verweise!$A$2:$A$4542,Übersicht!$C$7,Verweise!$B$2:$B$4542,B1252)=1,"Feiertag",IF(C1252="Samstag","",IF(C1252="Sonntag","",Übersicht!$C$8)))</f>
        <v>Feiertag</v>
      </c>
    </row>
    <row r="1253" spans="1:4" x14ac:dyDescent="0.25">
      <c r="A1253" t="s">
        <v>61</v>
      </c>
      <c r="B1253" s="48">
        <v>43206</v>
      </c>
      <c r="C1253" t="s">
        <v>46</v>
      </c>
      <c r="D1253" t="str">
        <f>IF(COUNTIFS(Verweise!$A$2:$A$4542,Übersicht!$C$7,Verweise!$B$2:$B$4542,B1253)=1,"Feiertag",IF(C1253="Samstag","",IF(C1253="Sonntag","",Übersicht!$C$8)))</f>
        <v>Feiertag</v>
      </c>
    </row>
    <row r="1254" spans="1:4" x14ac:dyDescent="0.25">
      <c r="A1254" t="s">
        <v>61</v>
      </c>
      <c r="B1254" s="48">
        <v>43207</v>
      </c>
      <c r="C1254" t="s">
        <v>47</v>
      </c>
      <c r="D1254" t="str">
        <f>IF(COUNTIFS(Verweise!$A$2:$A$4542,Übersicht!$C$7,Verweise!$B$2:$B$4542,B1254)=1,"Feiertag",IF(C1254="Samstag","",IF(C1254="Sonntag","",Übersicht!$C$8)))</f>
        <v>Feiertag</v>
      </c>
    </row>
    <row r="1255" spans="1:4" x14ac:dyDescent="0.25">
      <c r="A1255" t="s">
        <v>61</v>
      </c>
      <c r="B1255" s="48">
        <v>43220</v>
      </c>
      <c r="C1255" t="s">
        <v>48</v>
      </c>
      <c r="D1255" t="str">
        <f>IF(COUNTIFS(Verweise!$A$2:$A$4542,Übersicht!$C$7,Verweise!$B$2:$B$4542,B1255)=1,"Feiertag",IF(C1255="Samstag","",IF(C1255="Sonntag","",Übersicht!$C$8)))</f>
        <v>Feiertag</v>
      </c>
    </row>
    <row r="1256" spans="1:4" x14ac:dyDescent="0.25">
      <c r="A1256" t="s">
        <v>61</v>
      </c>
      <c r="B1256" s="48">
        <v>43245</v>
      </c>
      <c r="C1256" t="s">
        <v>49</v>
      </c>
      <c r="D1256" t="str">
        <f>IF(COUNTIFS(Verweise!$A$2:$A$4542,Übersicht!$C$7,Verweise!$B$2:$B$4542,B1256)=1,"Feiertag",IF(C1256="Samstag","",IF(C1256="Sonntag","",Übersicht!$C$8)))</f>
        <v>Feiertag</v>
      </c>
    </row>
    <row r="1257" spans="1:4" x14ac:dyDescent="0.25">
      <c r="A1257" t="s">
        <v>61</v>
      </c>
      <c r="B1257" s="48">
        <v>43255</v>
      </c>
      <c r="C1257" t="s">
        <v>50</v>
      </c>
      <c r="D1257" t="str">
        <f>IF(COUNTIFS(Verweise!$A$2:$A$4542,Übersicht!$C$7,Verweise!$B$2:$B$4542,B1257)=1,"Feiertag",IF(C1257="Samstag","",IF(C1257="Sonntag","",Übersicht!$C$8)))</f>
        <v>Feiertag</v>
      </c>
    </row>
    <row r="1258" spans="1:4" x14ac:dyDescent="0.25">
      <c r="A1258" t="s">
        <v>61</v>
      </c>
      <c r="B1258" s="48">
        <v>43256</v>
      </c>
      <c r="C1258" t="s">
        <v>51</v>
      </c>
      <c r="D1258" t="str">
        <f>IF(COUNTIFS(Verweise!$A$2:$A$4542,Übersicht!$C$7,Verweise!$B$2:$B$4542,B1258)=1,"Feiertag",IF(C1258="Samstag","",IF(C1258="Sonntag","",Übersicht!$C$8)))</f>
        <v>Feiertag</v>
      </c>
    </row>
    <row r="1259" spans="1:4" x14ac:dyDescent="0.25">
      <c r="A1259" t="s">
        <v>61</v>
      </c>
      <c r="B1259" s="48">
        <v>43375</v>
      </c>
      <c r="C1259" t="s">
        <v>53</v>
      </c>
      <c r="D1259" t="str">
        <f>IF(COUNTIFS(Verweise!$A$2:$A$4542,Übersicht!$C$7,Verweise!$B$2:$B$4542,B1259)=1,"Feiertag",IF(C1259="Samstag","",IF(C1259="Sonntag","",Übersicht!$C$8)))</f>
        <v>Feiertag</v>
      </c>
    </row>
    <row r="1260" spans="1:4" x14ac:dyDescent="0.25">
      <c r="A1260" t="s">
        <v>61</v>
      </c>
      <c r="B1260" s="48">
        <v>43403</v>
      </c>
      <c r="C1260" t="s">
        <v>62</v>
      </c>
      <c r="D1260" t="str">
        <f>IF(COUNTIFS(Verweise!$A$2:$A$4542,Übersicht!$C$7,Verweise!$B$2:$B$4542,B1260)=1,"Feiertag",IF(C1260="Samstag","",IF(C1260="Sonntag","",Übersicht!$C$8)))</f>
        <v>Büro</v>
      </c>
    </row>
    <row r="1261" spans="1:4" x14ac:dyDescent="0.25">
      <c r="A1261" t="s">
        <v>61</v>
      </c>
      <c r="B1261" s="48">
        <v>43458</v>
      </c>
      <c r="C1261" t="s">
        <v>55</v>
      </c>
      <c r="D1261" t="str">
        <f>IF(COUNTIFS(Verweise!$A$2:$A$4542,Übersicht!$C$7,Verweise!$B$2:$B$4542,B1261)=1,"Feiertag",IF(C1261="Samstag","",IF(C1261="Sonntag","",Übersicht!$C$8)))</f>
        <v>Feiertag</v>
      </c>
    </row>
    <row r="1262" spans="1:4" x14ac:dyDescent="0.25">
      <c r="A1262" t="s">
        <v>61</v>
      </c>
      <c r="B1262" s="48">
        <v>43459</v>
      </c>
      <c r="C1262" t="s">
        <v>56</v>
      </c>
      <c r="D1262" t="str">
        <f>IF(COUNTIFS(Verweise!$A$2:$A$4542,Übersicht!$C$7,Verweise!$B$2:$B$4542,B1262)=1,"Feiertag",IF(C1262="Samstag","",IF(C1262="Sonntag","",Übersicht!$C$8)))</f>
        <v>Feiertag</v>
      </c>
    </row>
    <row r="1263" spans="1:4" x14ac:dyDescent="0.25">
      <c r="A1263" t="s">
        <v>63</v>
      </c>
      <c r="B1263" s="48">
        <v>43100</v>
      </c>
      <c r="C1263" t="s">
        <v>43</v>
      </c>
      <c r="D1263" t="str">
        <f>IF(COUNTIFS(Verweise!$A$2:$A$4542,Übersicht!$C$7,Verweise!$B$2:$B$4542,B1263)=1,"Feiertag",IF(C1263="Samstag","",IF(C1263="Sonntag","",Übersicht!$C$8)))</f>
        <v>Feiertag</v>
      </c>
    </row>
    <row r="1264" spans="1:4" x14ac:dyDescent="0.25">
      <c r="A1264" t="s">
        <v>63</v>
      </c>
      <c r="B1264" s="48">
        <v>43204</v>
      </c>
      <c r="C1264" t="s">
        <v>45</v>
      </c>
      <c r="D1264" t="str">
        <f>IF(COUNTIFS(Verweise!$A$2:$A$4542,Übersicht!$C$7,Verweise!$B$2:$B$4542,B1264)=1,"Feiertag",IF(C1264="Samstag","",IF(C1264="Sonntag","",Übersicht!$C$8)))</f>
        <v>Feiertag</v>
      </c>
    </row>
    <row r="1265" spans="1:4" x14ac:dyDescent="0.25">
      <c r="A1265" t="s">
        <v>63</v>
      </c>
      <c r="B1265" s="48">
        <v>43206</v>
      </c>
      <c r="C1265" t="s">
        <v>46</v>
      </c>
      <c r="D1265" t="str">
        <f>IF(COUNTIFS(Verweise!$A$2:$A$4542,Übersicht!$C$7,Verweise!$B$2:$B$4542,B1265)=1,"Feiertag",IF(C1265="Samstag","",IF(C1265="Sonntag","",Übersicht!$C$8)))</f>
        <v>Feiertag</v>
      </c>
    </row>
    <row r="1266" spans="1:4" x14ac:dyDescent="0.25">
      <c r="A1266" t="s">
        <v>63</v>
      </c>
      <c r="B1266" s="48">
        <v>43207</v>
      </c>
      <c r="C1266" t="s">
        <v>47</v>
      </c>
      <c r="D1266" t="str">
        <f>IF(COUNTIFS(Verweise!$A$2:$A$4542,Übersicht!$C$7,Verweise!$B$2:$B$4542,B1266)=1,"Feiertag",IF(C1266="Samstag","",IF(C1266="Sonntag","",Übersicht!$C$8)))</f>
        <v>Feiertag</v>
      </c>
    </row>
    <row r="1267" spans="1:4" x14ac:dyDescent="0.25">
      <c r="A1267" t="s">
        <v>63</v>
      </c>
      <c r="B1267" s="48">
        <v>43220</v>
      </c>
      <c r="C1267" t="s">
        <v>48</v>
      </c>
      <c r="D1267" t="str">
        <f>IF(COUNTIFS(Verweise!$A$2:$A$4542,Übersicht!$C$7,Verweise!$B$2:$B$4542,B1267)=1,"Feiertag",IF(C1267="Samstag","",IF(C1267="Sonntag","",Übersicht!$C$8)))</f>
        <v>Feiertag</v>
      </c>
    </row>
    <row r="1268" spans="1:4" x14ac:dyDescent="0.25">
      <c r="A1268" t="s">
        <v>63</v>
      </c>
      <c r="B1268" s="48">
        <v>43245</v>
      </c>
      <c r="C1268" t="s">
        <v>49</v>
      </c>
      <c r="D1268" t="str">
        <f>IF(COUNTIFS(Verweise!$A$2:$A$4542,Übersicht!$C$7,Verweise!$B$2:$B$4542,B1268)=1,"Feiertag",IF(C1268="Samstag","",IF(C1268="Sonntag","",Übersicht!$C$8)))</f>
        <v>Feiertag</v>
      </c>
    </row>
    <row r="1269" spans="1:4" x14ac:dyDescent="0.25">
      <c r="A1269" t="s">
        <v>63</v>
      </c>
      <c r="B1269" s="48">
        <v>43255</v>
      </c>
      <c r="C1269" t="s">
        <v>50</v>
      </c>
      <c r="D1269" t="str">
        <f>IF(COUNTIFS(Verweise!$A$2:$A$4542,Übersicht!$C$7,Verweise!$B$2:$B$4542,B1269)=1,"Feiertag",IF(C1269="Samstag","",IF(C1269="Sonntag","",Übersicht!$C$8)))</f>
        <v>Feiertag</v>
      </c>
    </row>
    <row r="1270" spans="1:4" x14ac:dyDescent="0.25">
      <c r="A1270" t="s">
        <v>63</v>
      </c>
      <c r="B1270" s="48">
        <v>43256</v>
      </c>
      <c r="C1270" t="s">
        <v>51</v>
      </c>
      <c r="D1270" t="str">
        <f>IF(COUNTIFS(Verweise!$A$2:$A$4542,Übersicht!$C$7,Verweise!$B$2:$B$4542,B1270)=1,"Feiertag",IF(C1270="Samstag","",IF(C1270="Sonntag","",Übersicht!$C$8)))</f>
        <v>Feiertag</v>
      </c>
    </row>
    <row r="1271" spans="1:4" x14ac:dyDescent="0.25">
      <c r="A1271" t="s">
        <v>63</v>
      </c>
      <c r="B1271" s="48">
        <v>43375</v>
      </c>
      <c r="C1271" t="s">
        <v>53</v>
      </c>
      <c r="D1271" t="str">
        <f>IF(COUNTIFS(Verweise!$A$2:$A$4542,Übersicht!$C$7,Verweise!$B$2:$B$4542,B1271)=1,"Feiertag",IF(C1271="Samstag","",IF(C1271="Sonntag","",Übersicht!$C$8)))</f>
        <v>Feiertag</v>
      </c>
    </row>
    <row r="1272" spans="1:4" x14ac:dyDescent="0.25">
      <c r="A1272" t="s">
        <v>63</v>
      </c>
      <c r="B1272" s="48">
        <v>43458</v>
      </c>
      <c r="C1272" t="s">
        <v>55</v>
      </c>
      <c r="D1272" t="str">
        <f>IF(COUNTIFS(Verweise!$A$2:$A$4542,Übersicht!$C$7,Verweise!$B$2:$B$4542,B1272)=1,"Feiertag",IF(C1272="Samstag","",IF(C1272="Sonntag","",Übersicht!$C$8)))</f>
        <v>Feiertag</v>
      </c>
    </row>
    <row r="1273" spans="1:4" x14ac:dyDescent="0.25">
      <c r="A1273" t="s">
        <v>63</v>
      </c>
      <c r="B1273" s="48">
        <v>43459</v>
      </c>
      <c r="C1273" t="s">
        <v>56</v>
      </c>
      <c r="D1273" t="str">
        <f>IF(COUNTIFS(Verweise!$A$2:$A$4542,Übersicht!$C$7,Verweise!$B$2:$B$4542,B1273)=1,"Feiertag",IF(C1273="Samstag","",IF(C1273="Sonntag","",Übersicht!$C$8)))</f>
        <v>Feiertag</v>
      </c>
    </row>
    <row r="1274" spans="1:4" x14ac:dyDescent="0.25">
      <c r="A1274" t="s">
        <v>64</v>
      </c>
      <c r="B1274" s="48">
        <v>43100</v>
      </c>
      <c r="C1274" t="s">
        <v>43</v>
      </c>
      <c r="D1274" t="str">
        <f>IF(COUNTIFS(Verweise!$A$2:$A$4542,Übersicht!$C$7,Verweise!$B$2:$B$4542,B1274)=1,"Feiertag",IF(C1274="Samstag","",IF(C1274="Sonntag","",Übersicht!$C$8)))</f>
        <v>Feiertag</v>
      </c>
    </row>
    <row r="1275" spans="1:4" x14ac:dyDescent="0.25">
      <c r="A1275" t="s">
        <v>64</v>
      </c>
      <c r="B1275" s="48">
        <v>43204</v>
      </c>
      <c r="C1275" t="s">
        <v>45</v>
      </c>
      <c r="D1275" t="str">
        <f>IF(COUNTIFS(Verweise!$A$2:$A$4542,Übersicht!$C$7,Verweise!$B$2:$B$4542,B1275)=1,"Feiertag",IF(C1275="Samstag","",IF(C1275="Sonntag","",Übersicht!$C$8)))</f>
        <v>Feiertag</v>
      </c>
    </row>
    <row r="1276" spans="1:4" x14ac:dyDescent="0.25">
      <c r="A1276" t="s">
        <v>64</v>
      </c>
      <c r="B1276" s="48">
        <v>43206</v>
      </c>
      <c r="C1276" t="s">
        <v>46</v>
      </c>
      <c r="D1276" t="str">
        <f>IF(COUNTIFS(Verweise!$A$2:$A$4542,Übersicht!$C$7,Verweise!$B$2:$B$4542,B1276)=1,"Feiertag",IF(C1276="Samstag","",IF(C1276="Sonntag","",Übersicht!$C$8)))</f>
        <v>Feiertag</v>
      </c>
    </row>
    <row r="1277" spans="1:4" x14ac:dyDescent="0.25">
      <c r="A1277" t="s">
        <v>64</v>
      </c>
      <c r="B1277" s="48">
        <v>43207</v>
      </c>
      <c r="C1277" t="s">
        <v>47</v>
      </c>
      <c r="D1277" t="str">
        <f>IF(COUNTIFS(Verweise!$A$2:$A$4542,Übersicht!$C$7,Verweise!$B$2:$B$4542,B1277)=1,"Feiertag",IF(C1277="Samstag","",IF(C1277="Sonntag","",Übersicht!$C$8)))</f>
        <v>Feiertag</v>
      </c>
    </row>
    <row r="1278" spans="1:4" x14ac:dyDescent="0.25">
      <c r="A1278" t="s">
        <v>64</v>
      </c>
      <c r="B1278" s="48">
        <v>43220</v>
      </c>
      <c r="C1278" t="s">
        <v>48</v>
      </c>
      <c r="D1278" t="str">
        <f>IF(COUNTIFS(Verweise!$A$2:$A$4542,Übersicht!$C$7,Verweise!$B$2:$B$4542,B1278)=1,"Feiertag",IF(C1278="Samstag","",IF(C1278="Sonntag","",Übersicht!$C$8)))</f>
        <v>Feiertag</v>
      </c>
    </row>
    <row r="1279" spans="1:4" x14ac:dyDescent="0.25">
      <c r="A1279" t="s">
        <v>64</v>
      </c>
      <c r="B1279" s="48">
        <v>43245</v>
      </c>
      <c r="C1279" t="s">
        <v>49</v>
      </c>
      <c r="D1279" t="str">
        <f>IF(COUNTIFS(Verweise!$A$2:$A$4542,Übersicht!$C$7,Verweise!$B$2:$B$4542,B1279)=1,"Feiertag",IF(C1279="Samstag","",IF(C1279="Sonntag","",Übersicht!$C$8)))</f>
        <v>Feiertag</v>
      </c>
    </row>
    <row r="1280" spans="1:4" x14ac:dyDescent="0.25">
      <c r="A1280" t="s">
        <v>64</v>
      </c>
      <c r="B1280" s="48">
        <v>43255</v>
      </c>
      <c r="C1280" t="s">
        <v>50</v>
      </c>
      <c r="D1280" t="str">
        <f>IF(COUNTIFS(Verweise!$A$2:$A$4542,Übersicht!$C$7,Verweise!$B$2:$B$4542,B1280)=1,"Feiertag",IF(C1280="Samstag","",IF(C1280="Sonntag","",Übersicht!$C$8)))</f>
        <v>Feiertag</v>
      </c>
    </row>
    <row r="1281" spans="1:4" x14ac:dyDescent="0.25">
      <c r="A1281" t="s">
        <v>64</v>
      </c>
      <c r="B1281" s="48">
        <v>43256</v>
      </c>
      <c r="C1281" t="s">
        <v>51</v>
      </c>
      <c r="D1281" t="str">
        <f>IF(COUNTIFS(Verweise!$A$2:$A$4542,Übersicht!$C$7,Verweise!$B$2:$B$4542,B1281)=1,"Feiertag",IF(C1281="Samstag","",IF(C1281="Sonntag","",Übersicht!$C$8)))</f>
        <v>Feiertag</v>
      </c>
    </row>
    <row r="1282" spans="1:4" x14ac:dyDescent="0.25">
      <c r="A1282" t="s">
        <v>64</v>
      </c>
      <c r="B1282" s="48">
        <v>43375</v>
      </c>
      <c r="C1282" t="s">
        <v>53</v>
      </c>
      <c r="D1282" t="str">
        <f>IF(COUNTIFS(Verweise!$A$2:$A$4542,Übersicht!$C$7,Verweise!$B$2:$B$4542,B1282)=1,"Feiertag",IF(C1282="Samstag","",IF(C1282="Sonntag","",Übersicht!$C$8)))</f>
        <v>Feiertag</v>
      </c>
    </row>
    <row r="1283" spans="1:4" x14ac:dyDescent="0.25">
      <c r="A1283" t="s">
        <v>64</v>
      </c>
      <c r="B1283" s="48">
        <v>43458</v>
      </c>
      <c r="C1283" t="s">
        <v>55</v>
      </c>
      <c r="D1283" t="str">
        <f>IF(COUNTIFS(Verweise!$A$2:$A$4542,Übersicht!$C$7,Verweise!$B$2:$B$4542,B1283)=1,"Feiertag",IF(C1283="Samstag","",IF(C1283="Sonntag","",Übersicht!$C$8)))</f>
        <v>Feiertag</v>
      </c>
    </row>
    <row r="1284" spans="1:4" x14ac:dyDescent="0.25">
      <c r="A1284" t="s">
        <v>64</v>
      </c>
      <c r="B1284" s="48">
        <v>43459</v>
      </c>
      <c r="C1284" t="s">
        <v>56</v>
      </c>
      <c r="D1284" t="str">
        <f>IF(COUNTIFS(Verweise!$A$2:$A$4542,Übersicht!$C$7,Verweise!$B$2:$B$4542,B1284)=1,"Feiertag",IF(C1284="Samstag","",IF(C1284="Sonntag","",Übersicht!$C$8)))</f>
        <v>Feiertag</v>
      </c>
    </row>
    <row r="1285" spans="1:4" x14ac:dyDescent="0.25">
      <c r="A1285" t="s">
        <v>65</v>
      </c>
      <c r="B1285" s="48">
        <v>43100</v>
      </c>
      <c r="C1285" t="s">
        <v>43</v>
      </c>
      <c r="D1285" t="str">
        <f>IF(COUNTIFS(Verweise!$A$2:$A$4542,Übersicht!$C$7,Verweise!$B$2:$B$4542,B1285)=1,"Feiertag",IF(C1285="Samstag","",IF(C1285="Sonntag","",Übersicht!$C$8)))</f>
        <v>Feiertag</v>
      </c>
    </row>
    <row r="1286" spans="1:4" x14ac:dyDescent="0.25">
      <c r="A1286" t="s">
        <v>65</v>
      </c>
      <c r="B1286" s="48">
        <v>43204</v>
      </c>
      <c r="C1286" t="s">
        <v>45</v>
      </c>
      <c r="D1286" t="str">
        <f>IF(COUNTIFS(Verweise!$A$2:$A$4542,Übersicht!$C$7,Verweise!$B$2:$B$4542,B1286)=1,"Feiertag",IF(C1286="Samstag","",IF(C1286="Sonntag","",Übersicht!$C$8)))</f>
        <v>Feiertag</v>
      </c>
    </row>
    <row r="1287" spans="1:4" x14ac:dyDescent="0.25">
      <c r="A1287" t="s">
        <v>65</v>
      </c>
      <c r="B1287" s="48">
        <v>43206</v>
      </c>
      <c r="C1287" t="s">
        <v>46</v>
      </c>
      <c r="D1287" t="str">
        <f>IF(COUNTIFS(Verweise!$A$2:$A$4542,Übersicht!$C$7,Verweise!$B$2:$B$4542,B1287)=1,"Feiertag",IF(C1287="Samstag","",IF(C1287="Sonntag","",Übersicht!$C$8)))</f>
        <v>Feiertag</v>
      </c>
    </row>
    <row r="1288" spans="1:4" x14ac:dyDescent="0.25">
      <c r="A1288" t="s">
        <v>65</v>
      </c>
      <c r="B1288" s="48">
        <v>43207</v>
      </c>
      <c r="C1288" t="s">
        <v>47</v>
      </c>
      <c r="D1288" t="str">
        <f>IF(COUNTIFS(Verweise!$A$2:$A$4542,Übersicht!$C$7,Verweise!$B$2:$B$4542,B1288)=1,"Feiertag",IF(C1288="Samstag","",IF(C1288="Sonntag","",Übersicht!$C$8)))</f>
        <v>Feiertag</v>
      </c>
    </row>
    <row r="1289" spans="1:4" x14ac:dyDescent="0.25">
      <c r="A1289" t="s">
        <v>65</v>
      </c>
      <c r="B1289" s="48">
        <v>43220</v>
      </c>
      <c r="C1289" t="s">
        <v>48</v>
      </c>
      <c r="D1289" t="str">
        <f>IF(COUNTIFS(Verweise!$A$2:$A$4542,Übersicht!$C$7,Verweise!$B$2:$B$4542,B1289)=1,"Feiertag",IF(C1289="Samstag","",IF(C1289="Sonntag","",Übersicht!$C$8)))</f>
        <v>Feiertag</v>
      </c>
    </row>
    <row r="1290" spans="1:4" x14ac:dyDescent="0.25">
      <c r="A1290" t="s">
        <v>65</v>
      </c>
      <c r="B1290" s="48">
        <v>43245</v>
      </c>
      <c r="C1290" t="s">
        <v>49</v>
      </c>
      <c r="D1290" t="str">
        <f>IF(COUNTIFS(Verweise!$A$2:$A$4542,Übersicht!$C$7,Verweise!$B$2:$B$4542,B1290)=1,"Feiertag",IF(C1290="Samstag","",IF(C1290="Sonntag","",Übersicht!$C$8)))</f>
        <v>Feiertag</v>
      </c>
    </row>
    <row r="1291" spans="1:4" x14ac:dyDescent="0.25">
      <c r="A1291" t="s">
        <v>65</v>
      </c>
      <c r="B1291" s="48">
        <v>43255</v>
      </c>
      <c r="C1291" t="s">
        <v>50</v>
      </c>
      <c r="D1291" t="str">
        <f>IF(COUNTIFS(Verweise!$A$2:$A$4542,Übersicht!$C$7,Verweise!$B$2:$B$4542,B1291)=1,"Feiertag",IF(C1291="Samstag","",IF(C1291="Sonntag","",Übersicht!$C$8)))</f>
        <v>Feiertag</v>
      </c>
    </row>
    <row r="1292" spans="1:4" x14ac:dyDescent="0.25">
      <c r="A1292" t="s">
        <v>65</v>
      </c>
      <c r="B1292" s="48">
        <v>43256</v>
      </c>
      <c r="C1292" t="s">
        <v>51</v>
      </c>
      <c r="D1292" t="str">
        <f>IF(COUNTIFS(Verweise!$A$2:$A$4542,Übersicht!$C$7,Verweise!$B$2:$B$4542,B1292)=1,"Feiertag",IF(C1292="Samstag","",IF(C1292="Sonntag","",Übersicht!$C$8)))</f>
        <v>Feiertag</v>
      </c>
    </row>
    <row r="1293" spans="1:4" x14ac:dyDescent="0.25">
      <c r="A1293" t="s">
        <v>65</v>
      </c>
      <c r="B1293" s="48">
        <v>43266</v>
      </c>
      <c r="C1293" t="s">
        <v>52</v>
      </c>
      <c r="D1293" t="str">
        <f>IF(COUNTIFS(Verweise!$A$2:$A$4542,Übersicht!$C$7,Verweise!$B$2:$B$4542,B1293)=1,"Feiertag",IF(C1293="Samstag","",IF(C1293="Sonntag","",Übersicht!$C$8)))</f>
        <v>Feiertag</v>
      </c>
    </row>
    <row r="1294" spans="1:4" x14ac:dyDescent="0.25">
      <c r="A1294" t="s">
        <v>65</v>
      </c>
      <c r="B1294" s="48">
        <v>43375</v>
      </c>
      <c r="C1294" t="s">
        <v>53</v>
      </c>
      <c r="D1294" t="str">
        <f>IF(COUNTIFS(Verweise!$A$2:$A$4542,Übersicht!$C$7,Verweise!$B$2:$B$4542,B1294)=1,"Feiertag",IF(C1294="Samstag","",IF(C1294="Sonntag","",Übersicht!$C$8)))</f>
        <v>Feiertag</v>
      </c>
    </row>
    <row r="1295" spans="1:4" x14ac:dyDescent="0.25">
      <c r="A1295" t="s">
        <v>65</v>
      </c>
      <c r="B1295" s="48">
        <v>43458</v>
      </c>
      <c r="C1295" t="s">
        <v>55</v>
      </c>
      <c r="D1295" t="str">
        <f>IF(COUNTIFS(Verweise!$A$2:$A$4542,Übersicht!$C$7,Verweise!$B$2:$B$4542,B1295)=1,"Feiertag",IF(C1295="Samstag","",IF(C1295="Sonntag","",Übersicht!$C$8)))</f>
        <v>Feiertag</v>
      </c>
    </row>
    <row r="1296" spans="1:4" x14ac:dyDescent="0.25">
      <c r="A1296" t="s">
        <v>65</v>
      </c>
      <c r="B1296" s="48">
        <v>43459</v>
      </c>
      <c r="C1296" t="s">
        <v>56</v>
      </c>
      <c r="D1296" t="str">
        <f>IF(COUNTIFS(Verweise!$A$2:$A$4542,Übersicht!$C$7,Verweise!$B$2:$B$4542,B1296)=1,"Feiertag",IF(C1296="Samstag","",IF(C1296="Sonntag","",Übersicht!$C$8)))</f>
        <v>Feiertag</v>
      </c>
    </row>
    <row r="1297" spans="1:4" x14ac:dyDescent="0.25">
      <c r="A1297" t="s">
        <v>66</v>
      </c>
      <c r="B1297" s="48">
        <v>43100</v>
      </c>
      <c r="C1297" t="s">
        <v>43</v>
      </c>
      <c r="D1297" t="str">
        <f>IF(COUNTIFS(Verweise!$A$2:$A$4542,Übersicht!$C$7,Verweise!$B$2:$B$4542,B1297)=1,"Feiertag",IF(C1297="Samstag","",IF(C1297="Sonntag","",Übersicht!$C$8)))</f>
        <v>Feiertag</v>
      </c>
    </row>
    <row r="1298" spans="1:4" x14ac:dyDescent="0.25">
      <c r="A1298" t="s">
        <v>66</v>
      </c>
      <c r="B1298" s="48">
        <v>43204</v>
      </c>
      <c r="C1298" t="s">
        <v>45</v>
      </c>
      <c r="D1298" t="str">
        <f>IF(COUNTIFS(Verweise!$A$2:$A$4542,Übersicht!$C$7,Verweise!$B$2:$B$4542,B1298)=1,"Feiertag",IF(C1298="Samstag","",IF(C1298="Sonntag","",Übersicht!$C$8)))</f>
        <v>Feiertag</v>
      </c>
    </row>
    <row r="1299" spans="1:4" x14ac:dyDescent="0.25">
      <c r="A1299" t="s">
        <v>66</v>
      </c>
      <c r="B1299" s="48">
        <v>43206</v>
      </c>
      <c r="C1299" t="s">
        <v>46</v>
      </c>
      <c r="D1299" t="str">
        <f>IF(COUNTIFS(Verweise!$A$2:$A$4542,Übersicht!$C$7,Verweise!$B$2:$B$4542,B1299)=1,"Feiertag",IF(C1299="Samstag","",IF(C1299="Sonntag","",Übersicht!$C$8)))</f>
        <v>Feiertag</v>
      </c>
    </row>
    <row r="1300" spans="1:4" x14ac:dyDescent="0.25">
      <c r="A1300" t="s">
        <v>66</v>
      </c>
      <c r="B1300" s="48">
        <v>43207</v>
      </c>
      <c r="C1300" t="s">
        <v>47</v>
      </c>
      <c r="D1300" t="str">
        <f>IF(COUNTIFS(Verweise!$A$2:$A$4542,Übersicht!$C$7,Verweise!$B$2:$B$4542,B1300)=1,"Feiertag",IF(C1300="Samstag","",IF(C1300="Sonntag","",Übersicht!$C$8)))</f>
        <v>Feiertag</v>
      </c>
    </row>
    <row r="1301" spans="1:4" x14ac:dyDescent="0.25">
      <c r="A1301" t="s">
        <v>66</v>
      </c>
      <c r="B1301" s="48">
        <v>43220</v>
      </c>
      <c r="C1301" t="s">
        <v>48</v>
      </c>
      <c r="D1301" t="str">
        <f>IF(COUNTIFS(Verweise!$A$2:$A$4542,Übersicht!$C$7,Verweise!$B$2:$B$4542,B1301)=1,"Feiertag",IF(C1301="Samstag","",IF(C1301="Sonntag","",Übersicht!$C$8)))</f>
        <v>Feiertag</v>
      </c>
    </row>
    <row r="1302" spans="1:4" x14ac:dyDescent="0.25">
      <c r="A1302" t="s">
        <v>66</v>
      </c>
      <c r="B1302" s="48">
        <v>43245</v>
      </c>
      <c r="C1302" t="s">
        <v>49</v>
      </c>
      <c r="D1302" t="str">
        <f>IF(COUNTIFS(Verweise!$A$2:$A$4542,Übersicht!$C$7,Verweise!$B$2:$B$4542,B1302)=1,"Feiertag",IF(C1302="Samstag","",IF(C1302="Sonntag","",Übersicht!$C$8)))</f>
        <v>Feiertag</v>
      </c>
    </row>
    <row r="1303" spans="1:4" x14ac:dyDescent="0.25">
      <c r="A1303" t="s">
        <v>66</v>
      </c>
      <c r="B1303" s="48">
        <v>43255</v>
      </c>
      <c r="C1303" t="s">
        <v>50</v>
      </c>
      <c r="D1303" t="str">
        <f>IF(COUNTIFS(Verweise!$A$2:$A$4542,Übersicht!$C$7,Verweise!$B$2:$B$4542,B1303)=1,"Feiertag",IF(C1303="Samstag","",IF(C1303="Sonntag","",Übersicht!$C$8)))</f>
        <v>Feiertag</v>
      </c>
    </row>
    <row r="1304" spans="1:4" x14ac:dyDescent="0.25">
      <c r="A1304" t="s">
        <v>66</v>
      </c>
      <c r="B1304" s="48">
        <v>43256</v>
      </c>
      <c r="C1304" t="s">
        <v>51</v>
      </c>
      <c r="D1304" t="str">
        <f>IF(COUNTIFS(Verweise!$A$2:$A$4542,Übersicht!$C$7,Verweise!$B$2:$B$4542,B1304)=1,"Feiertag",IF(C1304="Samstag","",IF(C1304="Sonntag","",Übersicht!$C$8)))</f>
        <v>Feiertag</v>
      </c>
    </row>
    <row r="1305" spans="1:4" x14ac:dyDescent="0.25">
      <c r="A1305" t="s">
        <v>66</v>
      </c>
      <c r="B1305" s="48">
        <v>43375</v>
      </c>
      <c r="C1305" t="s">
        <v>53</v>
      </c>
      <c r="D1305" t="str">
        <f>IF(COUNTIFS(Verweise!$A$2:$A$4542,Übersicht!$C$7,Verweise!$B$2:$B$4542,B1305)=1,"Feiertag",IF(C1305="Samstag","",IF(C1305="Sonntag","",Übersicht!$C$8)))</f>
        <v>Feiertag</v>
      </c>
    </row>
    <row r="1306" spans="1:4" x14ac:dyDescent="0.25">
      <c r="A1306" t="s">
        <v>66</v>
      </c>
      <c r="B1306" s="48">
        <v>43403</v>
      </c>
      <c r="C1306" t="s">
        <v>62</v>
      </c>
      <c r="D1306" t="str">
        <f>IF(COUNTIFS(Verweise!$A$2:$A$4542,Übersicht!$C$7,Verweise!$B$2:$B$4542,B1306)=1,"Feiertag",IF(C1306="Samstag","",IF(C1306="Sonntag","",Übersicht!$C$8)))</f>
        <v>Büro</v>
      </c>
    </row>
    <row r="1307" spans="1:4" x14ac:dyDescent="0.25">
      <c r="A1307" t="s">
        <v>66</v>
      </c>
      <c r="B1307" s="48">
        <v>43458</v>
      </c>
      <c r="C1307" t="s">
        <v>55</v>
      </c>
      <c r="D1307" t="str">
        <f>IF(COUNTIFS(Verweise!$A$2:$A$4542,Übersicht!$C$7,Verweise!$B$2:$B$4542,B1307)=1,"Feiertag",IF(C1307="Samstag","",IF(C1307="Sonntag","",Übersicht!$C$8)))</f>
        <v>Feiertag</v>
      </c>
    </row>
    <row r="1308" spans="1:4" x14ac:dyDescent="0.25">
      <c r="A1308" t="s">
        <v>66</v>
      </c>
      <c r="B1308" s="48">
        <v>43459</v>
      </c>
      <c r="C1308" t="s">
        <v>56</v>
      </c>
      <c r="D1308" t="str">
        <f>IF(COUNTIFS(Verweise!$A$2:$A$4542,Übersicht!$C$7,Verweise!$B$2:$B$4542,B1308)=1,"Feiertag",IF(C1308="Samstag","",IF(C1308="Sonntag","",Übersicht!$C$8)))</f>
        <v>Feiertag</v>
      </c>
    </row>
    <row r="1309" spans="1:4" x14ac:dyDescent="0.25">
      <c r="A1309" t="s">
        <v>67</v>
      </c>
      <c r="B1309" s="48">
        <v>43100</v>
      </c>
      <c r="C1309" t="s">
        <v>43</v>
      </c>
      <c r="D1309" t="str">
        <f>IF(COUNTIFS(Verweise!$A$2:$A$4542,Übersicht!$C$7,Verweise!$B$2:$B$4542,B1309)=1,"Feiertag",IF(C1309="Samstag","",IF(C1309="Sonntag","",Übersicht!$C$8)))</f>
        <v>Feiertag</v>
      </c>
    </row>
    <row r="1310" spans="1:4" x14ac:dyDescent="0.25">
      <c r="A1310" t="s">
        <v>67</v>
      </c>
      <c r="B1310" s="48">
        <v>43204</v>
      </c>
      <c r="C1310" t="s">
        <v>45</v>
      </c>
      <c r="D1310" t="str">
        <f>IF(COUNTIFS(Verweise!$A$2:$A$4542,Übersicht!$C$7,Verweise!$B$2:$B$4542,B1310)=1,"Feiertag",IF(C1310="Samstag","",IF(C1310="Sonntag","",Übersicht!$C$8)))</f>
        <v>Feiertag</v>
      </c>
    </row>
    <row r="1311" spans="1:4" x14ac:dyDescent="0.25">
      <c r="A1311" t="s">
        <v>67</v>
      </c>
      <c r="B1311" s="48">
        <v>43206</v>
      </c>
      <c r="C1311" t="s">
        <v>46</v>
      </c>
      <c r="D1311" t="str">
        <f>IF(COUNTIFS(Verweise!$A$2:$A$4542,Übersicht!$C$7,Verweise!$B$2:$B$4542,B1311)=1,"Feiertag",IF(C1311="Samstag","",IF(C1311="Sonntag","",Übersicht!$C$8)))</f>
        <v>Feiertag</v>
      </c>
    </row>
    <row r="1312" spans="1:4" x14ac:dyDescent="0.25">
      <c r="A1312" t="s">
        <v>67</v>
      </c>
      <c r="B1312" s="48">
        <v>43207</v>
      </c>
      <c r="C1312" t="s">
        <v>47</v>
      </c>
      <c r="D1312" t="str">
        <f>IF(COUNTIFS(Verweise!$A$2:$A$4542,Übersicht!$C$7,Verweise!$B$2:$B$4542,B1312)=1,"Feiertag",IF(C1312="Samstag","",IF(C1312="Sonntag","",Übersicht!$C$8)))</f>
        <v>Feiertag</v>
      </c>
    </row>
    <row r="1313" spans="1:4" x14ac:dyDescent="0.25">
      <c r="A1313" t="s">
        <v>67</v>
      </c>
      <c r="B1313" s="48">
        <v>43220</v>
      </c>
      <c r="C1313" t="s">
        <v>48</v>
      </c>
      <c r="D1313" t="str">
        <f>IF(COUNTIFS(Verweise!$A$2:$A$4542,Übersicht!$C$7,Verweise!$B$2:$B$4542,B1313)=1,"Feiertag",IF(C1313="Samstag","",IF(C1313="Sonntag","",Übersicht!$C$8)))</f>
        <v>Feiertag</v>
      </c>
    </row>
    <row r="1314" spans="1:4" x14ac:dyDescent="0.25">
      <c r="A1314" t="s">
        <v>67</v>
      </c>
      <c r="B1314" s="48">
        <v>43245</v>
      </c>
      <c r="C1314" t="s">
        <v>49</v>
      </c>
      <c r="D1314" t="str">
        <f>IF(COUNTIFS(Verweise!$A$2:$A$4542,Übersicht!$C$7,Verweise!$B$2:$B$4542,B1314)=1,"Feiertag",IF(C1314="Samstag","",IF(C1314="Sonntag","",Übersicht!$C$8)))</f>
        <v>Feiertag</v>
      </c>
    </row>
    <row r="1315" spans="1:4" x14ac:dyDescent="0.25">
      <c r="A1315" t="s">
        <v>67</v>
      </c>
      <c r="B1315" s="48">
        <v>43255</v>
      </c>
      <c r="C1315" t="s">
        <v>50</v>
      </c>
      <c r="D1315" t="str">
        <f>IF(COUNTIFS(Verweise!$A$2:$A$4542,Übersicht!$C$7,Verweise!$B$2:$B$4542,B1315)=1,"Feiertag",IF(C1315="Samstag","",IF(C1315="Sonntag","",Übersicht!$C$8)))</f>
        <v>Feiertag</v>
      </c>
    </row>
    <row r="1316" spans="1:4" x14ac:dyDescent="0.25">
      <c r="A1316" t="s">
        <v>67</v>
      </c>
      <c r="B1316" s="48">
        <v>43256</v>
      </c>
      <c r="C1316" t="s">
        <v>51</v>
      </c>
      <c r="D1316" t="str">
        <f>IF(COUNTIFS(Verweise!$A$2:$A$4542,Übersicht!$C$7,Verweise!$B$2:$B$4542,B1316)=1,"Feiertag",IF(C1316="Samstag","",IF(C1316="Sonntag","",Übersicht!$C$8)))</f>
        <v>Feiertag</v>
      </c>
    </row>
    <row r="1317" spans="1:4" x14ac:dyDescent="0.25">
      <c r="A1317" t="s">
        <v>67</v>
      </c>
      <c r="B1317" s="48">
        <v>43375</v>
      </c>
      <c r="C1317" t="s">
        <v>53</v>
      </c>
      <c r="D1317" t="str">
        <f>IF(COUNTIFS(Verweise!$A$2:$A$4542,Übersicht!$C$7,Verweise!$B$2:$B$4542,B1317)=1,"Feiertag",IF(C1317="Samstag","",IF(C1317="Sonntag","",Übersicht!$C$8)))</f>
        <v>Feiertag</v>
      </c>
    </row>
    <row r="1318" spans="1:4" x14ac:dyDescent="0.25">
      <c r="A1318" t="s">
        <v>67</v>
      </c>
      <c r="B1318" s="48">
        <v>43458</v>
      </c>
      <c r="C1318" t="s">
        <v>55</v>
      </c>
      <c r="D1318" t="str">
        <f>IF(COUNTIFS(Verweise!$A$2:$A$4542,Übersicht!$C$7,Verweise!$B$2:$B$4542,B1318)=1,"Feiertag",IF(C1318="Samstag","",IF(C1318="Sonntag","",Übersicht!$C$8)))</f>
        <v>Feiertag</v>
      </c>
    </row>
    <row r="1319" spans="1:4" x14ac:dyDescent="0.25">
      <c r="A1319" t="s">
        <v>67</v>
      </c>
      <c r="B1319" s="48">
        <v>43459</v>
      </c>
      <c r="C1319" t="s">
        <v>56</v>
      </c>
      <c r="D1319" t="str">
        <f>IF(COUNTIFS(Verweise!$A$2:$A$4542,Übersicht!$C$7,Verweise!$B$2:$B$4542,B1319)=1,"Feiertag",IF(C1319="Samstag","",IF(C1319="Sonntag","",Übersicht!$C$8)))</f>
        <v>Feiertag</v>
      </c>
    </row>
    <row r="1320" spans="1:4" x14ac:dyDescent="0.25">
      <c r="A1320" t="s">
        <v>68</v>
      </c>
      <c r="B1320" s="48">
        <v>43100</v>
      </c>
      <c r="C1320" t="s">
        <v>43</v>
      </c>
      <c r="D1320" t="str">
        <f>IF(COUNTIFS(Verweise!$A$2:$A$4542,Übersicht!$C$7,Verweise!$B$2:$B$4542,B1320)=1,"Feiertag",IF(C1320="Samstag","",IF(C1320="Sonntag","",Übersicht!$C$8)))</f>
        <v>Feiertag</v>
      </c>
    </row>
    <row r="1321" spans="1:4" x14ac:dyDescent="0.25">
      <c r="A1321" t="s">
        <v>68</v>
      </c>
      <c r="B1321" s="48">
        <v>43204</v>
      </c>
      <c r="C1321" t="s">
        <v>45</v>
      </c>
      <c r="D1321" t="str">
        <f>IF(COUNTIFS(Verweise!$A$2:$A$4542,Übersicht!$C$7,Verweise!$B$2:$B$4542,B1321)=1,"Feiertag",IF(C1321="Samstag","",IF(C1321="Sonntag","",Übersicht!$C$8)))</f>
        <v>Feiertag</v>
      </c>
    </row>
    <row r="1322" spans="1:4" x14ac:dyDescent="0.25">
      <c r="A1322" t="s">
        <v>68</v>
      </c>
      <c r="B1322" s="48">
        <v>43206</v>
      </c>
      <c r="C1322" t="s">
        <v>46</v>
      </c>
      <c r="D1322" t="str">
        <f>IF(COUNTIFS(Verweise!$A$2:$A$4542,Übersicht!$C$7,Verweise!$B$2:$B$4542,B1322)=1,"Feiertag",IF(C1322="Samstag","",IF(C1322="Sonntag","",Übersicht!$C$8)))</f>
        <v>Feiertag</v>
      </c>
    </row>
    <row r="1323" spans="1:4" x14ac:dyDescent="0.25">
      <c r="A1323" t="s">
        <v>68</v>
      </c>
      <c r="B1323" s="48">
        <v>43207</v>
      </c>
      <c r="C1323" t="s">
        <v>47</v>
      </c>
      <c r="D1323" t="str">
        <f>IF(COUNTIFS(Verweise!$A$2:$A$4542,Übersicht!$C$7,Verweise!$B$2:$B$4542,B1323)=1,"Feiertag",IF(C1323="Samstag","",IF(C1323="Sonntag","",Übersicht!$C$8)))</f>
        <v>Feiertag</v>
      </c>
    </row>
    <row r="1324" spans="1:4" x14ac:dyDescent="0.25">
      <c r="A1324" t="s">
        <v>68</v>
      </c>
      <c r="B1324" s="48">
        <v>43220</v>
      </c>
      <c r="C1324" t="s">
        <v>48</v>
      </c>
      <c r="D1324" t="str">
        <f>IF(COUNTIFS(Verweise!$A$2:$A$4542,Übersicht!$C$7,Verweise!$B$2:$B$4542,B1324)=1,"Feiertag",IF(C1324="Samstag","",IF(C1324="Sonntag","",Übersicht!$C$8)))</f>
        <v>Feiertag</v>
      </c>
    </row>
    <row r="1325" spans="1:4" x14ac:dyDescent="0.25">
      <c r="A1325" t="s">
        <v>68</v>
      </c>
      <c r="B1325" s="48">
        <v>43245</v>
      </c>
      <c r="C1325" t="s">
        <v>49</v>
      </c>
      <c r="D1325" t="str">
        <f>IF(COUNTIFS(Verweise!$A$2:$A$4542,Übersicht!$C$7,Verweise!$B$2:$B$4542,B1325)=1,"Feiertag",IF(C1325="Samstag","",IF(C1325="Sonntag","",Übersicht!$C$8)))</f>
        <v>Feiertag</v>
      </c>
    </row>
    <row r="1326" spans="1:4" x14ac:dyDescent="0.25">
      <c r="A1326" t="s">
        <v>68</v>
      </c>
      <c r="B1326" s="48">
        <v>43255</v>
      </c>
      <c r="C1326" t="s">
        <v>50</v>
      </c>
      <c r="D1326" t="str">
        <f>IF(COUNTIFS(Verweise!$A$2:$A$4542,Übersicht!$C$7,Verweise!$B$2:$B$4542,B1326)=1,"Feiertag",IF(C1326="Samstag","",IF(C1326="Sonntag","",Übersicht!$C$8)))</f>
        <v>Feiertag</v>
      </c>
    </row>
    <row r="1327" spans="1:4" x14ac:dyDescent="0.25">
      <c r="A1327" t="s">
        <v>68</v>
      </c>
      <c r="B1327" s="48">
        <v>43256</v>
      </c>
      <c r="C1327" t="s">
        <v>51</v>
      </c>
      <c r="D1327" t="str">
        <f>IF(COUNTIFS(Verweise!$A$2:$A$4542,Übersicht!$C$7,Verweise!$B$2:$B$4542,B1327)=1,"Feiertag",IF(C1327="Samstag","",IF(C1327="Sonntag","",Übersicht!$C$8)))</f>
        <v>Feiertag</v>
      </c>
    </row>
    <row r="1328" spans="1:4" x14ac:dyDescent="0.25">
      <c r="A1328" t="s">
        <v>68</v>
      </c>
      <c r="B1328" s="48">
        <v>43266</v>
      </c>
      <c r="C1328" t="s">
        <v>52</v>
      </c>
      <c r="D1328" t="str">
        <f>IF(COUNTIFS(Verweise!$A$2:$A$4542,Übersicht!$C$7,Verweise!$B$2:$B$4542,B1328)=1,"Feiertag",IF(C1328="Samstag","",IF(C1328="Sonntag","",Übersicht!$C$8)))</f>
        <v>Feiertag</v>
      </c>
    </row>
    <row r="1329" spans="1:4" x14ac:dyDescent="0.25">
      <c r="A1329" t="s">
        <v>68</v>
      </c>
      <c r="B1329" s="48">
        <v>43375</v>
      </c>
      <c r="C1329" t="s">
        <v>53</v>
      </c>
      <c r="D1329" t="str">
        <f>IF(COUNTIFS(Verweise!$A$2:$A$4542,Übersicht!$C$7,Verweise!$B$2:$B$4542,B1329)=1,"Feiertag",IF(C1329="Samstag","",IF(C1329="Sonntag","",Übersicht!$C$8)))</f>
        <v>Feiertag</v>
      </c>
    </row>
    <row r="1330" spans="1:4" x14ac:dyDescent="0.25">
      <c r="A1330" t="s">
        <v>68</v>
      </c>
      <c r="B1330" s="48">
        <v>43404</v>
      </c>
      <c r="C1330" t="s">
        <v>54</v>
      </c>
      <c r="D1330" t="str">
        <f>IF(COUNTIFS(Verweise!$A$2:$A$4542,Übersicht!$C$7,Verweise!$B$2:$B$4542,B1330)=1,"Feiertag",IF(C1330="Samstag","",IF(C1330="Sonntag","",Übersicht!$C$8)))</f>
        <v>Feiertag</v>
      </c>
    </row>
    <row r="1331" spans="1:4" x14ac:dyDescent="0.25">
      <c r="A1331" t="s">
        <v>68</v>
      </c>
      <c r="B1331" s="48">
        <v>43458</v>
      </c>
      <c r="C1331" t="s">
        <v>55</v>
      </c>
      <c r="D1331" t="str">
        <f>IF(COUNTIFS(Verweise!$A$2:$A$4542,Übersicht!$C$7,Verweise!$B$2:$B$4542,B1331)=1,"Feiertag",IF(C1331="Samstag","",IF(C1331="Sonntag","",Übersicht!$C$8)))</f>
        <v>Feiertag</v>
      </c>
    </row>
    <row r="1332" spans="1:4" x14ac:dyDescent="0.25">
      <c r="A1332" t="s">
        <v>68</v>
      </c>
      <c r="B1332" s="48">
        <v>43459</v>
      </c>
      <c r="C1332" t="s">
        <v>56</v>
      </c>
      <c r="D1332" t="str">
        <f>IF(COUNTIFS(Verweise!$A$2:$A$4542,Übersicht!$C$7,Verweise!$B$2:$B$4542,B1332)=1,"Feiertag",IF(C1332="Samstag","",IF(C1332="Sonntag","",Übersicht!$C$8)))</f>
        <v>Feiertag</v>
      </c>
    </row>
    <row r="1333" spans="1:4" x14ac:dyDescent="0.25">
      <c r="A1333" t="s">
        <v>69</v>
      </c>
      <c r="B1333" s="48">
        <v>43100</v>
      </c>
      <c r="C1333" t="s">
        <v>43</v>
      </c>
      <c r="D1333" t="str">
        <f>IF(COUNTIFS(Verweise!$A$2:$A$4542,Übersicht!$C$7,Verweise!$B$2:$B$4542,B1333)=1,"Feiertag",IF(C1333="Samstag","",IF(C1333="Sonntag","",Übersicht!$C$8)))</f>
        <v>Feiertag</v>
      </c>
    </row>
    <row r="1334" spans="1:4" x14ac:dyDescent="0.25">
      <c r="A1334" t="s">
        <v>69</v>
      </c>
      <c r="B1334" s="48">
        <v>43204</v>
      </c>
      <c r="C1334" t="s">
        <v>45</v>
      </c>
      <c r="D1334" t="str">
        <f>IF(COUNTIFS(Verweise!$A$2:$A$4542,Übersicht!$C$7,Verweise!$B$2:$B$4542,B1334)=1,"Feiertag",IF(C1334="Samstag","",IF(C1334="Sonntag","",Übersicht!$C$8)))</f>
        <v>Feiertag</v>
      </c>
    </row>
    <row r="1335" spans="1:4" x14ac:dyDescent="0.25">
      <c r="A1335" t="s">
        <v>69</v>
      </c>
      <c r="B1335" s="48">
        <v>43206</v>
      </c>
      <c r="C1335" t="s">
        <v>46</v>
      </c>
      <c r="D1335" t="str">
        <f>IF(COUNTIFS(Verweise!$A$2:$A$4542,Übersicht!$C$7,Verweise!$B$2:$B$4542,B1335)=1,"Feiertag",IF(C1335="Samstag","",IF(C1335="Sonntag","",Übersicht!$C$8)))</f>
        <v>Feiertag</v>
      </c>
    </row>
    <row r="1336" spans="1:4" x14ac:dyDescent="0.25">
      <c r="A1336" t="s">
        <v>69</v>
      </c>
      <c r="B1336" s="48">
        <v>43207</v>
      </c>
      <c r="C1336" t="s">
        <v>47</v>
      </c>
      <c r="D1336" t="str">
        <f>IF(COUNTIFS(Verweise!$A$2:$A$4542,Übersicht!$C$7,Verweise!$B$2:$B$4542,B1336)=1,"Feiertag",IF(C1336="Samstag","",IF(C1336="Sonntag","",Übersicht!$C$8)))</f>
        <v>Feiertag</v>
      </c>
    </row>
    <row r="1337" spans="1:4" x14ac:dyDescent="0.25">
      <c r="A1337" t="s">
        <v>69</v>
      </c>
      <c r="B1337" s="48">
        <v>43220</v>
      </c>
      <c r="C1337" t="s">
        <v>48</v>
      </c>
      <c r="D1337" t="str">
        <f>IF(COUNTIFS(Verweise!$A$2:$A$4542,Übersicht!$C$7,Verweise!$B$2:$B$4542,B1337)=1,"Feiertag",IF(C1337="Samstag","",IF(C1337="Sonntag","",Übersicht!$C$8)))</f>
        <v>Feiertag</v>
      </c>
    </row>
    <row r="1338" spans="1:4" x14ac:dyDescent="0.25">
      <c r="A1338" t="s">
        <v>69</v>
      </c>
      <c r="B1338" s="48">
        <v>43245</v>
      </c>
      <c r="C1338" t="s">
        <v>49</v>
      </c>
      <c r="D1338" t="str">
        <f>IF(COUNTIFS(Verweise!$A$2:$A$4542,Übersicht!$C$7,Verweise!$B$2:$B$4542,B1338)=1,"Feiertag",IF(C1338="Samstag","",IF(C1338="Sonntag","",Übersicht!$C$8)))</f>
        <v>Feiertag</v>
      </c>
    </row>
    <row r="1339" spans="1:4" x14ac:dyDescent="0.25">
      <c r="A1339" t="s">
        <v>69</v>
      </c>
      <c r="B1339" s="48">
        <v>43255</v>
      </c>
      <c r="C1339" t="s">
        <v>50</v>
      </c>
      <c r="D1339" t="str">
        <f>IF(COUNTIFS(Verweise!$A$2:$A$4542,Übersicht!$C$7,Verweise!$B$2:$B$4542,B1339)=1,"Feiertag",IF(C1339="Samstag","",IF(C1339="Sonntag","",Übersicht!$C$8)))</f>
        <v>Feiertag</v>
      </c>
    </row>
    <row r="1340" spans="1:4" x14ac:dyDescent="0.25">
      <c r="A1340" t="s">
        <v>69</v>
      </c>
      <c r="B1340" s="48">
        <v>43256</v>
      </c>
      <c r="C1340" t="s">
        <v>51</v>
      </c>
      <c r="D1340" t="str">
        <f>IF(COUNTIFS(Verweise!$A$2:$A$4542,Übersicht!$C$7,Verweise!$B$2:$B$4542,B1340)=1,"Feiertag",IF(C1340="Samstag","",IF(C1340="Sonntag","",Übersicht!$C$8)))</f>
        <v>Feiertag</v>
      </c>
    </row>
    <row r="1341" spans="1:4" x14ac:dyDescent="0.25">
      <c r="A1341" t="s">
        <v>69</v>
      </c>
      <c r="B1341" s="48">
        <v>43266</v>
      </c>
      <c r="C1341" t="s">
        <v>52</v>
      </c>
      <c r="D1341" t="str">
        <f>IF(COUNTIFS(Verweise!$A$2:$A$4542,Übersicht!$C$7,Verweise!$B$2:$B$4542,B1341)=1,"Feiertag",IF(C1341="Samstag","",IF(C1341="Sonntag","",Übersicht!$C$8)))</f>
        <v>Feiertag</v>
      </c>
    </row>
    <row r="1342" spans="1:4" x14ac:dyDescent="0.25">
      <c r="A1342" t="s">
        <v>69</v>
      </c>
      <c r="B1342" s="48">
        <v>43375</v>
      </c>
      <c r="C1342" t="s">
        <v>53</v>
      </c>
      <c r="D1342" t="str">
        <f>IF(COUNTIFS(Verweise!$A$2:$A$4542,Übersicht!$C$7,Verweise!$B$2:$B$4542,B1342)=1,"Feiertag",IF(C1342="Samstag","",IF(C1342="Sonntag","",Übersicht!$C$8)))</f>
        <v>Feiertag</v>
      </c>
    </row>
    <row r="1343" spans="1:4" x14ac:dyDescent="0.25">
      <c r="A1343" t="s">
        <v>69</v>
      </c>
      <c r="B1343" s="48">
        <v>43404</v>
      </c>
      <c r="C1343" t="s">
        <v>54</v>
      </c>
      <c r="D1343" t="str">
        <f>IF(COUNTIFS(Verweise!$A$2:$A$4542,Übersicht!$C$7,Verweise!$B$2:$B$4542,B1343)=1,"Feiertag",IF(C1343="Samstag","",IF(C1343="Sonntag","",Übersicht!$C$8)))</f>
        <v>Feiertag</v>
      </c>
    </row>
    <row r="1344" spans="1:4" x14ac:dyDescent="0.25">
      <c r="A1344" t="s">
        <v>69</v>
      </c>
      <c r="B1344" s="48">
        <v>43458</v>
      </c>
      <c r="C1344" t="s">
        <v>55</v>
      </c>
      <c r="D1344" t="str">
        <f>IF(COUNTIFS(Verweise!$A$2:$A$4542,Übersicht!$C$7,Verweise!$B$2:$B$4542,B1344)=1,"Feiertag",IF(C1344="Samstag","",IF(C1344="Sonntag","",Übersicht!$C$8)))</f>
        <v>Feiertag</v>
      </c>
    </row>
    <row r="1345" spans="1:4" x14ac:dyDescent="0.25">
      <c r="A1345" t="s">
        <v>69</v>
      </c>
      <c r="B1345" s="48">
        <v>43459</v>
      </c>
      <c r="C1345" t="s">
        <v>56</v>
      </c>
      <c r="D1345" t="str">
        <f>IF(COUNTIFS(Verweise!$A$2:$A$4542,Übersicht!$C$7,Verweise!$B$2:$B$4542,B1345)=1,"Feiertag",IF(C1345="Samstag","",IF(C1345="Sonntag","",Übersicht!$C$8)))</f>
        <v>Feiertag</v>
      </c>
    </row>
    <row r="1346" spans="1:4" x14ac:dyDescent="0.25">
      <c r="A1346" t="s">
        <v>70</v>
      </c>
      <c r="B1346" s="48">
        <v>43100</v>
      </c>
      <c r="C1346" t="s">
        <v>43</v>
      </c>
      <c r="D1346" t="str">
        <f>IF(COUNTIFS(Verweise!$A$2:$A$4542,Übersicht!$C$7,Verweise!$B$2:$B$4542,B1346)=1,"Feiertag",IF(C1346="Samstag","",IF(C1346="Sonntag","",Übersicht!$C$8)))</f>
        <v>Feiertag</v>
      </c>
    </row>
    <row r="1347" spans="1:4" x14ac:dyDescent="0.25">
      <c r="A1347" t="s">
        <v>70</v>
      </c>
      <c r="B1347" s="48">
        <v>43204</v>
      </c>
      <c r="C1347" t="s">
        <v>45</v>
      </c>
      <c r="D1347" t="str">
        <f>IF(COUNTIFS(Verweise!$A$2:$A$4542,Übersicht!$C$7,Verweise!$B$2:$B$4542,B1347)=1,"Feiertag",IF(C1347="Samstag","",IF(C1347="Sonntag","",Übersicht!$C$8)))</f>
        <v>Feiertag</v>
      </c>
    </row>
    <row r="1348" spans="1:4" x14ac:dyDescent="0.25">
      <c r="A1348" t="s">
        <v>70</v>
      </c>
      <c r="B1348" s="48">
        <v>43206</v>
      </c>
      <c r="C1348" t="s">
        <v>46</v>
      </c>
      <c r="D1348" t="str">
        <f>IF(COUNTIFS(Verweise!$A$2:$A$4542,Übersicht!$C$7,Verweise!$B$2:$B$4542,B1348)=1,"Feiertag",IF(C1348="Samstag","",IF(C1348="Sonntag","",Übersicht!$C$8)))</f>
        <v>Feiertag</v>
      </c>
    </row>
    <row r="1349" spans="1:4" x14ac:dyDescent="0.25">
      <c r="A1349" t="s">
        <v>70</v>
      </c>
      <c r="B1349" s="48">
        <v>43207</v>
      </c>
      <c r="C1349" t="s">
        <v>47</v>
      </c>
      <c r="D1349" t="str">
        <f>IF(COUNTIFS(Verweise!$A$2:$A$4542,Übersicht!$C$7,Verweise!$B$2:$B$4542,B1349)=1,"Feiertag",IF(C1349="Samstag","",IF(C1349="Sonntag","",Übersicht!$C$8)))</f>
        <v>Feiertag</v>
      </c>
    </row>
    <row r="1350" spans="1:4" x14ac:dyDescent="0.25">
      <c r="A1350" t="s">
        <v>70</v>
      </c>
      <c r="B1350" s="48">
        <v>43220</v>
      </c>
      <c r="C1350" t="s">
        <v>48</v>
      </c>
      <c r="D1350" t="str">
        <f>IF(COUNTIFS(Verweise!$A$2:$A$4542,Übersicht!$C$7,Verweise!$B$2:$B$4542,B1350)=1,"Feiertag",IF(C1350="Samstag","",IF(C1350="Sonntag","",Übersicht!$C$8)))</f>
        <v>Feiertag</v>
      </c>
    </row>
    <row r="1351" spans="1:4" x14ac:dyDescent="0.25">
      <c r="A1351" t="s">
        <v>70</v>
      </c>
      <c r="B1351" s="48">
        <v>43245</v>
      </c>
      <c r="C1351" t="s">
        <v>49</v>
      </c>
      <c r="D1351" t="str">
        <f>IF(COUNTIFS(Verweise!$A$2:$A$4542,Übersicht!$C$7,Verweise!$B$2:$B$4542,B1351)=1,"Feiertag",IF(C1351="Samstag","",IF(C1351="Sonntag","",Übersicht!$C$8)))</f>
        <v>Feiertag</v>
      </c>
    </row>
    <row r="1352" spans="1:4" x14ac:dyDescent="0.25">
      <c r="A1352" t="s">
        <v>70</v>
      </c>
      <c r="B1352" s="48">
        <v>43255</v>
      </c>
      <c r="C1352" t="s">
        <v>50</v>
      </c>
      <c r="D1352" t="str">
        <f>IF(COUNTIFS(Verweise!$A$2:$A$4542,Übersicht!$C$7,Verweise!$B$2:$B$4542,B1352)=1,"Feiertag",IF(C1352="Samstag","",IF(C1352="Sonntag","",Übersicht!$C$8)))</f>
        <v>Feiertag</v>
      </c>
    </row>
    <row r="1353" spans="1:4" x14ac:dyDescent="0.25">
      <c r="A1353" t="s">
        <v>70</v>
      </c>
      <c r="B1353" s="48">
        <v>43256</v>
      </c>
      <c r="C1353" t="s">
        <v>51</v>
      </c>
      <c r="D1353" t="str">
        <f>IF(COUNTIFS(Verweise!$A$2:$A$4542,Übersicht!$C$7,Verweise!$B$2:$B$4542,B1353)=1,"Feiertag",IF(C1353="Samstag","",IF(C1353="Sonntag","",Übersicht!$C$8)))</f>
        <v>Feiertag</v>
      </c>
    </row>
    <row r="1354" spans="1:4" x14ac:dyDescent="0.25">
      <c r="A1354" t="s">
        <v>70</v>
      </c>
      <c r="B1354" s="48">
        <v>43266</v>
      </c>
      <c r="C1354" t="s">
        <v>52</v>
      </c>
      <c r="D1354" t="str">
        <f>IF(COUNTIFS(Verweise!$A$2:$A$4542,Übersicht!$C$7,Verweise!$B$2:$B$4542,B1354)=1,"Feiertag",IF(C1354="Samstag","",IF(C1354="Sonntag","",Übersicht!$C$8)))</f>
        <v>Feiertag</v>
      </c>
    </row>
    <row r="1355" spans="1:4" x14ac:dyDescent="0.25">
      <c r="A1355" t="s">
        <v>70</v>
      </c>
      <c r="B1355" s="48">
        <v>43326</v>
      </c>
      <c r="C1355" t="s">
        <v>59</v>
      </c>
      <c r="D1355" t="str">
        <f>IF(COUNTIFS(Verweise!$A$2:$A$4542,Übersicht!$C$7,Verweise!$B$2:$B$4542,B1355)=1,"Feiertag",IF(C1355="Samstag","",IF(C1355="Sonntag","",Übersicht!$C$8)))</f>
        <v>Büro</v>
      </c>
    </row>
    <row r="1356" spans="1:4" x14ac:dyDescent="0.25">
      <c r="A1356" t="s">
        <v>70</v>
      </c>
      <c r="B1356" s="48">
        <v>43375</v>
      </c>
      <c r="C1356" t="s">
        <v>53</v>
      </c>
      <c r="D1356" t="str">
        <f>IF(COUNTIFS(Verweise!$A$2:$A$4542,Übersicht!$C$7,Verweise!$B$2:$B$4542,B1356)=1,"Feiertag",IF(C1356="Samstag","",IF(C1356="Sonntag","",Übersicht!$C$8)))</f>
        <v>Feiertag</v>
      </c>
    </row>
    <row r="1357" spans="1:4" x14ac:dyDescent="0.25">
      <c r="A1357" t="s">
        <v>70</v>
      </c>
      <c r="B1357" s="48">
        <v>43404</v>
      </c>
      <c r="C1357" t="s">
        <v>54</v>
      </c>
      <c r="D1357" t="str">
        <f>IF(COUNTIFS(Verweise!$A$2:$A$4542,Übersicht!$C$7,Verweise!$B$2:$B$4542,B1357)=1,"Feiertag",IF(C1357="Samstag","",IF(C1357="Sonntag","",Übersicht!$C$8)))</f>
        <v>Feiertag</v>
      </c>
    </row>
    <row r="1358" spans="1:4" x14ac:dyDescent="0.25">
      <c r="A1358" t="s">
        <v>70</v>
      </c>
      <c r="B1358" s="48">
        <v>43458</v>
      </c>
      <c r="C1358" t="s">
        <v>55</v>
      </c>
      <c r="D1358" t="str">
        <f>IF(COUNTIFS(Verweise!$A$2:$A$4542,Übersicht!$C$7,Verweise!$B$2:$B$4542,B1358)=1,"Feiertag",IF(C1358="Samstag","",IF(C1358="Sonntag","",Übersicht!$C$8)))</f>
        <v>Feiertag</v>
      </c>
    </row>
    <row r="1359" spans="1:4" x14ac:dyDescent="0.25">
      <c r="A1359" t="s">
        <v>70</v>
      </c>
      <c r="B1359" s="48">
        <v>43459</v>
      </c>
      <c r="C1359" t="s">
        <v>56</v>
      </c>
      <c r="D1359" t="str">
        <f>IF(COUNTIFS(Verweise!$A$2:$A$4542,Übersicht!$C$7,Verweise!$B$2:$B$4542,B1359)=1,"Feiertag",IF(C1359="Samstag","",IF(C1359="Sonntag","",Übersicht!$C$8)))</f>
        <v>Feiertag</v>
      </c>
    </row>
    <row r="1360" spans="1:4" x14ac:dyDescent="0.25">
      <c r="A1360" t="s">
        <v>71</v>
      </c>
      <c r="B1360" s="48">
        <v>43100</v>
      </c>
      <c r="C1360" t="s">
        <v>43</v>
      </c>
      <c r="D1360" t="str">
        <f>IF(COUNTIFS(Verweise!$A$2:$A$4542,Übersicht!$C$7,Verweise!$B$2:$B$4542,B1360)=1,"Feiertag",IF(C1360="Samstag","",IF(C1360="Sonntag","",Übersicht!$C$8)))</f>
        <v>Feiertag</v>
      </c>
    </row>
    <row r="1361" spans="1:4" x14ac:dyDescent="0.25">
      <c r="A1361" t="s">
        <v>71</v>
      </c>
      <c r="B1361" s="48">
        <v>43204</v>
      </c>
      <c r="C1361" t="s">
        <v>45</v>
      </c>
      <c r="D1361" t="str">
        <f>IF(COUNTIFS(Verweise!$A$2:$A$4542,Übersicht!$C$7,Verweise!$B$2:$B$4542,B1361)=1,"Feiertag",IF(C1361="Samstag","",IF(C1361="Sonntag","",Übersicht!$C$8)))</f>
        <v>Feiertag</v>
      </c>
    </row>
    <row r="1362" spans="1:4" x14ac:dyDescent="0.25">
      <c r="A1362" t="s">
        <v>71</v>
      </c>
      <c r="B1362" s="48">
        <v>43206</v>
      </c>
      <c r="C1362" t="s">
        <v>46</v>
      </c>
      <c r="D1362" t="str">
        <f>IF(COUNTIFS(Verweise!$A$2:$A$4542,Übersicht!$C$7,Verweise!$B$2:$B$4542,B1362)=1,"Feiertag",IF(C1362="Samstag","",IF(C1362="Sonntag","",Übersicht!$C$8)))</f>
        <v>Feiertag</v>
      </c>
    </row>
    <row r="1363" spans="1:4" x14ac:dyDescent="0.25">
      <c r="A1363" t="s">
        <v>71</v>
      </c>
      <c r="B1363" s="48">
        <v>43207</v>
      </c>
      <c r="C1363" t="s">
        <v>47</v>
      </c>
      <c r="D1363" t="str">
        <f>IF(COUNTIFS(Verweise!$A$2:$A$4542,Übersicht!$C$7,Verweise!$B$2:$B$4542,B1363)=1,"Feiertag",IF(C1363="Samstag","",IF(C1363="Sonntag","",Übersicht!$C$8)))</f>
        <v>Feiertag</v>
      </c>
    </row>
    <row r="1364" spans="1:4" x14ac:dyDescent="0.25">
      <c r="A1364" t="s">
        <v>71</v>
      </c>
      <c r="B1364" s="48">
        <v>43220</v>
      </c>
      <c r="C1364" t="s">
        <v>48</v>
      </c>
      <c r="D1364" t="str">
        <f>IF(COUNTIFS(Verweise!$A$2:$A$4542,Übersicht!$C$7,Verweise!$B$2:$B$4542,B1364)=1,"Feiertag",IF(C1364="Samstag","",IF(C1364="Sonntag","",Übersicht!$C$8)))</f>
        <v>Feiertag</v>
      </c>
    </row>
    <row r="1365" spans="1:4" x14ac:dyDescent="0.25">
      <c r="A1365" t="s">
        <v>71</v>
      </c>
      <c r="B1365" s="48">
        <v>43245</v>
      </c>
      <c r="C1365" t="s">
        <v>49</v>
      </c>
      <c r="D1365" t="str">
        <f>IF(COUNTIFS(Verweise!$A$2:$A$4542,Übersicht!$C$7,Verweise!$B$2:$B$4542,B1365)=1,"Feiertag",IF(C1365="Samstag","",IF(C1365="Sonntag","",Übersicht!$C$8)))</f>
        <v>Feiertag</v>
      </c>
    </row>
    <row r="1366" spans="1:4" x14ac:dyDescent="0.25">
      <c r="A1366" t="s">
        <v>71</v>
      </c>
      <c r="B1366" s="48">
        <v>43255</v>
      </c>
      <c r="C1366" t="s">
        <v>50</v>
      </c>
      <c r="D1366" t="str">
        <f>IF(COUNTIFS(Verweise!$A$2:$A$4542,Übersicht!$C$7,Verweise!$B$2:$B$4542,B1366)=1,"Feiertag",IF(C1366="Samstag","",IF(C1366="Sonntag","",Übersicht!$C$8)))</f>
        <v>Feiertag</v>
      </c>
    </row>
    <row r="1367" spans="1:4" x14ac:dyDescent="0.25">
      <c r="A1367" t="s">
        <v>71</v>
      </c>
      <c r="B1367" s="48">
        <v>43256</v>
      </c>
      <c r="C1367" t="s">
        <v>51</v>
      </c>
      <c r="D1367" t="str">
        <f>IF(COUNTIFS(Verweise!$A$2:$A$4542,Übersicht!$C$7,Verweise!$B$2:$B$4542,B1367)=1,"Feiertag",IF(C1367="Samstag","",IF(C1367="Sonntag","",Übersicht!$C$8)))</f>
        <v>Feiertag</v>
      </c>
    </row>
    <row r="1368" spans="1:4" x14ac:dyDescent="0.25">
      <c r="A1368" t="s">
        <v>71</v>
      </c>
      <c r="B1368" s="48">
        <v>43375</v>
      </c>
      <c r="C1368" t="s">
        <v>53</v>
      </c>
      <c r="D1368" t="str">
        <f>IF(COUNTIFS(Verweise!$A$2:$A$4542,Übersicht!$C$7,Verweise!$B$2:$B$4542,B1368)=1,"Feiertag",IF(C1368="Samstag","",IF(C1368="Sonntag","",Übersicht!$C$8)))</f>
        <v>Feiertag</v>
      </c>
    </row>
    <row r="1369" spans="1:4" x14ac:dyDescent="0.25">
      <c r="A1369" t="s">
        <v>71</v>
      </c>
      <c r="B1369" s="48">
        <v>43403</v>
      </c>
      <c r="C1369" t="s">
        <v>62</v>
      </c>
      <c r="D1369" t="str">
        <f>IF(COUNTIFS(Verweise!$A$2:$A$4542,Übersicht!$C$7,Verweise!$B$2:$B$4542,B1369)=1,"Feiertag",IF(C1369="Samstag","",IF(C1369="Sonntag","",Übersicht!$C$8)))</f>
        <v>Büro</v>
      </c>
    </row>
    <row r="1370" spans="1:4" x14ac:dyDescent="0.25">
      <c r="A1370" t="s">
        <v>71</v>
      </c>
      <c r="B1370" s="48">
        <v>43419</v>
      </c>
      <c r="C1370" t="s">
        <v>72</v>
      </c>
      <c r="D1370" t="str">
        <f>IF(COUNTIFS(Verweise!$A$2:$A$4542,Übersicht!$C$7,Verweise!$B$2:$B$4542,B1370)=1,"Feiertag",IF(C1370="Samstag","",IF(C1370="Sonntag","",Übersicht!$C$8)))</f>
        <v>Büro</v>
      </c>
    </row>
    <row r="1371" spans="1:4" x14ac:dyDescent="0.25">
      <c r="A1371" t="s">
        <v>71</v>
      </c>
      <c r="B1371" s="48">
        <v>43458</v>
      </c>
      <c r="C1371" t="s">
        <v>55</v>
      </c>
      <c r="D1371" t="str">
        <f>IF(COUNTIFS(Verweise!$A$2:$A$4542,Übersicht!$C$7,Verweise!$B$2:$B$4542,B1371)=1,"Feiertag",IF(C1371="Samstag","",IF(C1371="Sonntag","",Übersicht!$C$8)))</f>
        <v>Feiertag</v>
      </c>
    </row>
    <row r="1372" spans="1:4" x14ac:dyDescent="0.25">
      <c r="A1372" t="s">
        <v>71</v>
      </c>
      <c r="B1372" s="48">
        <v>43459</v>
      </c>
      <c r="C1372" t="s">
        <v>56</v>
      </c>
      <c r="D1372" t="str">
        <f>IF(COUNTIFS(Verweise!$A$2:$A$4542,Übersicht!$C$7,Verweise!$B$2:$B$4542,B1372)=1,"Feiertag",IF(C1372="Samstag","",IF(C1372="Sonntag","",Übersicht!$C$8)))</f>
        <v>Feiertag</v>
      </c>
    </row>
    <row r="1373" spans="1:4" x14ac:dyDescent="0.25">
      <c r="A1373" t="s">
        <v>73</v>
      </c>
      <c r="B1373" s="48">
        <v>43100</v>
      </c>
      <c r="C1373" t="s">
        <v>43</v>
      </c>
      <c r="D1373" t="str">
        <f>IF(COUNTIFS(Verweise!$A$2:$A$4542,Übersicht!$C$7,Verweise!$B$2:$B$4542,B1373)=1,"Feiertag",IF(C1373="Samstag","",IF(C1373="Sonntag","",Übersicht!$C$8)))</f>
        <v>Feiertag</v>
      </c>
    </row>
    <row r="1374" spans="1:4" x14ac:dyDescent="0.25">
      <c r="A1374" t="s">
        <v>73</v>
      </c>
      <c r="B1374" s="48">
        <v>43204</v>
      </c>
      <c r="C1374" t="s">
        <v>45</v>
      </c>
      <c r="D1374" t="str">
        <f>IF(COUNTIFS(Verweise!$A$2:$A$4542,Übersicht!$C$7,Verweise!$B$2:$B$4542,B1374)=1,"Feiertag",IF(C1374="Samstag","",IF(C1374="Sonntag","",Übersicht!$C$8)))</f>
        <v>Feiertag</v>
      </c>
    </row>
    <row r="1375" spans="1:4" x14ac:dyDescent="0.25">
      <c r="A1375" t="s">
        <v>73</v>
      </c>
      <c r="B1375" s="48">
        <v>43206</v>
      </c>
      <c r="C1375" t="s">
        <v>46</v>
      </c>
      <c r="D1375" t="str">
        <f>IF(COUNTIFS(Verweise!$A$2:$A$4542,Übersicht!$C$7,Verweise!$B$2:$B$4542,B1375)=1,"Feiertag",IF(C1375="Samstag","",IF(C1375="Sonntag","",Übersicht!$C$8)))</f>
        <v>Feiertag</v>
      </c>
    </row>
    <row r="1376" spans="1:4" x14ac:dyDescent="0.25">
      <c r="A1376" t="s">
        <v>73</v>
      </c>
      <c r="B1376" s="48">
        <v>43207</v>
      </c>
      <c r="C1376" t="s">
        <v>47</v>
      </c>
      <c r="D1376" t="str">
        <f>IF(COUNTIFS(Verweise!$A$2:$A$4542,Übersicht!$C$7,Verweise!$B$2:$B$4542,B1376)=1,"Feiertag",IF(C1376="Samstag","",IF(C1376="Sonntag","",Übersicht!$C$8)))</f>
        <v>Feiertag</v>
      </c>
    </row>
    <row r="1377" spans="1:4" x14ac:dyDescent="0.25">
      <c r="A1377" t="s">
        <v>73</v>
      </c>
      <c r="B1377" s="48">
        <v>43220</v>
      </c>
      <c r="C1377" t="s">
        <v>48</v>
      </c>
      <c r="D1377" t="str">
        <f>IF(COUNTIFS(Verweise!$A$2:$A$4542,Übersicht!$C$7,Verweise!$B$2:$B$4542,B1377)=1,"Feiertag",IF(C1377="Samstag","",IF(C1377="Sonntag","",Übersicht!$C$8)))</f>
        <v>Feiertag</v>
      </c>
    </row>
    <row r="1378" spans="1:4" x14ac:dyDescent="0.25">
      <c r="A1378" t="s">
        <v>73</v>
      </c>
      <c r="B1378" s="48">
        <v>43245</v>
      </c>
      <c r="C1378" t="s">
        <v>49</v>
      </c>
      <c r="D1378" t="str">
        <f>IF(COUNTIFS(Verweise!$A$2:$A$4542,Übersicht!$C$7,Verweise!$B$2:$B$4542,B1378)=1,"Feiertag",IF(C1378="Samstag","",IF(C1378="Sonntag","",Übersicht!$C$8)))</f>
        <v>Feiertag</v>
      </c>
    </row>
    <row r="1379" spans="1:4" x14ac:dyDescent="0.25">
      <c r="A1379" t="s">
        <v>73</v>
      </c>
      <c r="B1379" s="48">
        <v>43255</v>
      </c>
      <c r="C1379" t="s">
        <v>50</v>
      </c>
      <c r="D1379" t="str">
        <f>IF(COUNTIFS(Verweise!$A$2:$A$4542,Übersicht!$C$7,Verweise!$B$2:$B$4542,B1379)=1,"Feiertag",IF(C1379="Samstag","",IF(C1379="Sonntag","",Übersicht!$C$8)))</f>
        <v>Feiertag</v>
      </c>
    </row>
    <row r="1380" spans="1:4" x14ac:dyDescent="0.25">
      <c r="A1380" t="s">
        <v>73</v>
      </c>
      <c r="B1380" s="48">
        <v>43256</v>
      </c>
      <c r="C1380" t="s">
        <v>51</v>
      </c>
      <c r="D1380" t="str">
        <f>IF(COUNTIFS(Verweise!$A$2:$A$4542,Übersicht!$C$7,Verweise!$B$2:$B$4542,B1380)=1,"Feiertag",IF(C1380="Samstag","",IF(C1380="Sonntag","",Übersicht!$C$8)))</f>
        <v>Feiertag</v>
      </c>
    </row>
    <row r="1381" spans="1:4" x14ac:dyDescent="0.25">
      <c r="A1381" t="s">
        <v>73</v>
      </c>
      <c r="B1381" s="48">
        <v>43266</v>
      </c>
      <c r="C1381" t="s">
        <v>52</v>
      </c>
      <c r="D1381" t="str">
        <f>IF(COUNTIFS(Verweise!$A$2:$A$4542,Übersicht!$C$7,Verweise!$B$2:$B$4542,B1381)=1,"Feiertag",IF(C1381="Samstag","",IF(C1381="Sonntag","",Übersicht!$C$8)))</f>
        <v>Feiertag</v>
      </c>
    </row>
    <row r="1382" spans="1:4" x14ac:dyDescent="0.25">
      <c r="A1382" t="s">
        <v>73</v>
      </c>
      <c r="B1382" s="48">
        <v>43375</v>
      </c>
      <c r="C1382" t="s">
        <v>53</v>
      </c>
      <c r="D1382" t="str">
        <f>IF(COUNTIFS(Verweise!$A$2:$A$4542,Übersicht!$C$7,Verweise!$B$2:$B$4542,B1382)=1,"Feiertag",IF(C1382="Samstag","",IF(C1382="Sonntag","",Übersicht!$C$8)))</f>
        <v>Feiertag</v>
      </c>
    </row>
    <row r="1383" spans="1:4" x14ac:dyDescent="0.25">
      <c r="A1383" t="s">
        <v>73</v>
      </c>
      <c r="B1383" s="48">
        <v>43403</v>
      </c>
      <c r="C1383" t="s">
        <v>62</v>
      </c>
      <c r="D1383" t="str">
        <f>IF(COUNTIFS(Verweise!$A$2:$A$4542,Übersicht!$C$7,Verweise!$B$2:$B$4542,B1383)=1,"Feiertag",IF(C1383="Samstag","",IF(C1383="Sonntag","",Übersicht!$C$8)))</f>
        <v>Büro</v>
      </c>
    </row>
    <row r="1384" spans="1:4" x14ac:dyDescent="0.25">
      <c r="A1384" t="s">
        <v>73</v>
      </c>
      <c r="B1384" s="48">
        <v>43419</v>
      </c>
      <c r="C1384" t="s">
        <v>72</v>
      </c>
      <c r="D1384" t="str">
        <f>IF(COUNTIFS(Verweise!$A$2:$A$4542,Übersicht!$C$7,Verweise!$B$2:$B$4542,B1384)=1,"Feiertag",IF(C1384="Samstag","",IF(C1384="Sonntag","",Übersicht!$C$8)))</f>
        <v>Büro</v>
      </c>
    </row>
    <row r="1385" spans="1:4" x14ac:dyDescent="0.25">
      <c r="A1385" t="s">
        <v>73</v>
      </c>
      <c r="B1385" s="48">
        <v>43458</v>
      </c>
      <c r="C1385" t="s">
        <v>55</v>
      </c>
      <c r="D1385" t="str">
        <f>IF(COUNTIFS(Verweise!$A$2:$A$4542,Übersicht!$C$7,Verweise!$B$2:$B$4542,B1385)=1,"Feiertag",IF(C1385="Samstag","",IF(C1385="Sonntag","",Übersicht!$C$8)))</f>
        <v>Feiertag</v>
      </c>
    </row>
    <row r="1386" spans="1:4" x14ac:dyDescent="0.25">
      <c r="A1386" t="s">
        <v>73</v>
      </c>
      <c r="B1386" s="48">
        <v>43459</v>
      </c>
      <c r="C1386" t="s">
        <v>56</v>
      </c>
      <c r="D1386" t="str">
        <f>IF(COUNTIFS(Verweise!$A$2:$A$4542,Übersicht!$C$7,Verweise!$B$2:$B$4542,B1386)=1,"Feiertag",IF(C1386="Samstag","",IF(C1386="Sonntag","",Übersicht!$C$8)))</f>
        <v>Feiertag</v>
      </c>
    </row>
    <row r="1387" spans="1:4" x14ac:dyDescent="0.25">
      <c r="A1387" t="s">
        <v>74</v>
      </c>
      <c r="B1387" s="48">
        <v>43100</v>
      </c>
      <c r="C1387" t="s">
        <v>43</v>
      </c>
      <c r="D1387" t="str">
        <f>IF(COUNTIFS(Verweise!$A$2:$A$4542,Übersicht!$C$7,Verweise!$B$2:$B$4542,B1387)=1,"Feiertag",IF(C1387="Samstag","",IF(C1387="Sonntag","",Übersicht!$C$8)))</f>
        <v>Feiertag</v>
      </c>
    </row>
    <row r="1388" spans="1:4" x14ac:dyDescent="0.25">
      <c r="A1388" t="s">
        <v>74</v>
      </c>
      <c r="B1388" s="48">
        <v>43105</v>
      </c>
      <c r="C1388" t="s">
        <v>44</v>
      </c>
      <c r="D1388" t="str">
        <f>IF(COUNTIFS(Verweise!$A$2:$A$4542,Übersicht!$C$7,Verweise!$B$2:$B$4542,B1388)=1,"Feiertag",IF(C1388="Samstag","",IF(C1388="Sonntag","",Übersicht!$C$8)))</f>
        <v>Büro</v>
      </c>
    </row>
    <row r="1389" spans="1:4" x14ac:dyDescent="0.25">
      <c r="A1389" t="s">
        <v>74</v>
      </c>
      <c r="B1389" s="48">
        <v>43204</v>
      </c>
      <c r="C1389" t="s">
        <v>45</v>
      </c>
      <c r="D1389" t="str">
        <f>IF(COUNTIFS(Verweise!$A$2:$A$4542,Übersicht!$C$7,Verweise!$B$2:$B$4542,B1389)=1,"Feiertag",IF(C1389="Samstag","",IF(C1389="Sonntag","",Übersicht!$C$8)))</f>
        <v>Feiertag</v>
      </c>
    </row>
    <row r="1390" spans="1:4" x14ac:dyDescent="0.25">
      <c r="A1390" t="s">
        <v>74</v>
      </c>
      <c r="B1390" s="48">
        <v>43206</v>
      </c>
      <c r="C1390" t="s">
        <v>46</v>
      </c>
      <c r="D1390" t="str">
        <f>IF(COUNTIFS(Verweise!$A$2:$A$4542,Übersicht!$C$7,Verweise!$B$2:$B$4542,B1390)=1,"Feiertag",IF(C1390="Samstag","",IF(C1390="Sonntag","",Übersicht!$C$8)))</f>
        <v>Feiertag</v>
      </c>
    </row>
    <row r="1391" spans="1:4" x14ac:dyDescent="0.25">
      <c r="A1391" t="s">
        <v>74</v>
      </c>
      <c r="B1391" s="48">
        <v>43207</v>
      </c>
      <c r="C1391" t="s">
        <v>47</v>
      </c>
      <c r="D1391" t="str">
        <f>IF(COUNTIFS(Verweise!$A$2:$A$4542,Übersicht!$C$7,Verweise!$B$2:$B$4542,B1391)=1,"Feiertag",IF(C1391="Samstag","",IF(C1391="Sonntag","",Übersicht!$C$8)))</f>
        <v>Feiertag</v>
      </c>
    </row>
    <row r="1392" spans="1:4" x14ac:dyDescent="0.25">
      <c r="A1392" t="s">
        <v>74</v>
      </c>
      <c r="B1392" s="48">
        <v>43220</v>
      </c>
      <c r="C1392" t="s">
        <v>48</v>
      </c>
      <c r="D1392" t="str">
        <f>IF(COUNTIFS(Verweise!$A$2:$A$4542,Übersicht!$C$7,Verweise!$B$2:$B$4542,B1392)=1,"Feiertag",IF(C1392="Samstag","",IF(C1392="Sonntag","",Übersicht!$C$8)))</f>
        <v>Feiertag</v>
      </c>
    </row>
    <row r="1393" spans="1:4" x14ac:dyDescent="0.25">
      <c r="A1393" t="s">
        <v>74</v>
      </c>
      <c r="B1393" s="48">
        <v>43245</v>
      </c>
      <c r="C1393" t="s">
        <v>49</v>
      </c>
      <c r="D1393" t="str">
        <f>IF(COUNTIFS(Verweise!$A$2:$A$4542,Übersicht!$C$7,Verweise!$B$2:$B$4542,B1393)=1,"Feiertag",IF(C1393="Samstag","",IF(C1393="Sonntag","",Übersicht!$C$8)))</f>
        <v>Feiertag</v>
      </c>
    </row>
    <row r="1394" spans="1:4" x14ac:dyDescent="0.25">
      <c r="A1394" t="s">
        <v>74</v>
      </c>
      <c r="B1394" s="48">
        <v>43255</v>
      </c>
      <c r="C1394" t="s">
        <v>50</v>
      </c>
      <c r="D1394" t="str">
        <f>IF(COUNTIFS(Verweise!$A$2:$A$4542,Übersicht!$C$7,Verweise!$B$2:$B$4542,B1394)=1,"Feiertag",IF(C1394="Samstag","",IF(C1394="Sonntag","",Übersicht!$C$8)))</f>
        <v>Feiertag</v>
      </c>
    </row>
    <row r="1395" spans="1:4" x14ac:dyDescent="0.25">
      <c r="A1395" t="s">
        <v>74</v>
      </c>
      <c r="B1395" s="48">
        <v>43256</v>
      </c>
      <c r="C1395" t="s">
        <v>51</v>
      </c>
      <c r="D1395" t="str">
        <f>IF(COUNTIFS(Verweise!$A$2:$A$4542,Übersicht!$C$7,Verweise!$B$2:$B$4542,B1395)=1,"Feiertag",IF(C1395="Samstag","",IF(C1395="Sonntag","",Übersicht!$C$8)))</f>
        <v>Feiertag</v>
      </c>
    </row>
    <row r="1396" spans="1:4" x14ac:dyDescent="0.25">
      <c r="A1396" t="s">
        <v>74</v>
      </c>
      <c r="B1396" s="48">
        <v>43375</v>
      </c>
      <c r="C1396" t="s">
        <v>53</v>
      </c>
      <c r="D1396" t="str">
        <f>IF(COUNTIFS(Verweise!$A$2:$A$4542,Übersicht!$C$7,Verweise!$B$2:$B$4542,B1396)=1,"Feiertag",IF(C1396="Samstag","",IF(C1396="Sonntag","",Übersicht!$C$8)))</f>
        <v>Feiertag</v>
      </c>
    </row>
    <row r="1397" spans="1:4" x14ac:dyDescent="0.25">
      <c r="A1397" t="s">
        <v>74</v>
      </c>
      <c r="B1397" s="48">
        <v>43403</v>
      </c>
      <c r="C1397" t="s">
        <v>62</v>
      </c>
      <c r="D1397" t="str">
        <f>IF(COUNTIFS(Verweise!$A$2:$A$4542,Übersicht!$C$7,Verweise!$B$2:$B$4542,B1397)=1,"Feiertag",IF(C1397="Samstag","",IF(C1397="Sonntag","",Übersicht!$C$8)))</f>
        <v>Büro</v>
      </c>
    </row>
    <row r="1398" spans="1:4" x14ac:dyDescent="0.25">
      <c r="A1398" t="s">
        <v>74</v>
      </c>
      <c r="B1398" s="48">
        <v>43458</v>
      </c>
      <c r="C1398" t="s">
        <v>55</v>
      </c>
      <c r="D1398" t="str">
        <f>IF(COUNTIFS(Verweise!$A$2:$A$4542,Übersicht!$C$7,Verweise!$B$2:$B$4542,B1398)=1,"Feiertag",IF(C1398="Samstag","",IF(C1398="Sonntag","",Übersicht!$C$8)))</f>
        <v>Feiertag</v>
      </c>
    </row>
    <row r="1399" spans="1:4" x14ac:dyDescent="0.25">
      <c r="A1399" t="s">
        <v>74</v>
      </c>
      <c r="B1399" s="48">
        <v>43459</v>
      </c>
      <c r="C1399" t="s">
        <v>56</v>
      </c>
      <c r="D1399" t="str">
        <f>IF(COUNTIFS(Verweise!$A$2:$A$4542,Übersicht!$C$7,Verweise!$B$2:$B$4542,B1399)=1,"Feiertag",IF(C1399="Samstag","",IF(C1399="Sonntag","",Übersicht!$C$8)))</f>
        <v>Feiertag</v>
      </c>
    </row>
    <row r="1400" spans="1:4" x14ac:dyDescent="0.25">
      <c r="A1400" t="s">
        <v>75</v>
      </c>
      <c r="B1400" s="48">
        <v>43100</v>
      </c>
      <c r="C1400" t="s">
        <v>43</v>
      </c>
      <c r="D1400" t="str">
        <f>IF(COUNTIFS(Verweise!$A$2:$A$4542,Übersicht!$C$7,Verweise!$B$2:$B$4542,B1400)=1,"Feiertag",IF(C1400="Samstag","",IF(C1400="Sonntag","",Übersicht!$C$8)))</f>
        <v>Feiertag</v>
      </c>
    </row>
    <row r="1401" spans="1:4" x14ac:dyDescent="0.25">
      <c r="A1401" t="s">
        <v>75</v>
      </c>
      <c r="B1401" s="48">
        <v>43204</v>
      </c>
      <c r="C1401" t="s">
        <v>45</v>
      </c>
      <c r="D1401" t="str">
        <f>IF(COUNTIFS(Verweise!$A$2:$A$4542,Übersicht!$C$7,Verweise!$B$2:$B$4542,B1401)=1,"Feiertag",IF(C1401="Samstag","",IF(C1401="Sonntag","",Übersicht!$C$8)))</f>
        <v>Feiertag</v>
      </c>
    </row>
    <row r="1402" spans="1:4" x14ac:dyDescent="0.25">
      <c r="A1402" t="s">
        <v>75</v>
      </c>
      <c r="B1402" s="48">
        <v>43206</v>
      </c>
      <c r="C1402" t="s">
        <v>46</v>
      </c>
      <c r="D1402" t="str">
        <f>IF(COUNTIFS(Verweise!$A$2:$A$4542,Übersicht!$C$7,Verweise!$B$2:$B$4542,B1402)=1,"Feiertag",IF(C1402="Samstag","",IF(C1402="Sonntag","",Übersicht!$C$8)))</f>
        <v>Feiertag</v>
      </c>
    </row>
    <row r="1403" spans="1:4" x14ac:dyDescent="0.25">
      <c r="A1403" t="s">
        <v>75</v>
      </c>
      <c r="B1403" s="48">
        <v>43207</v>
      </c>
      <c r="C1403" t="s">
        <v>47</v>
      </c>
      <c r="D1403" t="str">
        <f>IF(COUNTIFS(Verweise!$A$2:$A$4542,Übersicht!$C$7,Verweise!$B$2:$B$4542,B1403)=1,"Feiertag",IF(C1403="Samstag","",IF(C1403="Sonntag","",Übersicht!$C$8)))</f>
        <v>Feiertag</v>
      </c>
    </row>
    <row r="1404" spans="1:4" x14ac:dyDescent="0.25">
      <c r="A1404" t="s">
        <v>75</v>
      </c>
      <c r="B1404" s="48">
        <v>43220</v>
      </c>
      <c r="C1404" t="s">
        <v>48</v>
      </c>
      <c r="D1404" t="str">
        <f>IF(COUNTIFS(Verweise!$A$2:$A$4542,Übersicht!$C$7,Verweise!$B$2:$B$4542,B1404)=1,"Feiertag",IF(C1404="Samstag","",IF(C1404="Sonntag","",Übersicht!$C$8)))</f>
        <v>Feiertag</v>
      </c>
    </row>
    <row r="1405" spans="1:4" x14ac:dyDescent="0.25">
      <c r="A1405" t="s">
        <v>75</v>
      </c>
      <c r="B1405" s="48">
        <v>43245</v>
      </c>
      <c r="C1405" t="s">
        <v>49</v>
      </c>
      <c r="D1405" t="str">
        <f>IF(COUNTIFS(Verweise!$A$2:$A$4542,Übersicht!$C$7,Verweise!$B$2:$B$4542,B1405)=1,"Feiertag",IF(C1405="Samstag","",IF(C1405="Sonntag","",Übersicht!$C$8)))</f>
        <v>Feiertag</v>
      </c>
    </row>
    <row r="1406" spans="1:4" x14ac:dyDescent="0.25">
      <c r="A1406" t="s">
        <v>75</v>
      </c>
      <c r="B1406" s="48">
        <v>43255</v>
      </c>
      <c r="C1406" t="s">
        <v>50</v>
      </c>
      <c r="D1406" t="str">
        <f>IF(COUNTIFS(Verweise!$A$2:$A$4542,Übersicht!$C$7,Verweise!$B$2:$B$4542,B1406)=1,"Feiertag",IF(C1406="Samstag","",IF(C1406="Sonntag","",Übersicht!$C$8)))</f>
        <v>Feiertag</v>
      </c>
    </row>
    <row r="1407" spans="1:4" x14ac:dyDescent="0.25">
      <c r="A1407" t="s">
        <v>75</v>
      </c>
      <c r="B1407" s="48">
        <v>43256</v>
      </c>
      <c r="C1407" t="s">
        <v>51</v>
      </c>
      <c r="D1407" t="str">
        <f>IF(COUNTIFS(Verweise!$A$2:$A$4542,Übersicht!$C$7,Verweise!$B$2:$B$4542,B1407)=1,"Feiertag",IF(C1407="Samstag","",IF(C1407="Sonntag","",Übersicht!$C$8)))</f>
        <v>Feiertag</v>
      </c>
    </row>
    <row r="1408" spans="1:4" x14ac:dyDescent="0.25">
      <c r="A1408" t="s">
        <v>75</v>
      </c>
      <c r="B1408" s="48">
        <v>43375</v>
      </c>
      <c r="C1408" t="s">
        <v>53</v>
      </c>
      <c r="D1408" t="str">
        <f>IF(COUNTIFS(Verweise!$A$2:$A$4542,Übersicht!$C$7,Verweise!$B$2:$B$4542,B1408)=1,"Feiertag",IF(C1408="Samstag","",IF(C1408="Sonntag","",Übersicht!$C$8)))</f>
        <v>Feiertag</v>
      </c>
    </row>
    <row r="1409" spans="1:4" x14ac:dyDescent="0.25">
      <c r="A1409" t="s">
        <v>75</v>
      </c>
      <c r="B1409" s="48">
        <v>43458</v>
      </c>
      <c r="C1409" t="s">
        <v>55</v>
      </c>
      <c r="D1409" t="str">
        <f>IF(COUNTIFS(Verweise!$A$2:$A$4542,Übersicht!$C$7,Verweise!$B$2:$B$4542,B1409)=1,"Feiertag",IF(C1409="Samstag","",IF(C1409="Sonntag","",Übersicht!$C$8)))</f>
        <v>Feiertag</v>
      </c>
    </row>
    <row r="1410" spans="1:4" x14ac:dyDescent="0.25">
      <c r="A1410" t="s">
        <v>75</v>
      </c>
      <c r="B1410" s="48">
        <v>43459</v>
      </c>
      <c r="C1410" t="s">
        <v>56</v>
      </c>
      <c r="D1410" t="str">
        <f>IF(COUNTIFS(Verweise!$A$2:$A$4542,Übersicht!$C$7,Verweise!$B$2:$B$4542,B1410)=1,"Feiertag",IF(C1410="Samstag","",IF(C1410="Sonntag","",Übersicht!$C$8)))</f>
        <v>Feiertag</v>
      </c>
    </row>
    <row r="1411" spans="1:4" x14ac:dyDescent="0.25">
      <c r="A1411" t="s">
        <v>76</v>
      </c>
      <c r="B1411" s="48">
        <v>43100</v>
      </c>
      <c r="C1411" t="s">
        <v>43</v>
      </c>
      <c r="D1411" t="str">
        <f>IF(COUNTIFS(Verweise!$A$2:$A$4542,Übersicht!$C$7,Verweise!$B$2:$B$4542,B1411)=1,"Feiertag",IF(C1411="Samstag","",IF(C1411="Sonntag","",Übersicht!$C$8)))</f>
        <v>Feiertag</v>
      </c>
    </row>
    <row r="1412" spans="1:4" x14ac:dyDescent="0.25">
      <c r="A1412" t="s">
        <v>76</v>
      </c>
      <c r="B1412" s="48">
        <v>43204</v>
      </c>
      <c r="C1412" t="s">
        <v>45</v>
      </c>
      <c r="D1412" t="str">
        <f>IF(COUNTIFS(Verweise!$A$2:$A$4542,Übersicht!$C$7,Verweise!$B$2:$B$4542,B1412)=1,"Feiertag",IF(C1412="Samstag","",IF(C1412="Sonntag","",Übersicht!$C$8)))</f>
        <v>Feiertag</v>
      </c>
    </row>
    <row r="1413" spans="1:4" x14ac:dyDescent="0.25">
      <c r="A1413" t="s">
        <v>76</v>
      </c>
      <c r="B1413" s="48">
        <v>43206</v>
      </c>
      <c r="C1413" t="s">
        <v>46</v>
      </c>
      <c r="D1413" t="str">
        <f>IF(COUNTIFS(Verweise!$A$2:$A$4542,Übersicht!$C$7,Verweise!$B$2:$B$4542,B1413)=1,"Feiertag",IF(C1413="Samstag","",IF(C1413="Sonntag","",Übersicht!$C$8)))</f>
        <v>Feiertag</v>
      </c>
    </row>
    <row r="1414" spans="1:4" x14ac:dyDescent="0.25">
      <c r="A1414" t="s">
        <v>76</v>
      </c>
      <c r="B1414" s="48">
        <v>43207</v>
      </c>
      <c r="C1414" t="s">
        <v>47</v>
      </c>
      <c r="D1414" t="str">
        <f>IF(COUNTIFS(Verweise!$A$2:$A$4542,Übersicht!$C$7,Verweise!$B$2:$B$4542,B1414)=1,"Feiertag",IF(C1414="Samstag","",IF(C1414="Sonntag","",Übersicht!$C$8)))</f>
        <v>Feiertag</v>
      </c>
    </row>
    <row r="1415" spans="1:4" x14ac:dyDescent="0.25">
      <c r="A1415" t="s">
        <v>76</v>
      </c>
      <c r="B1415" s="48">
        <v>43220</v>
      </c>
      <c r="C1415" t="s">
        <v>48</v>
      </c>
      <c r="D1415" t="str">
        <f>IF(COUNTIFS(Verweise!$A$2:$A$4542,Übersicht!$C$7,Verweise!$B$2:$B$4542,B1415)=1,"Feiertag",IF(C1415="Samstag","",IF(C1415="Sonntag","",Übersicht!$C$8)))</f>
        <v>Feiertag</v>
      </c>
    </row>
    <row r="1416" spans="1:4" x14ac:dyDescent="0.25">
      <c r="A1416" t="s">
        <v>76</v>
      </c>
      <c r="B1416" s="48">
        <v>43245</v>
      </c>
      <c r="C1416" t="s">
        <v>49</v>
      </c>
      <c r="D1416" t="str">
        <f>IF(COUNTIFS(Verweise!$A$2:$A$4542,Übersicht!$C$7,Verweise!$B$2:$B$4542,B1416)=1,"Feiertag",IF(C1416="Samstag","",IF(C1416="Sonntag","",Übersicht!$C$8)))</f>
        <v>Feiertag</v>
      </c>
    </row>
    <row r="1417" spans="1:4" x14ac:dyDescent="0.25">
      <c r="A1417" t="s">
        <v>76</v>
      </c>
      <c r="B1417" s="48">
        <v>43255</v>
      </c>
      <c r="C1417" t="s">
        <v>50</v>
      </c>
      <c r="D1417" t="str">
        <f>IF(COUNTIFS(Verweise!$A$2:$A$4542,Übersicht!$C$7,Verweise!$B$2:$B$4542,B1417)=1,"Feiertag",IF(C1417="Samstag","",IF(C1417="Sonntag","",Übersicht!$C$8)))</f>
        <v>Feiertag</v>
      </c>
    </row>
    <row r="1418" spans="1:4" x14ac:dyDescent="0.25">
      <c r="A1418" t="s">
        <v>76</v>
      </c>
      <c r="B1418" s="48">
        <v>43256</v>
      </c>
      <c r="C1418" t="s">
        <v>51</v>
      </c>
      <c r="D1418" t="str">
        <f>IF(COUNTIFS(Verweise!$A$2:$A$4542,Übersicht!$C$7,Verweise!$B$2:$B$4542,B1418)=1,"Feiertag",IF(C1418="Samstag","",IF(C1418="Sonntag","",Übersicht!$C$8)))</f>
        <v>Feiertag</v>
      </c>
    </row>
    <row r="1419" spans="1:4" x14ac:dyDescent="0.25">
      <c r="A1419" t="s">
        <v>76</v>
      </c>
      <c r="B1419" s="48">
        <v>43375</v>
      </c>
      <c r="C1419" t="s">
        <v>53</v>
      </c>
      <c r="D1419" t="str">
        <f>IF(COUNTIFS(Verweise!$A$2:$A$4542,Übersicht!$C$7,Verweise!$B$2:$B$4542,B1419)=1,"Feiertag",IF(C1419="Samstag","",IF(C1419="Sonntag","",Übersicht!$C$8)))</f>
        <v>Feiertag</v>
      </c>
    </row>
    <row r="1420" spans="1:4" x14ac:dyDescent="0.25">
      <c r="A1420" t="s">
        <v>76</v>
      </c>
      <c r="B1420" s="48">
        <v>43403</v>
      </c>
      <c r="C1420" t="s">
        <v>62</v>
      </c>
      <c r="D1420" t="str">
        <f>IF(COUNTIFS(Verweise!$A$2:$A$4542,Übersicht!$C$7,Verweise!$B$2:$B$4542,B1420)=1,"Feiertag",IF(C1420="Samstag","",IF(C1420="Sonntag","",Übersicht!$C$8)))</f>
        <v>Büro</v>
      </c>
    </row>
    <row r="1421" spans="1:4" x14ac:dyDescent="0.25">
      <c r="A1421" t="s">
        <v>76</v>
      </c>
      <c r="B1421" s="48">
        <v>43458</v>
      </c>
      <c r="C1421" t="s">
        <v>55</v>
      </c>
      <c r="D1421" t="str">
        <f>IF(COUNTIFS(Verweise!$A$2:$A$4542,Übersicht!$C$7,Verweise!$B$2:$B$4542,B1421)=1,"Feiertag",IF(C1421="Samstag","",IF(C1421="Sonntag","",Übersicht!$C$8)))</f>
        <v>Feiertag</v>
      </c>
    </row>
    <row r="1422" spans="1:4" x14ac:dyDescent="0.25">
      <c r="A1422" t="s">
        <v>76</v>
      </c>
      <c r="B1422" s="48">
        <v>43459</v>
      </c>
      <c r="C1422" t="s">
        <v>56</v>
      </c>
      <c r="D1422" t="str">
        <f>IF(COUNTIFS(Verweise!$A$2:$A$4542,Übersicht!$C$7,Verweise!$B$2:$B$4542,B1422)=1,"Feiertag",IF(C1422="Samstag","",IF(C1422="Sonntag","",Übersicht!$C$8)))</f>
        <v>Feiertag</v>
      </c>
    </row>
    <row r="1423" spans="1:4" x14ac:dyDescent="0.25">
      <c r="A1423" t="s">
        <v>77</v>
      </c>
      <c r="B1423" s="48">
        <v>43100</v>
      </c>
      <c r="C1423" t="s">
        <v>43</v>
      </c>
      <c r="D1423" t="str">
        <f>IF(COUNTIFS(Verweise!$A$2:$A$4542,Übersicht!$C$7,Verweise!$B$2:$B$4542,B1423)=1,"Feiertag",IF(C1423="Samstag","",IF(C1423="Sonntag","",Übersicht!$C$8)))</f>
        <v>Feiertag</v>
      </c>
    </row>
    <row r="1424" spans="1:4" x14ac:dyDescent="0.25">
      <c r="A1424" t="s">
        <v>77</v>
      </c>
      <c r="B1424" s="48">
        <v>43204</v>
      </c>
      <c r="C1424" t="s">
        <v>45</v>
      </c>
      <c r="D1424" t="str">
        <f>IF(COUNTIFS(Verweise!$A$2:$A$4542,Übersicht!$C$7,Verweise!$B$2:$B$4542,B1424)=1,"Feiertag",IF(C1424="Samstag","",IF(C1424="Sonntag","",Übersicht!$C$8)))</f>
        <v>Feiertag</v>
      </c>
    </row>
    <row r="1425" spans="1:4" x14ac:dyDescent="0.25">
      <c r="A1425" t="s">
        <v>77</v>
      </c>
      <c r="B1425" s="48">
        <v>43206</v>
      </c>
      <c r="C1425" t="s">
        <v>46</v>
      </c>
      <c r="D1425" t="str">
        <f>IF(COUNTIFS(Verweise!$A$2:$A$4542,Übersicht!$C$7,Verweise!$B$2:$B$4542,B1425)=1,"Feiertag",IF(C1425="Samstag","",IF(C1425="Sonntag","",Übersicht!$C$8)))</f>
        <v>Feiertag</v>
      </c>
    </row>
    <row r="1426" spans="1:4" x14ac:dyDescent="0.25">
      <c r="A1426" t="s">
        <v>77</v>
      </c>
      <c r="B1426" s="48">
        <v>43207</v>
      </c>
      <c r="C1426" t="s">
        <v>47</v>
      </c>
      <c r="D1426" t="str">
        <f>IF(COUNTIFS(Verweise!$A$2:$A$4542,Übersicht!$C$7,Verweise!$B$2:$B$4542,B1426)=1,"Feiertag",IF(C1426="Samstag","",IF(C1426="Sonntag","",Übersicht!$C$8)))</f>
        <v>Feiertag</v>
      </c>
    </row>
    <row r="1427" spans="1:4" x14ac:dyDescent="0.25">
      <c r="A1427" t="s">
        <v>77</v>
      </c>
      <c r="B1427" s="48">
        <v>43220</v>
      </c>
      <c r="C1427" t="s">
        <v>48</v>
      </c>
      <c r="D1427" t="str">
        <f>IF(COUNTIFS(Verweise!$A$2:$A$4542,Übersicht!$C$7,Verweise!$B$2:$B$4542,B1427)=1,"Feiertag",IF(C1427="Samstag","",IF(C1427="Sonntag","",Übersicht!$C$8)))</f>
        <v>Feiertag</v>
      </c>
    </row>
    <row r="1428" spans="1:4" x14ac:dyDescent="0.25">
      <c r="A1428" t="s">
        <v>77</v>
      </c>
      <c r="B1428" s="48">
        <v>43245</v>
      </c>
      <c r="C1428" t="s">
        <v>49</v>
      </c>
      <c r="D1428" t="str">
        <f>IF(COUNTIFS(Verweise!$A$2:$A$4542,Übersicht!$C$7,Verweise!$B$2:$B$4542,B1428)=1,"Feiertag",IF(C1428="Samstag","",IF(C1428="Sonntag","",Übersicht!$C$8)))</f>
        <v>Feiertag</v>
      </c>
    </row>
    <row r="1429" spans="1:4" x14ac:dyDescent="0.25">
      <c r="A1429" t="s">
        <v>77</v>
      </c>
      <c r="B1429" s="48">
        <v>43255</v>
      </c>
      <c r="C1429" t="s">
        <v>50</v>
      </c>
      <c r="D1429" t="str">
        <f>IF(COUNTIFS(Verweise!$A$2:$A$4542,Übersicht!$C$7,Verweise!$B$2:$B$4542,B1429)=1,"Feiertag",IF(C1429="Samstag","",IF(C1429="Sonntag","",Übersicht!$C$8)))</f>
        <v>Feiertag</v>
      </c>
    </row>
    <row r="1430" spans="1:4" x14ac:dyDescent="0.25">
      <c r="A1430" t="s">
        <v>77</v>
      </c>
      <c r="B1430" s="48">
        <v>43256</v>
      </c>
      <c r="C1430" t="s">
        <v>51</v>
      </c>
      <c r="D1430" t="str">
        <f>IF(COUNTIFS(Verweise!$A$2:$A$4542,Übersicht!$C$7,Verweise!$B$2:$B$4542,B1430)=1,"Feiertag",IF(C1430="Samstag","",IF(C1430="Sonntag","",Übersicht!$C$8)))</f>
        <v>Feiertag</v>
      </c>
    </row>
    <row r="1431" spans="1:4" x14ac:dyDescent="0.25">
      <c r="A1431" t="s">
        <v>77</v>
      </c>
      <c r="B1431" s="48">
        <v>43266</v>
      </c>
      <c r="C1431" t="s">
        <v>52</v>
      </c>
      <c r="D1431" t="str">
        <f>IF(COUNTIFS(Verweise!$A$2:$A$4542,Übersicht!$C$7,Verweise!$B$2:$B$4542,B1431)=1,"Feiertag",IF(C1431="Samstag","",IF(C1431="Sonntag","",Übersicht!$C$8)))</f>
        <v>Feiertag</v>
      </c>
    </row>
    <row r="1432" spans="1:4" x14ac:dyDescent="0.25">
      <c r="A1432" t="s">
        <v>77</v>
      </c>
      <c r="B1432" s="48">
        <v>43375</v>
      </c>
      <c r="C1432" t="s">
        <v>53</v>
      </c>
      <c r="D1432" t="str">
        <f>IF(COUNTIFS(Verweise!$A$2:$A$4542,Übersicht!$C$7,Verweise!$B$2:$B$4542,B1432)=1,"Feiertag",IF(C1432="Samstag","",IF(C1432="Sonntag","",Übersicht!$C$8)))</f>
        <v>Feiertag</v>
      </c>
    </row>
    <row r="1433" spans="1:4" x14ac:dyDescent="0.25">
      <c r="A1433" t="s">
        <v>77</v>
      </c>
      <c r="B1433" s="48">
        <v>43403</v>
      </c>
      <c r="C1433" t="s">
        <v>62</v>
      </c>
      <c r="D1433" t="str">
        <f>IF(COUNTIFS(Verweise!$A$2:$A$4542,Übersicht!$C$7,Verweise!$B$2:$B$4542,B1433)=1,"Feiertag",IF(C1433="Samstag","",IF(C1433="Sonntag","",Übersicht!$C$8)))</f>
        <v>Büro</v>
      </c>
    </row>
    <row r="1434" spans="1:4" x14ac:dyDescent="0.25">
      <c r="A1434" t="s">
        <v>77</v>
      </c>
      <c r="B1434" s="48">
        <v>43458</v>
      </c>
      <c r="C1434" t="s">
        <v>55</v>
      </c>
      <c r="D1434" t="str">
        <f>IF(COUNTIFS(Verweise!$A$2:$A$4542,Übersicht!$C$7,Verweise!$B$2:$B$4542,B1434)=1,"Feiertag",IF(C1434="Samstag","",IF(C1434="Sonntag","",Übersicht!$C$8)))</f>
        <v>Feiertag</v>
      </c>
    </row>
    <row r="1435" spans="1:4" x14ac:dyDescent="0.25">
      <c r="A1435" t="s">
        <v>77</v>
      </c>
      <c r="B1435" s="48">
        <v>43459</v>
      </c>
      <c r="C1435" t="s">
        <v>56</v>
      </c>
      <c r="D1435" t="str">
        <f>IF(COUNTIFS(Verweise!$A$2:$A$4542,Übersicht!$C$7,Verweise!$B$2:$B$4542,B1435)=1,"Feiertag",IF(C1435="Samstag","",IF(C1435="Sonntag","",Übersicht!$C$8)))</f>
        <v>Feiertag</v>
      </c>
    </row>
    <row r="1436" spans="1:4" x14ac:dyDescent="0.25">
      <c r="A1436" t="s">
        <v>42</v>
      </c>
      <c r="B1436" s="48">
        <v>43465</v>
      </c>
      <c r="C1436" t="s">
        <v>43</v>
      </c>
      <c r="D1436" t="str">
        <f>IF(COUNTIFS(Verweise!$A$2:$A$4542,Übersicht!$C$7,Verweise!$B$2:$B$4542,B1436)=1,"Feiertag",IF(C1436="Samstag","",IF(C1436="Sonntag","",Übersicht!$C$8)))</f>
        <v>Feiertag</v>
      </c>
    </row>
    <row r="1437" spans="1:4" x14ac:dyDescent="0.25">
      <c r="A1437" t="s">
        <v>42</v>
      </c>
      <c r="B1437" s="48">
        <v>43470</v>
      </c>
      <c r="C1437" t="s">
        <v>44</v>
      </c>
      <c r="D1437" t="str">
        <f>IF(COUNTIFS(Verweise!$A$2:$A$4542,Übersicht!$C$7,Verweise!$B$2:$B$4542,B1437)=1,"Feiertag",IF(C1437="Samstag","",IF(C1437="Sonntag","",Übersicht!$C$8)))</f>
        <v>Büro</v>
      </c>
    </row>
    <row r="1438" spans="1:4" x14ac:dyDescent="0.25">
      <c r="A1438" t="s">
        <v>42</v>
      </c>
      <c r="B1438" s="48">
        <v>43561</v>
      </c>
      <c r="C1438" t="s">
        <v>45</v>
      </c>
      <c r="D1438" t="str">
        <f>IF(COUNTIFS(Verweise!$A$2:$A$4542,Übersicht!$C$7,Verweise!$B$2:$B$4542,B1438)=1,"Feiertag",IF(C1438="Samstag","",IF(C1438="Sonntag","",Übersicht!$C$8)))</f>
        <v>Feiertag</v>
      </c>
    </row>
    <row r="1439" spans="1:4" x14ac:dyDescent="0.25">
      <c r="A1439" t="s">
        <v>42</v>
      </c>
      <c r="B1439" s="48">
        <v>43563</v>
      </c>
      <c r="C1439" t="s">
        <v>46</v>
      </c>
      <c r="D1439" t="str">
        <f>IF(COUNTIFS(Verweise!$A$2:$A$4542,Übersicht!$C$7,Verweise!$B$2:$B$4542,B1439)=1,"Feiertag",IF(C1439="Samstag","",IF(C1439="Sonntag","",Übersicht!$C$8)))</f>
        <v>Feiertag</v>
      </c>
    </row>
    <row r="1440" spans="1:4" x14ac:dyDescent="0.25">
      <c r="A1440" t="s">
        <v>42</v>
      </c>
      <c r="B1440" s="48">
        <v>43564</v>
      </c>
      <c r="C1440" t="s">
        <v>47</v>
      </c>
      <c r="D1440" t="str">
        <f>IF(COUNTIFS(Verweise!$A$2:$A$4542,Übersicht!$C$7,Verweise!$B$2:$B$4542,B1440)=1,"Feiertag",IF(C1440="Samstag","",IF(C1440="Sonntag","",Übersicht!$C$8)))</f>
        <v>Feiertag</v>
      </c>
    </row>
    <row r="1441" spans="1:4" x14ac:dyDescent="0.25">
      <c r="A1441" t="s">
        <v>42</v>
      </c>
      <c r="B1441" s="48">
        <v>43585</v>
      </c>
      <c r="C1441" t="s">
        <v>48</v>
      </c>
      <c r="D1441" t="str">
        <f>IF(COUNTIFS(Verweise!$A$2:$A$4542,Übersicht!$C$7,Verweise!$B$2:$B$4542,B1441)=1,"Feiertag",IF(C1441="Samstag","",IF(C1441="Sonntag","",Übersicht!$C$8)))</f>
        <v>Feiertag</v>
      </c>
    </row>
    <row r="1442" spans="1:4" x14ac:dyDescent="0.25">
      <c r="A1442" t="s">
        <v>42</v>
      </c>
      <c r="B1442" s="48">
        <v>43602</v>
      </c>
      <c r="C1442" t="s">
        <v>49</v>
      </c>
      <c r="D1442" t="str">
        <f>IF(COUNTIFS(Verweise!$A$2:$A$4542,Übersicht!$C$7,Verweise!$B$2:$B$4542,B1442)=1,"Feiertag",IF(C1442="Samstag","",IF(C1442="Sonntag","",Übersicht!$C$8)))</f>
        <v>Feiertag</v>
      </c>
    </row>
    <row r="1443" spans="1:4" x14ac:dyDescent="0.25">
      <c r="A1443" t="s">
        <v>42</v>
      </c>
      <c r="B1443" s="48">
        <v>43612</v>
      </c>
      <c r="C1443" t="s">
        <v>50</v>
      </c>
      <c r="D1443" t="str">
        <f>IF(COUNTIFS(Verweise!$A$2:$A$4542,Übersicht!$C$7,Verweise!$B$2:$B$4542,B1443)=1,"Feiertag",IF(C1443="Samstag","",IF(C1443="Sonntag","",Übersicht!$C$8)))</f>
        <v>Feiertag</v>
      </c>
    </row>
    <row r="1444" spans="1:4" x14ac:dyDescent="0.25">
      <c r="A1444" t="s">
        <v>42</v>
      </c>
      <c r="B1444" s="48">
        <v>43613</v>
      </c>
      <c r="C1444" t="s">
        <v>51</v>
      </c>
      <c r="D1444" t="str">
        <f>IF(COUNTIFS(Verweise!$A$2:$A$4542,Übersicht!$C$7,Verweise!$B$2:$B$4542,B1444)=1,"Feiertag",IF(C1444="Samstag","",IF(C1444="Sonntag","",Übersicht!$C$8)))</f>
        <v>Feiertag</v>
      </c>
    </row>
    <row r="1445" spans="1:4" x14ac:dyDescent="0.25">
      <c r="A1445" t="s">
        <v>42</v>
      </c>
      <c r="B1445" s="48">
        <v>43623</v>
      </c>
      <c r="C1445" t="s">
        <v>52</v>
      </c>
      <c r="D1445" t="str">
        <f>IF(COUNTIFS(Verweise!$A$2:$A$4542,Übersicht!$C$7,Verweise!$B$2:$B$4542,B1445)=1,"Feiertag",IF(C1445="Samstag","",IF(C1445="Sonntag","",Übersicht!$C$8)))</f>
        <v>Feiertag</v>
      </c>
    </row>
    <row r="1446" spans="1:4" x14ac:dyDescent="0.25">
      <c r="A1446" t="s">
        <v>42</v>
      </c>
      <c r="B1446" s="48">
        <v>43740</v>
      </c>
      <c r="C1446" t="s">
        <v>53</v>
      </c>
      <c r="D1446" t="str">
        <f>IF(COUNTIFS(Verweise!$A$2:$A$4542,Übersicht!$C$7,Verweise!$B$2:$B$4542,B1446)=1,"Feiertag",IF(C1446="Samstag","",IF(C1446="Sonntag","",Übersicht!$C$8)))</f>
        <v>Feiertag</v>
      </c>
    </row>
    <row r="1447" spans="1:4" x14ac:dyDescent="0.25">
      <c r="A1447" t="s">
        <v>42</v>
      </c>
      <c r="B1447" s="48">
        <v>43769</v>
      </c>
      <c r="C1447" t="s">
        <v>54</v>
      </c>
      <c r="D1447" t="str">
        <f>IF(COUNTIFS(Verweise!$A$2:$A$4542,Übersicht!$C$7,Verweise!$B$2:$B$4542,B1447)=1,"Feiertag",IF(C1447="Samstag","",IF(C1447="Sonntag","",Übersicht!$C$8)))</f>
        <v>Feiertag</v>
      </c>
    </row>
    <row r="1448" spans="1:4" x14ac:dyDescent="0.25">
      <c r="A1448" t="s">
        <v>42</v>
      </c>
      <c r="B1448" s="48">
        <v>43823</v>
      </c>
      <c r="C1448" t="s">
        <v>55</v>
      </c>
      <c r="D1448" t="str">
        <f>IF(COUNTIFS(Verweise!$A$2:$A$4542,Übersicht!$C$7,Verweise!$B$2:$B$4542,B1448)=1,"Feiertag",IF(C1448="Samstag","",IF(C1448="Sonntag","",Übersicht!$C$8)))</f>
        <v>Feiertag</v>
      </c>
    </row>
    <row r="1449" spans="1:4" x14ac:dyDescent="0.25">
      <c r="A1449" t="s">
        <v>42</v>
      </c>
      <c r="B1449" s="48">
        <v>43824</v>
      </c>
      <c r="C1449" t="s">
        <v>56</v>
      </c>
      <c r="D1449" t="str">
        <f>IF(COUNTIFS(Verweise!$A$2:$A$4542,Übersicht!$C$7,Verweise!$B$2:$B$4542,B1449)=1,"Feiertag",IF(C1449="Samstag","",IF(C1449="Sonntag","",Übersicht!$C$8)))</f>
        <v>Feiertag</v>
      </c>
    </row>
    <row r="1450" spans="1:4" x14ac:dyDescent="0.25">
      <c r="A1450" t="s">
        <v>57</v>
      </c>
      <c r="B1450" s="48">
        <v>43465</v>
      </c>
      <c r="C1450" t="s">
        <v>43</v>
      </c>
      <c r="D1450" t="str">
        <f>IF(COUNTIFS(Verweise!$A$2:$A$4542,Übersicht!$C$7,Verweise!$B$2:$B$4542,B1450)=1,"Feiertag",IF(C1450="Samstag","",IF(C1450="Sonntag","",Übersicht!$C$8)))</f>
        <v>Feiertag</v>
      </c>
    </row>
    <row r="1451" spans="1:4" x14ac:dyDescent="0.25">
      <c r="A1451" t="s">
        <v>57</v>
      </c>
      <c r="B1451" s="48">
        <v>43470</v>
      </c>
      <c r="C1451" t="s">
        <v>44</v>
      </c>
      <c r="D1451" t="str">
        <f>IF(COUNTIFS(Verweise!$A$2:$A$4542,Übersicht!$C$7,Verweise!$B$2:$B$4542,B1451)=1,"Feiertag",IF(C1451="Samstag","",IF(C1451="Sonntag","",Übersicht!$C$8)))</f>
        <v>Büro</v>
      </c>
    </row>
    <row r="1452" spans="1:4" x14ac:dyDescent="0.25">
      <c r="A1452" t="s">
        <v>57</v>
      </c>
      <c r="B1452" s="48">
        <v>43561</v>
      </c>
      <c r="C1452" t="s">
        <v>45</v>
      </c>
      <c r="D1452" t="str">
        <f>IF(COUNTIFS(Verweise!$A$2:$A$4542,Übersicht!$C$7,Verweise!$B$2:$B$4542,B1452)=1,"Feiertag",IF(C1452="Samstag","",IF(C1452="Sonntag","",Übersicht!$C$8)))</f>
        <v>Feiertag</v>
      </c>
    </row>
    <row r="1453" spans="1:4" x14ac:dyDescent="0.25">
      <c r="A1453" t="s">
        <v>57</v>
      </c>
      <c r="B1453" s="48">
        <v>43563</v>
      </c>
      <c r="C1453" t="s">
        <v>46</v>
      </c>
      <c r="D1453" t="str">
        <f>IF(COUNTIFS(Verweise!$A$2:$A$4542,Übersicht!$C$7,Verweise!$B$2:$B$4542,B1453)=1,"Feiertag",IF(C1453="Samstag","",IF(C1453="Sonntag","",Übersicht!$C$8)))</f>
        <v>Feiertag</v>
      </c>
    </row>
    <row r="1454" spans="1:4" x14ac:dyDescent="0.25">
      <c r="A1454" t="s">
        <v>57</v>
      </c>
      <c r="B1454" s="48">
        <v>43564</v>
      </c>
      <c r="C1454" t="s">
        <v>47</v>
      </c>
      <c r="D1454" t="str">
        <f>IF(COUNTIFS(Verweise!$A$2:$A$4542,Übersicht!$C$7,Verweise!$B$2:$B$4542,B1454)=1,"Feiertag",IF(C1454="Samstag","",IF(C1454="Sonntag","",Übersicht!$C$8)))</f>
        <v>Feiertag</v>
      </c>
    </row>
    <row r="1455" spans="1:4" x14ac:dyDescent="0.25">
      <c r="A1455" t="s">
        <v>57</v>
      </c>
      <c r="B1455" s="48">
        <v>43585</v>
      </c>
      <c r="C1455" t="s">
        <v>48</v>
      </c>
      <c r="D1455" t="str">
        <f>IF(COUNTIFS(Verweise!$A$2:$A$4542,Übersicht!$C$7,Verweise!$B$2:$B$4542,B1455)=1,"Feiertag",IF(C1455="Samstag","",IF(C1455="Sonntag","",Übersicht!$C$8)))</f>
        <v>Feiertag</v>
      </c>
    </row>
    <row r="1456" spans="1:4" x14ac:dyDescent="0.25">
      <c r="A1456" t="s">
        <v>57</v>
      </c>
      <c r="B1456" s="48">
        <v>43602</v>
      </c>
      <c r="C1456" t="s">
        <v>49</v>
      </c>
      <c r="D1456" t="str">
        <f>IF(COUNTIFS(Verweise!$A$2:$A$4542,Übersicht!$C$7,Verweise!$B$2:$B$4542,B1456)=1,"Feiertag",IF(C1456="Samstag","",IF(C1456="Sonntag","",Übersicht!$C$8)))</f>
        <v>Feiertag</v>
      </c>
    </row>
    <row r="1457" spans="1:4" x14ac:dyDescent="0.25">
      <c r="A1457" t="s">
        <v>57</v>
      </c>
      <c r="B1457" s="48">
        <v>43612</v>
      </c>
      <c r="C1457" t="s">
        <v>50</v>
      </c>
      <c r="D1457" t="str">
        <f>IF(COUNTIFS(Verweise!$A$2:$A$4542,Übersicht!$C$7,Verweise!$B$2:$B$4542,B1457)=1,"Feiertag",IF(C1457="Samstag","",IF(C1457="Sonntag","",Übersicht!$C$8)))</f>
        <v>Feiertag</v>
      </c>
    </row>
    <row r="1458" spans="1:4" x14ac:dyDescent="0.25">
      <c r="A1458" t="s">
        <v>57</v>
      </c>
      <c r="B1458" s="48">
        <v>43613</v>
      </c>
      <c r="C1458" t="s">
        <v>51</v>
      </c>
      <c r="D1458" t="str">
        <f>IF(COUNTIFS(Verweise!$A$2:$A$4542,Übersicht!$C$7,Verweise!$B$2:$B$4542,B1458)=1,"Feiertag",IF(C1458="Samstag","",IF(C1458="Sonntag","",Übersicht!$C$8)))</f>
        <v>Feiertag</v>
      </c>
    </row>
    <row r="1459" spans="1:4" x14ac:dyDescent="0.25">
      <c r="A1459" t="s">
        <v>57</v>
      </c>
      <c r="B1459" s="48">
        <v>43623</v>
      </c>
      <c r="C1459" t="s">
        <v>52</v>
      </c>
      <c r="D1459" t="str">
        <f>IF(COUNTIFS(Verweise!$A$2:$A$4542,Übersicht!$C$7,Verweise!$B$2:$B$4542,B1459)=1,"Feiertag",IF(C1459="Samstag","",IF(C1459="Sonntag","",Übersicht!$C$8)))</f>
        <v>Feiertag</v>
      </c>
    </row>
    <row r="1460" spans="1:4" x14ac:dyDescent="0.25">
      <c r="A1460" t="s">
        <v>57</v>
      </c>
      <c r="B1460" s="48">
        <v>43740</v>
      </c>
      <c r="C1460" t="s">
        <v>53</v>
      </c>
      <c r="D1460" t="str">
        <f>IF(COUNTIFS(Verweise!$A$2:$A$4542,Übersicht!$C$7,Verweise!$B$2:$B$4542,B1460)=1,"Feiertag",IF(C1460="Samstag","",IF(C1460="Sonntag","",Übersicht!$C$8)))</f>
        <v>Feiertag</v>
      </c>
    </row>
    <row r="1461" spans="1:4" x14ac:dyDescent="0.25">
      <c r="A1461" t="s">
        <v>57</v>
      </c>
      <c r="B1461" s="48">
        <v>43769</v>
      </c>
      <c r="C1461" t="s">
        <v>54</v>
      </c>
      <c r="D1461" t="str">
        <f>IF(COUNTIFS(Verweise!$A$2:$A$4542,Übersicht!$C$7,Verweise!$B$2:$B$4542,B1461)=1,"Feiertag",IF(C1461="Samstag","",IF(C1461="Sonntag","",Übersicht!$C$8)))</f>
        <v>Feiertag</v>
      </c>
    </row>
    <row r="1462" spans="1:4" x14ac:dyDescent="0.25">
      <c r="A1462" t="s">
        <v>57</v>
      </c>
      <c r="B1462" s="48">
        <v>43823</v>
      </c>
      <c r="C1462" t="s">
        <v>55</v>
      </c>
      <c r="D1462" t="str">
        <f>IF(COUNTIFS(Verweise!$A$2:$A$4542,Übersicht!$C$7,Verweise!$B$2:$B$4542,B1462)=1,"Feiertag",IF(C1462="Samstag","",IF(C1462="Sonntag","",Übersicht!$C$8)))</f>
        <v>Feiertag</v>
      </c>
    </row>
    <row r="1463" spans="1:4" x14ac:dyDescent="0.25">
      <c r="A1463" t="s">
        <v>57</v>
      </c>
      <c r="B1463" s="48">
        <v>43824</v>
      </c>
      <c r="C1463" t="s">
        <v>56</v>
      </c>
      <c r="D1463" t="str">
        <f>IF(COUNTIFS(Verweise!$A$2:$A$4542,Übersicht!$C$7,Verweise!$B$2:$B$4542,B1463)=1,"Feiertag",IF(C1463="Samstag","",IF(C1463="Sonntag","",Übersicht!$C$8)))</f>
        <v>Feiertag</v>
      </c>
    </row>
    <row r="1464" spans="1:4" x14ac:dyDescent="0.25">
      <c r="A1464" t="s">
        <v>58</v>
      </c>
      <c r="B1464" s="48">
        <v>43465</v>
      </c>
      <c r="C1464" t="s">
        <v>43</v>
      </c>
      <c r="D1464" t="str">
        <f>IF(COUNTIFS(Verweise!$A$2:$A$4542,Übersicht!$C$7,Verweise!$B$2:$B$4542,B1464)=1,"Feiertag",IF(C1464="Samstag","",IF(C1464="Sonntag","",Übersicht!$C$8)))</f>
        <v>Feiertag</v>
      </c>
    </row>
    <row r="1465" spans="1:4" x14ac:dyDescent="0.25">
      <c r="A1465" t="s">
        <v>58</v>
      </c>
      <c r="B1465" s="48">
        <v>43470</v>
      </c>
      <c r="C1465" t="s">
        <v>44</v>
      </c>
      <c r="D1465" t="str">
        <f>IF(COUNTIFS(Verweise!$A$2:$A$4542,Übersicht!$C$7,Verweise!$B$2:$B$4542,B1465)=1,"Feiertag",IF(C1465="Samstag","",IF(C1465="Sonntag","",Übersicht!$C$8)))</f>
        <v>Büro</v>
      </c>
    </row>
    <row r="1466" spans="1:4" x14ac:dyDescent="0.25">
      <c r="A1466" t="s">
        <v>58</v>
      </c>
      <c r="B1466" s="48">
        <v>43561</v>
      </c>
      <c r="C1466" t="s">
        <v>45</v>
      </c>
      <c r="D1466" t="str">
        <f>IF(COUNTIFS(Verweise!$A$2:$A$4542,Übersicht!$C$7,Verweise!$B$2:$B$4542,B1466)=1,"Feiertag",IF(C1466="Samstag","",IF(C1466="Sonntag","",Übersicht!$C$8)))</f>
        <v>Feiertag</v>
      </c>
    </row>
    <row r="1467" spans="1:4" x14ac:dyDescent="0.25">
      <c r="A1467" t="s">
        <v>58</v>
      </c>
      <c r="B1467" s="48">
        <v>43563</v>
      </c>
      <c r="C1467" t="s">
        <v>46</v>
      </c>
      <c r="D1467" t="str">
        <f>IF(COUNTIFS(Verweise!$A$2:$A$4542,Übersicht!$C$7,Verweise!$B$2:$B$4542,B1467)=1,"Feiertag",IF(C1467="Samstag","",IF(C1467="Sonntag","",Übersicht!$C$8)))</f>
        <v>Feiertag</v>
      </c>
    </row>
    <row r="1468" spans="1:4" x14ac:dyDescent="0.25">
      <c r="A1468" t="s">
        <v>58</v>
      </c>
      <c r="B1468" s="48">
        <v>43564</v>
      </c>
      <c r="C1468" t="s">
        <v>47</v>
      </c>
      <c r="D1468" t="str">
        <f>IF(COUNTIFS(Verweise!$A$2:$A$4542,Übersicht!$C$7,Verweise!$B$2:$B$4542,B1468)=1,"Feiertag",IF(C1468="Samstag","",IF(C1468="Sonntag","",Übersicht!$C$8)))</f>
        <v>Feiertag</v>
      </c>
    </row>
    <row r="1469" spans="1:4" x14ac:dyDescent="0.25">
      <c r="A1469" t="s">
        <v>58</v>
      </c>
      <c r="B1469" s="48">
        <v>43585</v>
      </c>
      <c r="C1469" t="s">
        <v>48</v>
      </c>
      <c r="D1469" t="str">
        <f>IF(COUNTIFS(Verweise!$A$2:$A$4542,Übersicht!$C$7,Verweise!$B$2:$B$4542,B1469)=1,"Feiertag",IF(C1469="Samstag","",IF(C1469="Sonntag","",Übersicht!$C$8)))</f>
        <v>Feiertag</v>
      </c>
    </row>
    <row r="1470" spans="1:4" x14ac:dyDescent="0.25">
      <c r="A1470" t="s">
        <v>58</v>
      </c>
      <c r="B1470" s="48">
        <v>43602</v>
      </c>
      <c r="C1470" t="s">
        <v>49</v>
      </c>
      <c r="D1470" t="str">
        <f>IF(COUNTIFS(Verweise!$A$2:$A$4542,Übersicht!$C$7,Verweise!$B$2:$B$4542,B1470)=1,"Feiertag",IF(C1470="Samstag","",IF(C1470="Sonntag","",Übersicht!$C$8)))</f>
        <v>Feiertag</v>
      </c>
    </row>
    <row r="1471" spans="1:4" x14ac:dyDescent="0.25">
      <c r="A1471" t="s">
        <v>58</v>
      </c>
      <c r="B1471" s="48">
        <v>43612</v>
      </c>
      <c r="C1471" t="s">
        <v>50</v>
      </c>
      <c r="D1471" t="str">
        <f>IF(COUNTIFS(Verweise!$A$2:$A$4542,Übersicht!$C$7,Verweise!$B$2:$B$4542,B1471)=1,"Feiertag",IF(C1471="Samstag","",IF(C1471="Sonntag","",Übersicht!$C$8)))</f>
        <v>Feiertag</v>
      </c>
    </row>
    <row r="1472" spans="1:4" x14ac:dyDescent="0.25">
      <c r="A1472" t="s">
        <v>58</v>
      </c>
      <c r="B1472" s="48">
        <v>43613</v>
      </c>
      <c r="C1472" t="s">
        <v>51</v>
      </c>
      <c r="D1472" t="str">
        <f>IF(COUNTIFS(Verweise!$A$2:$A$4542,Übersicht!$C$7,Verweise!$B$2:$B$4542,B1472)=1,"Feiertag",IF(C1472="Samstag","",IF(C1472="Sonntag","",Übersicht!$C$8)))</f>
        <v>Feiertag</v>
      </c>
    </row>
    <row r="1473" spans="1:4" x14ac:dyDescent="0.25">
      <c r="A1473" t="s">
        <v>58</v>
      </c>
      <c r="B1473" s="48">
        <v>43623</v>
      </c>
      <c r="C1473" t="s">
        <v>52</v>
      </c>
      <c r="D1473" t="str">
        <f>IF(COUNTIFS(Verweise!$A$2:$A$4542,Übersicht!$C$7,Verweise!$B$2:$B$4542,B1473)=1,"Feiertag",IF(C1473="Samstag","",IF(C1473="Sonntag","",Übersicht!$C$8)))</f>
        <v>Feiertag</v>
      </c>
    </row>
    <row r="1474" spans="1:4" x14ac:dyDescent="0.25">
      <c r="A1474" t="s">
        <v>58</v>
      </c>
      <c r="B1474" s="48">
        <v>43691</v>
      </c>
      <c r="C1474" t="s">
        <v>59</v>
      </c>
      <c r="D1474" t="str">
        <f>IF(COUNTIFS(Verweise!$A$2:$A$4542,Übersicht!$C$7,Verweise!$B$2:$B$4542,B1474)=1,"Feiertag",IF(C1474="Samstag","",IF(C1474="Sonntag","",Übersicht!$C$8)))</f>
        <v>Büro</v>
      </c>
    </row>
    <row r="1475" spans="1:4" x14ac:dyDescent="0.25">
      <c r="A1475" t="s">
        <v>58</v>
      </c>
      <c r="B1475" s="48">
        <v>43740</v>
      </c>
      <c r="C1475" t="s">
        <v>53</v>
      </c>
      <c r="D1475" t="str">
        <f>IF(COUNTIFS(Verweise!$A$2:$A$4542,Übersicht!$C$7,Verweise!$B$2:$B$4542,B1475)=1,"Feiertag",IF(C1475="Samstag","",IF(C1475="Sonntag","",Übersicht!$C$8)))</f>
        <v>Feiertag</v>
      </c>
    </row>
    <row r="1476" spans="1:4" x14ac:dyDescent="0.25">
      <c r="A1476" t="s">
        <v>58</v>
      </c>
      <c r="B1476" s="48">
        <v>43769</v>
      </c>
      <c r="C1476" t="s">
        <v>54</v>
      </c>
      <c r="D1476" t="str">
        <f>IF(COUNTIFS(Verweise!$A$2:$A$4542,Übersicht!$C$7,Verweise!$B$2:$B$4542,B1476)=1,"Feiertag",IF(C1476="Samstag","",IF(C1476="Sonntag","",Übersicht!$C$8)))</f>
        <v>Feiertag</v>
      </c>
    </row>
    <row r="1477" spans="1:4" x14ac:dyDescent="0.25">
      <c r="A1477" t="s">
        <v>58</v>
      </c>
      <c r="B1477" s="48">
        <v>43823</v>
      </c>
      <c r="C1477" t="s">
        <v>55</v>
      </c>
      <c r="D1477" t="str">
        <f>IF(COUNTIFS(Verweise!$A$2:$A$4542,Übersicht!$C$7,Verweise!$B$2:$B$4542,B1477)=1,"Feiertag",IF(C1477="Samstag","",IF(C1477="Sonntag","",Übersicht!$C$8)))</f>
        <v>Feiertag</v>
      </c>
    </row>
    <row r="1478" spans="1:4" x14ac:dyDescent="0.25">
      <c r="A1478" t="s">
        <v>58</v>
      </c>
      <c r="B1478" s="48">
        <v>43824</v>
      </c>
      <c r="C1478" t="s">
        <v>56</v>
      </c>
      <c r="D1478" t="str">
        <f>IF(COUNTIFS(Verweise!$A$2:$A$4542,Übersicht!$C$7,Verweise!$B$2:$B$4542,B1478)=1,"Feiertag",IF(C1478="Samstag","",IF(C1478="Sonntag","",Übersicht!$C$8)))</f>
        <v>Feiertag</v>
      </c>
    </row>
    <row r="1479" spans="1:4" x14ac:dyDescent="0.25">
      <c r="A1479" t="s">
        <v>60</v>
      </c>
      <c r="B1479" s="48">
        <v>43465</v>
      </c>
      <c r="C1479" t="s">
        <v>43</v>
      </c>
      <c r="D1479" t="str">
        <f>IF(COUNTIFS(Verweise!$A$2:$A$4542,Übersicht!$C$7,Verweise!$B$2:$B$4542,B1479)=1,"Feiertag",IF(C1479="Samstag","",IF(C1479="Sonntag","",Übersicht!$C$8)))</f>
        <v>Feiertag</v>
      </c>
    </row>
    <row r="1480" spans="1:4" x14ac:dyDescent="0.25">
      <c r="A1480" t="s">
        <v>60</v>
      </c>
      <c r="B1480" s="48">
        <v>43561</v>
      </c>
      <c r="C1480" t="s">
        <v>45</v>
      </c>
      <c r="D1480" t="str">
        <f>IF(COUNTIFS(Verweise!$A$2:$A$4542,Übersicht!$C$7,Verweise!$B$2:$B$4542,B1480)=1,"Feiertag",IF(C1480="Samstag","",IF(C1480="Sonntag","",Übersicht!$C$8)))</f>
        <v>Feiertag</v>
      </c>
    </row>
    <row r="1481" spans="1:4" x14ac:dyDescent="0.25">
      <c r="A1481" t="s">
        <v>60</v>
      </c>
      <c r="B1481" s="48">
        <v>43563</v>
      </c>
      <c r="C1481" t="s">
        <v>46</v>
      </c>
      <c r="D1481" t="str">
        <f>IF(COUNTIFS(Verweise!$A$2:$A$4542,Übersicht!$C$7,Verweise!$B$2:$B$4542,B1481)=1,"Feiertag",IF(C1481="Samstag","",IF(C1481="Sonntag","",Übersicht!$C$8)))</f>
        <v>Feiertag</v>
      </c>
    </row>
    <row r="1482" spans="1:4" x14ac:dyDescent="0.25">
      <c r="A1482" t="s">
        <v>60</v>
      </c>
      <c r="B1482" s="48">
        <v>43564</v>
      </c>
      <c r="C1482" t="s">
        <v>47</v>
      </c>
      <c r="D1482" t="str">
        <f>IF(COUNTIFS(Verweise!$A$2:$A$4542,Übersicht!$C$7,Verweise!$B$2:$B$4542,B1482)=1,"Feiertag",IF(C1482="Samstag","",IF(C1482="Sonntag","",Übersicht!$C$8)))</f>
        <v>Feiertag</v>
      </c>
    </row>
    <row r="1483" spans="1:4" x14ac:dyDescent="0.25">
      <c r="A1483" t="s">
        <v>60</v>
      </c>
      <c r="B1483" s="48">
        <v>43585</v>
      </c>
      <c r="C1483" t="s">
        <v>48</v>
      </c>
      <c r="D1483" t="str">
        <f>IF(COUNTIFS(Verweise!$A$2:$A$4542,Übersicht!$C$7,Verweise!$B$2:$B$4542,B1483)=1,"Feiertag",IF(C1483="Samstag","",IF(C1483="Sonntag","",Übersicht!$C$8)))</f>
        <v>Feiertag</v>
      </c>
    </row>
    <row r="1484" spans="1:4" x14ac:dyDescent="0.25">
      <c r="A1484" t="s">
        <v>60</v>
      </c>
      <c r="B1484" s="48">
        <v>43602</v>
      </c>
      <c r="C1484" t="s">
        <v>49</v>
      </c>
      <c r="D1484" t="str">
        <f>IF(COUNTIFS(Verweise!$A$2:$A$4542,Übersicht!$C$7,Verweise!$B$2:$B$4542,B1484)=1,"Feiertag",IF(C1484="Samstag","",IF(C1484="Sonntag","",Übersicht!$C$8)))</f>
        <v>Feiertag</v>
      </c>
    </row>
    <row r="1485" spans="1:4" x14ac:dyDescent="0.25">
      <c r="A1485" t="s">
        <v>60</v>
      </c>
      <c r="B1485" s="48">
        <v>43612</v>
      </c>
      <c r="C1485" t="s">
        <v>50</v>
      </c>
      <c r="D1485" t="str">
        <f>IF(COUNTIFS(Verweise!$A$2:$A$4542,Übersicht!$C$7,Verweise!$B$2:$B$4542,B1485)=1,"Feiertag",IF(C1485="Samstag","",IF(C1485="Sonntag","",Übersicht!$C$8)))</f>
        <v>Feiertag</v>
      </c>
    </row>
    <row r="1486" spans="1:4" x14ac:dyDescent="0.25">
      <c r="A1486" t="s">
        <v>60</v>
      </c>
      <c r="B1486" s="48">
        <v>43613</v>
      </c>
      <c r="C1486" t="s">
        <v>51</v>
      </c>
      <c r="D1486" t="str">
        <f>IF(COUNTIFS(Verweise!$A$2:$A$4542,Übersicht!$C$7,Verweise!$B$2:$B$4542,B1486)=1,"Feiertag",IF(C1486="Samstag","",IF(C1486="Sonntag","",Übersicht!$C$8)))</f>
        <v>Feiertag</v>
      </c>
    </row>
    <row r="1487" spans="1:4" x14ac:dyDescent="0.25">
      <c r="A1487" t="s">
        <v>60</v>
      </c>
      <c r="B1487" s="48">
        <v>43740</v>
      </c>
      <c r="C1487" t="s">
        <v>53</v>
      </c>
      <c r="D1487" t="str">
        <f>IF(COUNTIFS(Verweise!$A$2:$A$4542,Übersicht!$C$7,Verweise!$B$2:$B$4542,B1487)=1,"Feiertag",IF(C1487="Samstag","",IF(C1487="Sonntag","",Übersicht!$C$8)))</f>
        <v>Feiertag</v>
      </c>
    </row>
    <row r="1488" spans="1:4" x14ac:dyDescent="0.25">
      <c r="A1488" t="s">
        <v>60</v>
      </c>
      <c r="B1488" s="48">
        <v>43823</v>
      </c>
      <c r="C1488" t="s">
        <v>55</v>
      </c>
      <c r="D1488" t="str">
        <f>IF(COUNTIFS(Verweise!$A$2:$A$4542,Übersicht!$C$7,Verweise!$B$2:$B$4542,B1488)=1,"Feiertag",IF(C1488="Samstag","",IF(C1488="Sonntag","",Übersicht!$C$8)))</f>
        <v>Feiertag</v>
      </c>
    </row>
    <row r="1489" spans="1:4" x14ac:dyDescent="0.25">
      <c r="A1489" t="s">
        <v>60</v>
      </c>
      <c r="B1489" s="48">
        <v>43824</v>
      </c>
      <c r="C1489" t="s">
        <v>56</v>
      </c>
      <c r="D1489" t="str">
        <f>IF(COUNTIFS(Verweise!$A$2:$A$4542,Übersicht!$C$7,Verweise!$B$2:$B$4542,B1489)=1,"Feiertag",IF(C1489="Samstag","",IF(C1489="Sonntag","",Übersicht!$C$8)))</f>
        <v>Feiertag</v>
      </c>
    </row>
    <row r="1490" spans="1:4" x14ac:dyDescent="0.25">
      <c r="A1490" t="s">
        <v>61</v>
      </c>
      <c r="B1490" s="48">
        <v>43465</v>
      </c>
      <c r="C1490" t="s">
        <v>43</v>
      </c>
      <c r="D1490" t="str">
        <f>IF(COUNTIFS(Verweise!$A$2:$A$4542,Übersicht!$C$7,Verweise!$B$2:$B$4542,B1490)=1,"Feiertag",IF(C1490="Samstag","",IF(C1490="Sonntag","",Übersicht!$C$8)))</f>
        <v>Feiertag</v>
      </c>
    </row>
    <row r="1491" spans="1:4" x14ac:dyDescent="0.25">
      <c r="A1491" t="s">
        <v>61</v>
      </c>
      <c r="B1491" s="48">
        <v>43561</v>
      </c>
      <c r="C1491" t="s">
        <v>45</v>
      </c>
      <c r="D1491" t="str">
        <f>IF(COUNTIFS(Verweise!$A$2:$A$4542,Übersicht!$C$7,Verweise!$B$2:$B$4542,B1491)=1,"Feiertag",IF(C1491="Samstag","",IF(C1491="Sonntag","",Übersicht!$C$8)))</f>
        <v>Feiertag</v>
      </c>
    </row>
    <row r="1492" spans="1:4" x14ac:dyDescent="0.25">
      <c r="A1492" t="s">
        <v>61</v>
      </c>
      <c r="B1492" s="48">
        <v>43563</v>
      </c>
      <c r="C1492" t="s">
        <v>46</v>
      </c>
      <c r="D1492" t="str">
        <f>IF(COUNTIFS(Verweise!$A$2:$A$4542,Übersicht!$C$7,Verweise!$B$2:$B$4542,B1492)=1,"Feiertag",IF(C1492="Samstag","",IF(C1492="Sonntag","",Übersicht!$C$8)))</f>
        <v>Feiertag</v>
      </c>
    </row>
    <row r="1493" spans="1:4" x14ac:dyDescent="0.25">
      <c r="A1493" t="s">
        <v>61</v>
      </c>
      <c r="B1493" s="48">
        <v>43564</v>
      </c>
      <c r="C1493" t="s">
        <v>47</v>
      </c>
      <c r="D1493" t="str">
        <f>IF(COUNTIFS(Verweise!$A$2:$A$4542,Übersicht!$C$7,Verweise!$B$2:$B$4542,B1493)=1,"Feiertag",IF(C1493="Samstag","",IF(C1493="Sonntag","",Übersicht!$C$8)))</f>
        <v>Feiertag</v>
      </c>
    </row>
    <row r="1494" spans="1:4" x14ac:dyDescent="0.25">
      <c r="A1494" t="s">
        <v>61</v>
      </c>
      <c r="B1494" s="48">
        <v>43585</v>
      </c>
      <c r="C1494" t="s">
        <v>48</v>
      </c>
      <c r="D1494" t="str">
        <f>IF(COUNTIFS(Verweise!$A$2:$A$4542,Übersicht!$C$7,Verweise!$B$2:$B$4542,B1494)=1,"Feiertag",IF(C1494="Samstag","",IF(C1494="Sonntag","",Übersicht!$C$8)))</f>
        <v>Feiertag</v>
      </c>
    </row>
    <row r="1495" spans="1:4" x14ac:dyDescent="0.25">
      <c r="A1495" t="s">
        <v>61</v>
      </c>
      <c r="B1495" s="48">
        <v>43602</v>
      </c>
      <c r="C1495" t="s">
        <v>49</v>
      </c>
      <c r="D1495" t="str">
        <f>IF(COUNTIFS(Verweise!$A$2:$A$4542,Übersicht!$C$7,Verweise!$B$2:$B$4542,B1495)=1,"Feiertag",IF(C1495="Samstag","",IF(C1495="Sonntag","",Übersicht!$C$8)))</f>
        <v>Feiertag</v>
      </c>
    </row>
    <row r="1496" spans="1:4" x14ac:dyDescent="0.25">
      <c r="A1496" t="s">
        <v>61</v>
      </c>
      <c r="B1496" s="48">
        <v>43612</v>
      </c>
      <c r="C1496" t="s">
        <v>50</v>
      </c>
      <c r="D1496" t="str">
        <f>IF(COUNTIFS(Verweise!$A$2:$A$4542,Übersicht!$C$7,Verweise!$B$2:$B$4542,B1496)=1,"Feiertag",IF(C1496="Samstag","",IF(C1496="Sonntag","",Übersicht!$C$8)))</f>
        <v>Feiertag</v>
      </c>
    </row>
    <row r="1497" spans="1:4" x14ac:dyDescent="0.25">
      <c r="A1497" t="s">
        <v>61</v>
      </c>
      <c r="B1497" s="48">
        <v>43613</v>
      </c>
      <c r="C1497" t="s">
        <v>51</v>
      </c>
      <c r="D1497" t="str">
        <f>IF(COUNTIFS(Verweise!$A$2:$A$4542,Übersicht!$C$7,Verweise!$B$2:$B$4542,B1497)=1,"Feiertag",IF(C1497="Samstag","",IF(C1497="Sonntag","",Übersicht!$C$8)))</f>
        <v>Feiertag</v>
      </c>
    </row>
    <row r="1498" spans="1:4" x14ac:dyDescent="0.25">
      <c r="A1498" t="s">
        <v>61</v>
      </c>
      <c r="B1498" s="48">
        <v>43740</v>
      </c>
      <c r="C1498" t="s">
        <v>53</v>
      </c>
      <c r="D1498" t="str">
        <f>IF(COUNTIFS(Verweise!$A$2:$A$4542,Übersicht!$C$7,Verweise!$B$2:$B$4542,B1498)=1,"Feiertag",IF(C1498="Samstag","",IF(C1498="Sonntag","",Übersicht!$C$8)))</f>
        <v>Feiertag</v>
      </c>
    </row>
    <row r="1499" spans="1:4" x14ac:dyDescent="0.25">
      <c r="A1499" t="s">
        <v>61</v>
      </c>
      <c r="B1499" s="48">
        <v>43768</v>
      </c>
      <c r="C1499" t="s">
        <v>62</v>
      </c>
      <c r="D1499" t="str">
        <f>IF(COUNTIFS(Verweise!$A$2:$A$4542,Übersicht!$C$7,Verweise!$B$2:$B$4542,B1499)=1,"Feiertag",IF(C1499="Samstag","",IF(C1499="Sonntag","",Übersicht!$C$8)))</f>
        <v>Büro</v>
      </c>
    </row>
    <row r="1500" spans="1:4" x14ac:dyDescent="0.25">
      <c r="A1500" t="s">
        <v>61</v>
      </c>
      <c r="B1500" s="48">
        <v>43823</v>
      </c>
      <c r="C1500" t="s">
        <v>55</v>
      </c>
      <c r="D1500" t="str">
        <f>IF(COUNTIFS(Verweise!$A$2:$A$4542,Übersicht!$C$7,Verweise!$B$2:$B$4542,B1500)=1,"Feiertag",IF(C1500="Samstag","",IF(C1500="Sonntag","",Übersicht!$C$8)))</f>
        <v>Feiertag</v>
      </c>
    </row>
    <row r="1501" spans="1:4" x14ac:dyDescent="0.25">
      <c r="A1501" t="s">
        <v>61</v>
      </c>
      <c r="B1501" s="48">
        <v>43824</v>
      </c>
      <c r="C1501" t="s">
        <v>56</v>
      </c>
      <c r="D1501" t="str">
        <f>IF(COUNTIFS(Verweise!$A$2:$A$4542,Übersicht!$C$7,Verweise!$B$2:$B$4542,B1501)=1,"Feiertag",IF(C1501="Samstag","",IF(C1501="Sonntag","",Übersicht!$C$8)))</f>
        <v>Feiertag</v>
      </c>
    </row>
    <row r="1502" spans="1:4" x14ac:dyDescent="0.25">
      <c r="A1502" t="s">
        <v>63</v>
      </c>
      <c r="B1502" s="48">
        <v>43465</v>
      </c>
      <c r="C1502" t="s">
        <v>43</v>
      </c>
      <c r="D1502" t="str">
        <f>IF(COUNTIFS(Verweise!$A$2:$A$4542,Übersicht!$C$7,Verweise!$B$2:$B$4542,B1502)=1,"Feiertag",IF(C1502="Samstag","",IF(C1502="Sonntag","",Übersicht!$C$8)))</f>
        <v>Feiertag</v>
      </c>
    </row>
    <row r="1503" spans="1:4" x14ac:dyDescent="0.25">
      <c r="A1503" t="s">
        <v>63</v>
      </c>
      <c r="B1503" s="48">
        <v>43561</v>
      </c>
      <c r="C1503" t="s">
        <v>45</v>
      </c>
      <c r="D1503" t="str">
        <f>IF(COUNTIFS(Verweise!$A$2:$A$4542,Übersicht!$C$7,Verweise!$B$2:$B$4542,B1503)=1,"Feiertag",IF(C1503="Samstag","",IF(C1503="Sonntag","",Übersicht!$C$8)))</f>
        <v>Feiertag</v>
      </c>
    </row>
    <row r="1504" spans="1:4" x14ac:dyDescent="0.25">
      <c r="A1504" t="s">
        <v>63</v>
      </c>
      <c r="B1504" s="48">
        <v>43563</v>
      </c>
      <c r="C1504" t="s">
        <v>46</v>
      </c>
      <c r="D1504" t="str">
        <f>IF(COUNTIFS(Verweise!$A$2:$A$4542,Übersicht!$C$7,Verweise!$B$2:$B$4542,B1504)=1,"Feiertag",IF(C1504="Samstag","",IF(C1504="Sonntag","",Übersicht!$C$8)))</f>
        <v>Feiertag</v>
      </c>
    </row>
    <row r="1505" spans="1:4" x14ac:dyDescent="0.25">
      <c r="A1505" t="s">
        <v>63</v>
      </c>
      <c r="B1505" s="48">
        <v>43564</v>
      </c>
      <c r="C1505" t="s">
        <v>47</v>
      </c>
      <c r="D1505" t="str">
        <f>IF(COUNTIFS(Verweise!$A$2:$A$4542,Übersicht!$C$7,Verweise!$B$2:$B$4542,B1505)=1,"Feiertag",IF(C1505="Samstag","",IF(C1505="Sonntag","",Übersicht!$C$8)))</f>
        <v>Feiertag</v>
      </c>
    </row>
    <row r="1506" spans="1:4" x14ac:dyDescent="0.25">
      <c r="A1506" t="s">
        <v>63</v>
      </c>
      <c r="B1506" s="48">
        <v>43585</v>
      </c>
      <c r="C1506" t="s">
        <v>48</v>
      </c>
      <c r="D1506" t="str">
        <f>IF(COUNTIFS(Verweise!$A$2:$A$4542,Übersicht!$C$7,Verweise!$B$2:$B$4542,B1506)=1,"Feiertag",IF(C1506="Samstag","",IF(C1506="Sonntag","",Übersicht!$C$8)))</f>
        <v>Feiertag</v>
      </c>
    </row>
    <row r="1507" spans="1:4" x14ac:dyDescent="0.25">
      <c r="A1507" t="s">
        <v>63</v>
      </c>
      <c r="B1507" s="48">
        <v>43602</v>
      </c>
      <c r="C1507" t="s">
        <v>49</v>
      </c>
      <c r="D1507" t="str">
        <f>IF(COUNTIFS(Verweise!$A$2:$A$4542,Übersicht!$C$7,Verweise!$B$2:$B$4542,B1507)=1,"Feiertag",IF(C1507="Samstag","",IF(C1507="Sonntag","",Übersicht!$C$8)))</f>
        <v>Feiertag</v>
      </c>
    </row>
    <row r="1508" spans="1:4" x14ac:dyDescent="0.25">
      <c r="A1508" t="s">
        <v>63</v>
      </c>
      <c r="B1508" s="48">
        <v>43612</v>
      </c>
      <c r="C1508" t="s">
        <v>50</v>
      </c>
      <c r="D1508" t="str">
        <f>IF(COUNTIFS(Verweise!$A$2:$A$4542,Übersicht!$C$7,Verweise!$B$2:$B$4542,B1508)=1,"Feiertag",IF(C1508="Samstag","",IF(C1508="Sonntag","",Übersicht!$C$8)))</f>
        <v>Feiertag</v>
      </c>
    </row>
    <row r="1509" spans="1:4" x14ac:dyDescent="0.25">
      <c r="A1509" t="s">
        <v>63</v>
      </c>
      <c r="B1509" s="48">
        <v>43613</v>
      </c>
      <c r="C1509" t="s">
        <v>51</v>
      </c>
      <c r="D1509" t="str">
        <f>IF(COUNTIFS(Verweise!$A$2:$A$4542,Übersicht!$C$7,Verweise!$B$2:$B$4542,B1509)=1,"Feiertag",IF(C1509="Samstag","",IF(C1509="Sonntag","",Übersicht!$C$8)))</f>
        <v>Feiertag</v>
      </c>
    </row>
    <row r="1510" spans="1:4" x14ac:dyDescent="0.25">
      <c r="A1510" t="s">
        <v>63</v>
      </c>
      <c r="B1510" s="48">
        <v>43740</v>
      </c>
      <c r="C1510" t="s">
        <v>53</v>
      </c>
      <c r="D1510" t="str">
        <f>IF(COUNTIFS(Verweise!$A$2:$A$4542,Übersicht!$C$7,Verweise!$B$2:$B$4542,B1510)=1,"Feiertag",IF(C1510="Samstag","",IF(C1510="Sonntag","",Übersicht!$C$8)))</f>
        <v>Feiertag</v>
      </c>
    </row>
    <row r="1511" spans="1:4" x14ac:dyDescent="0.25">
      <c r="A1511" t="s">
        <v>63</v>
      </c>
      <c r="B1511" s="48">
        <v>43823</v>
      </c>
      <c r="C1511" t="s">
        <v>55</v>
      </c>
      <c r="D1511" t="str">
        <f>IF(COUNTIFS(Verweise!$A$2:$A$4542,Übersicht!$C$7,Verweise!$B$2:$B$4542,B1511)=1,"Feiertag",IF(C1511="Samstag","",IF(C1511="Sonntag","",Übersicht!$C$8)))</f>
        <v>Feiertag</v>
      </c>
    </row>
    <row r="1512" spans="1:4" x14ac:dyDescent="0.25">
      <c r="A1512" t="s">
        <v>63</v>
      </c>
      <c r="B1512" s="48">
        <v>43824</v>
      </c>
      <c r="C1512" t="s">
        <v>56</v>
      </c>
      <c r="D1512" t="str">
        <f>IF(COUNTIFS(Verweise!$A$2:$A$4542,Übersicht!$C$7,Verweise!$B$2:$B$4542,B1512)=1,"Feiertag",IF(C1512="Samstag","",IF(C1512="Sonntag","",Übersicht!$C$8)))</f>
        <v>Feiertag</v>
      </c>
    </row>
    <row r="1513" spans="1:4" x14ac:dyDescent="0.25">
      <c r="A1513" t="s">
        <v>64</v>
      </c>
      <c r="B1513" s="48">
        <v>43465</v>
      </c>
      <c r="C1513" t="s">
        <v>43</v>
      </c>
      <c r="D1513" t="str">
        <f>IF(COUNTIFS(Verweise!$A$2:$A$4542,Übersicht!$C$7,Verweise!$B$2:$B$4542,B1513)=1,"Feiertag",IF(C1513="Samstag","",IF(C1513="Sonntag","",Übersicht!$C$8)))</f>
        <v>Feiertag</v>
      </c>
    </row>
    <row r="1514" spans="1:4" x14ac:dyDescent="0.25">
      <c r="A1514" t="s">
        <v>64</v>
      </c>
      <c r="B1514" s="48">
        <v>43561</v>
      </c>
      <c r="C1514" t="s">
        <v>45</v>
      </c>
      <c r="D1514" t="str">
        <f>IF(COUNTIFS(Verweise!$A$2:$A$4542,Übersicht!$C$7,Verweise!$B$2:$B$4542,B1514)=1,"Feiertag",IF(C1514="Samstag","",IF(C1514="Sonntag","",Übersicht!$C$8)))</f>
        <v>Feiertag</v>
      </c>
    </row>
    <row r="1515" spans="1:4" x14ac:dyDescent="0.25">
      <c r="A1515" t="s">
        <v>64</v>
      </c>
      <c r="B1515" s="48">
        <v>43563</v>
      </c>
      <c r="C1515" t="s">
        <v>46</v>
      </c>
      <c r="D1515" t="str">
        <f>IF(COUNTIFS(Verweise!$A$2:$A$4542,Übersicht!$C$7,Verweise!$B$2:$B$4542,B1515)=1,"Feiertag",IF(C1515="Samstag","",IF(C1515="Sonntag","",Übersicht!$C$8)))</f>
        <v>Feiertag</v>
      </c>
    </row>
    <row r="1516" spans="1:4" x14ac:dyDescent="0.25">
      <c r="A1516" t="s">
        <v>64</v>
      </c>
      <c r="B1516" s="48">
        <v>43564</v>
      </c>
      <c r="C1516" t="s">
        <v>47</v>
      </c>
      <c r="D1516" t="str">
        <f>IF(COUNTIFS(Verweise!$A$2:$A$4542,Übersicht!$C$7,Verweise!$B$2:$B$4542,B1516)=1,"Feiertag",IF(C1516="Samstag","",IF(C1516="Sonntag","",Übersicht!$C$8)))</f>
        <v>Feiertag</v>
      </c>
    </row>
    <row r="1517" spans="1:4" x14ac:dyDescent="0.25">
      <c r="A1517" t="s">
        <v>64</v>
      </c>
      <c r="B1517" s="48">
        <v>43585</v>
      </c>
      <c r="C1517" t="s">
        <v>48</v>
      </c>
      <c r="D1517" t="str">
        <f>IF(COUNTIFS(Verweise!$A$2:$A$4542,Übersicht!$C$7,Verweise!$B$2:$B$4542,B1517)=1,"Feiertag",IF(C1517="Samstag","",IF(C1517="Sonntag","",Übersicht!$C$8)))</f>
        <v>Feiertag</v>
      </c>
    </row>
    <row r="1518" spans="1:4" x14ac:dyDescent="0.25">
      <c r="A1518" t="s">
        <v>64</v>
      </c>
      <c r="B1518" s="48">
        <v>43602</v>
      </c>
      <c r="C1518" t="s">
        <v>49</v>
      </c>
      <c r="D1518" t="str">
        <f>IF(COUNTIFS(Verweise!$A$2:$A$4542,Übersicht!$C$7,Verweise!$B$2:$B$4542,B1518)=1,"Feiertag",IF(C1518="Samstag","",IF(C1518="Sonntag","",Übersicht!$C$8)))</f>
        <v>Feiertag</v>
      </c>
    </row>
    <row r="1519" spans="1:4" x14ac:dyDescent="0.25">
      <c r="A1519" t="s">
        <v>64</v>
      </c>
      <c r="B1519" s="48">
        <v>43612</v>
      </c>
      <c r="C1519" t="s">
        <v>50</v>
      </c>
      <c r="D1519" t="str">
        <f>IF(COUNTIFS(Verweise!$A$2:$A$4542,Übersicht!$C$7,Verweise!$B$2:$B$4542,B1519)=1,"Feiertag",IF(C1519="Samstag","",IF(C1519="Sonntag","",Übersicht!$C$8)))</f>
        <v>Feiertag</v>
      </c>
    </row>
    <row r="1520" spans="1:4" x14ac:dyDescent="0.25">
      <c r="A1520" t="s">
        <v>64</v>
      </c>
      <c r="B1520" s="48">
        <v>43613</v>
      </c>
      <c r="C1520" t="s">
        <v>51</v>
      </c>
      <c r="D1520" t="str">
        <f>IF(COUNTIFS(Verweise!$A$2:$A$4542,Übersicht!$C$7,Verweise!$B$2:$B$4542,B1520)=1,"Feiertag",IF(C1520="Samstag","",IF(C1520="Sonntag","",Übersicht!$C$8)))</f>
        <v>Feiertag</v>
      </c>
    </row>
    <row r="1521" spans="1:4" x14ac:dyDescent="0.25">
      <c r="A1521" t="s">
        <v>64</v>
      </c>
      <c r="B1521" s="48">
        <v>43740</v>
      </c>
      <c r="C1521" t="s">
        <v>53</v>
      </c>
      <c r="D1521" t="str">
        <f>IF(COUNTIFS(Verweise!$A$2:$A$4542,Übersicht!$C$7,Verweise!$B$2:$B$4542,B1521)=1,"Feiertag",IF(C1521="Samstag","",IF(C1521="Sonntag","",Übersicht!$C$8)))</f>
        <v>Feiertag</v>
      </c>
    </row>
    <row r="1522" spans="1:4" x14ac:dyDescent="0.25">
      <c r="A1522" t="s">
        <v>64</v>
      </c>
      <c r="B1522" s="48">
        <v>43823</v>
      </c>
      <c r="C1522" t="s">
        <v>55</v>
      </c>
      <c r="D1522" t="str">
        <f>IF(COUNTIFS(Verweise!$A$2:$A$4542,Übersicht!$C$7,Verweise!$B$2:$B$4542,B1522)=1,"Feiertag",IF(C1522="Samstag","",IF(C1522="Sonntag","",Übersicht!$C$8)))</f>
        <v>Feiertag</v>
      </c>
    </row>
    <row r="1523" spans="1:4" x14ac:dyDescent="0.25">
      <c r="A1523" t="s">
        <v>64</v>
      </c>
      <c r="B1523" s="48">
        <v>43824</v>
      </c>
      <c r="C1523" t="s">
        <v>56</v>
      </c>
      <c r="D1523" t="str">
        <f>IF(COUNTIFS(Verweise!$A$2:$A$4542,Übersicht!$C$7,Verweise!$B$2:$B$4542,B1523)=1,"Feiertag",IF(C1523="Samstag","",IF(C1523="Sonntag","",Übersicht!$C$8)))</f>
        <v>Feiertag</v>
      </c>
    </row>
    <row r="1524" spans="1:4" x14ac:dyDescent="0.25">
      <c r="A1524" t="s">
        <v>65</v>
      </c>
      <c r="B1524" s="48">
        <v>43465</v>
      </c>
      <c r="C1524" t="s">
        <v>43</v>
      </c>
      <c r="D1524" t="str">
        <f>IF(COUNTIFS(Verweise!$A$2:$A$4542,Übersicht!$C$7,Verweise!$B$2:$B$4542,B1524)=1,"Feiertag",IF(C1524="Samstag","",IF(C1524="Sonntag","",Übersicht!$C$8)))</f>
        <v>Feiertag</v>
      </c>
    </row>
    <row r="1525" spans="1:4" x14ac:dyDescent="0.25">
      <c r="A1525" t="s">
        <v>65</v>
      </c>
      <c r="B1525" s="48">
        <v>43561</v>
      </c>
      <c r="C1525" t="s">
        <v>45</v>
      </c>
      <c r="D1525" t="str">
        <f>IF(COUNTIFS(Verweise!$A$2:$A$4542,Übersicht!$C$7,Verweise!$B$2:$B$4542,B1525)=1,"Feiertag",IF(C1525="Samstag","",IF(C1525="Sonntag","",Übersicht!$C$8)))</f>
        <v>Feiertag</v>
      </c>
    </row>
    <row r="1526" spans="1:4" x14ac:dyDescent="0.25">
      <c r="A1526" t="s">
        <v>65</v>
      </c>
      <c r="B1526" s="48">
        <v>43563</v>
      </c>
      <c r="C1526" t="s">
        <v>46</v>
      </c>
      <c r="D1526" t="str">
        <f>IF(COUNTIFS(Verweise!$A$2:$A$4542,Übersicht!$C$7,Verweise!$B$2:$B$4542,B1526)=1,"Feiertag",IF(C1526="Samstag","",IF(C1526="Sonntag","",Übersicht!$C$8)))</f>
        <v>Feiertag</v>
      </c>
    </row>
    <row r="1527" spans="1:4" x14ac:dyDescent="0.25">
      <c r="A1527" t="s">
        <v>65</v>
      </c>
      <c r="B1527" s="48">
        <v>43564</v>
      </c>
      <c r="C1527" t="s">
        <v>47</v>
      </c>
      <c r="D1527" t="str">
        <f>IF(COUNTIFS(Verweise!$A$2:$A$4542,Übersicht!$C$7,Verweise!$B$2:$B$4542,B1527)=1,"Feiertag",IF(C1527="Samstag","",IF(C1527="Sonntag","",Übersicht!$C$8)))</f>
        <v>Feiertag</v>
      </c>
    </row>
    <row r="1528" spans="1:4" x14ac:dyDescent="0.25">
      <c r="A1528" t="s">
        <v>65</v>
      </c>
      <c r="B1528" s="48">
        <v>43585</v>
      </c>
      <c r="C1528" t="s">
        <v>48</v>
      </c>
      <c r="D1528" t="str">
        <f>IF(COUNTIFS(Verweise!$A$2:$A$4542,Übersicht!$C$7,Verweise!$B$2:$B$4542,B1528)=1,"Feiertag",IF(C1528="Samstag","",IF(C1528="Sonntag","",Übersicht!$C$8)))</f>
        <v>Feiertag</v>
      </c>
    </row>
    <row r="1529" spans="1:4" x14ac:dyDescent="0.25">
      <c r="A1529" t="s">
        <v>65</v>
      </c>
      <c r="B1529" s="48">
        <v>43602</v>
      </c>
      <c r="C1529" t="s">
        <v>49</v>
      </c>
      <c r="D1529" t="str">
        <f>IF(COUNTIFS(Verweise!$A$2:$A$4542,Übersicht!$C$7,Verweise!$B$2:$B$4542,B1529)=1,"Feiertag",IF(C1529="Samstag","",IF(C1529="Sonntag","",Übersicht!$C$8)))</f>
        <v>Feiertag</v>
      </c>
    </row>
    <row r="1530" spans="1:4" x14ac:dyDescent="0.25">
      <c r="A1530" t="s">
        <v>65</v>
      </c>
      <c r="B1530" s="48">
        <v>43612</v>
      </c>
      <c r="C1530" t="s">
        <v>50</v>
      </c>
      <c r="D1530" t="str">
        <f>IF(COUNTIFS(Verweise!$A$2:$A$4542,Übersicht!$C$7,Verweise!$B$2:$B$4542,B1530)=1,"Feiertag",IF(C1530="Samstag","",IF(C1530="Sonntag","",Übersicht!$C$8)))</f>
        <v>Feiertag</v>
      </c>
    </row>
    <row r="1531" spans="1:4" x14ac:dyDescent="0.25">
      <c r="A1531" t="s">
        <v>65</v>
      </c>
      <c r="B1531" s="48">
        <v>43613</v>
      </c>
      <c r="C1531" t="s">
        <v>51</v>
      </c>
      <c r="D1531" t="str">
        <f>IF(COUNTIFS(Verweise!$A$2:$A$4542,Übersicht!$C$7,Verweise!$B$2:$B$4542,B1531)=1,"Feiertag",IF(C1531="Samstag","",IF(C1531="Sonntag","",Übersicht!$C$8)))</f>
        <v>Feiertag</v>
      </c>
    </row>
    <row r="1532" spans="1:4" x14ac:dyDescent="0.25">
      <c r="A1532" t="s">
        <v>65</v>
      </c>
      <c r="B1532" s="48">
        <v>43623</v>
      </c>
      <c r="C1532" t="s">
        <v>52</v>
      </c>
      <c r="D1532" t="str">
        <f>IF(COUNTIFS(Verweise!$A$2:$A$4542,Übersicht!$C$7,Verweise!$B$2:$B$4542,B1532)=1,"Feiertag",IF(C1532="Samstag","",IF(C1532="Sonntag","",Übersicht!$C$8)))</f>
        <v>Feiertag</v>
      </c>
    </row>
    <row r="1533" spans="1:4" x14ac:dyDescent="0.25">
      <c r="A1533" t="s">
        <v>65</v>
      </c>
      <c r="B1533" s="48">
        <v>43740</v>
      </c>
      <c r="C1533" t="s">
        <v>53</v>
      </c>
      <c r="D1533" t="str">
        <f>IF(COUNTIFS(Verweise!$A$2:$A$4542,Übersicht!$C$7,Verweise!$B$2:$B$4542,B1533)=1,"Feiertag",IF(C1533="Samstag","",IF(C1533="Sonntag","",Übersicht!$C$8)))</f>
        <v>Feiertag</v>
      </c>
    </row>
    <row r="1534" spans="1:4" x14ac:dyDescent="0.25">
      <c r="A1534" t="s">
        <v>65</v>
      </c>
      <c r="B1534" s="48">
        <v>43823</v>
      </c>
      <c r="C1534" t="s">
        <v>55</v>
      </c>
      <c r="D1534" t="str">
        <f>IF(COUNTIFS(Verweise!$A$2:$A$4542,Übersicht!$C$7,Verweise!$B$2:$B$4542,B1534)=1,"Feiertag",IF(C1534="Samstag","",IF(C1534="Sonntag","",Übersicht!$C$8)))</f>
        <v>Feiertag</v>
      </c>
    </row>
    <row r="1535" spans="1:4" x14ac:dyDescent="0.25">
      <c r="A1535" t="s">
        <v>65</v>
      </c>
      <c r="B1535" s="48">
        <v>43824</v>
      </c>
      <c r="C1535" t="s">
        <v>56</v>
      </c>
      <c r="D1535" t="str">
        <f>IF(COUNTIFS(Verweise!$A$2:$A$4542,Übersicht!$C$7,Verweise!$B$2:$B$4542,B1535)=1,"Feiertag",IF(C1535="Samstag","",IF(C1535="Sonntag","",Übersicht!$C$8)))</f>
        <v>Feiertag</v>
      </c>
    </row>
    <row r="1536" spans="1:4" x14ac:dyDescent="0.25">
      <c r="A1536" t="s">
        <v>66</v>
      </c>
      <c r="B1536" s="48">
        <v>43465</v>
      </c>
      <c r="C1536" t="s">
        <v>43</v>
      </c>
      <c r="D1536" t="str">
        <f>IF(COUNTIFS(Verweise!$A$2:$A$4542,Übersicht!$C$7,Verweise!$B$2:$B$4542,B1536)=1,"Feiertag",IF(C1536="Samstag","",IF(C1536="Sonntag","",Übersicht!$C$8)))</f>
        <v>Feiertag</v>
      </c>
    </row>
    <row r="1537" spans="1:4" x14ac:dyDescent="0.25">
      <c r="A1537" t="s">
        <v>66</v>
      </c>
      <c r="B1537" s="48">
        <v>43561</v>
      </c>
      <c r="C1537" t="s">
        <v>45</v>
      </c>
      <c r="D1537" t="str">
        <f>IF(COUNTIFS(Verweise!$A$2:$A$4542,Übersicht!$C$7,Verweise!$B$2:$B$4542,B1537)=1,"Feiertag",IF(C1537="Samstag","",IF(C1537="Sonntag","",Übersicht!$C$8)))</f>
        <v>Feiertag</v>
      </c>
    </row>
    <row r="1538" spans="1:4" x14ac:dyDescent="0.25">
      <c r="A1538" t="s">
        <v>66</v>
      </c>
      <c r="B1538" s="48">
        <v>43563</v>
      </c>
      <c r="C1538" t="s">
        <v>46</v>
      </c>
      <c r="D1538" t="str">
        <f>IF(COUNTIFS(Verweise!$A$2:$A$4542,Übersicht!$C$7,Verweise!$B$2:$B$4542,B1538)=1,"Feiertag",IF(C1538="Samstag","",IF(C1538="Sonntag","",Übersicht!$C$8)))</f>
        <v>Feiertag</v>
      </c>
    </row>
    <row r="1539" spans="1:4" x14ac:dyDescent="0.25">
      <c r="A1539" t="s">
        <v>66</v>
      </c>
      <c r="B1539" s="48">
        <v>43564</v>
      </c>
      <c r="C1539" t="s">
        <v>47</v>
      </c>
      <c r="D1539" t="str">
        <f>IF(COUNTIFS(Verweise!$A$2:$A$4542,Übersicht!$C$7,Verweise!$B$2:$B$4542,B1539)=1,"Feiertag",IF(C1539="Samstag","",IF(C1539="Sonntag","",Übersicht!$C$8)))</f>
        <v>Feiertag</v>
      </c>
    </row>
    <row r="1540" spans="1:4" x14ac:dyDescent="0.25">
      <c r="A1540" t="s">
        <v>66</v>
      </c>
      <c r="B1540" s="48">
        <v>43585</v>
      </c>
      <c r="C1540" t="s">
        <v>48</v>
      </c>
      <c r="D1540" t="str">
        <f>IF(COUNTIFS(Verweise!$A$2:$A$4542,Übersicht!$C$7,Verweise!$B$2:$B$4542,B1540)=1,"Feiertag",IF(C1540="Samstag","",IF(C1540="Sonntag","",Übersicht!$C$8)))</f>
        <v>Feiertag</v>
      </c>
    </row>
    <row r="1541" spans="1:4" x14ac:dyDescent="0.25">
      <c r="A1541" t="s">
        <v>66</v>
      </c>
      <c r="B1541" s="48">
        <v>43602</v>
      </c>
      <c r="C1541" t="s">
        <v>49</v>
      </c>
      <c r="D1541" t="str">
        <f>IF(COUNTIFS(Verweise!$A$2:$A$4542,Übersicht!$C$7,Verweise!$B$2:$B$4542,B1541)=1,"Feiertag",IF(C1541="Samstag","",IF(C1541="Sonntag","",Übersicht!$C$8)))</f>
        <v>Feiertag</v>
      </c>
    </row>
    <row r="1542" spans="1:4" x14ac:dyDescent="0.25">
      <c r="A1542" t="s">
        <v>66</v>
      </c>
      <c r="B1542" s="48">
        <v>43612</v>
      </c>
      <c r="C1542" t="s">
        <v>50</v>
      </c>
      <c r="D1542" t="str">
        <f>IF(COUNTIFS(Verweise!$A$2:$A$4542,Übersicht!$C$7,Verweise!$B$2:$B$4542,B1542)=1,"Feiertag",IF(C1542="Samstag","",IF(C1542="Sonntag","",Übersicht!$C$8)))</f>
        <v>Feiertag</v>
      </c>
    </row>
    <row r="1543" spans="1:4" x14ac:dyDescent="0.25">
      <c r="A1543" t="s">
        <v>66</v>
      </c>
      <c r="B1543" s="48">
        <v>43613</v>
      </c>
      <c r="C1543" t="s">
        <v>51</v>
      </c>
      <c r="D1543" t="str">
        <f>IF(COUNTIFS(Verweise!$A$2:$A$4542,Übersicht!$C$7,Verweise!$B$2:$B$4542,B1543)=1,"Feiertag",IF(C1543="Samstag","",IF(C1543="Sonntag","",Übersicht!$C$8)))</f>
        <v>Feiertag</v>
      </c>
    </row>
    <row r="1544" spans="1:4" x14ac:dyDescent="0.25">
      <c r="A1544" t="s">
        <v>66</v>
      </c>
      <c r="B1544" s="48">
        <v>43740</v>
      </c>
      <c r="C1544" t="s">
        <v>53</v>
      </c>
      <c r="D1544" t="str">
        <f>IF(COUNTIFS(Verweise!$A$2:$A$4542,Übersicht!$C$7,Verweise!$B$2:$B$4542,B1544)=1,"Feiertag",IF(C1544="Samstag","",IF(C1544="Sonntag","",Übersicht!$C$8)))</f>
        <v>Feiertag</v>
      </c>
    </row>
    <row r="1545" spans="1:4" x14ac:dyDescent="0.25">
      <c r="A1545" t="s">
        <v>66</v>
      </c>
      <c r="B1545" s="48">
        <v>43768</v>
      </c>
      <c r="C1545" t="s">
        <v>62</v>
      </c>
      <c r="D1545" t="str">
        <f>IF(COUNTIFS(Verweise!$A$2:$A$4542,Übersicht!$C$7,Verweise!$B$2:$B$4542,B1545)=1,"Feiertag",IF(C1545="Samstag","",IF(C1545="Sonntag","",Übersicht!$C$8)))</f>
        <v>Büro</v>
      </c>
    </row>
    <row r="1546" spans="1:4" x14ac:dyDescent="0.25">
      <c r="A1546" t="s">
        <v>66</v>
      </c>
      <c r="B1546" s="48">
        <v>43823</v>
      </c>
      <c r="C1546" t="s">
        <v>55</v>
      </c>
      <c r="D1546" t="str">
        <f>IF(COUNTIFS(Verweise!$A$2:$A$4542,Übersicht!$C$7,Verweise!$B$2:$B$4542,B1546)=1,"Feiertag",IF(C1546="Samstag","",IF(C1546="Sonntag","",Übersicht!$C$8)))</f>
        <v>Feiertag</v>
      </c>
    </row>
    <row r="1547" spans="1:4" x14ac:dyDescent="0.25">
      <c r="A1547" t="s">
        <v>66</v>
      </c>
      <c r="B1547" s="48">
        <v>43824</v>
      </c>
      <c r="C1547" t="s">
        <v>56</v>
      </c>
      <c r="D1547" t="str">
        <f>IF(COUNTIFS(Verweise!$A$2:$A$4542,Übersicht!$C$7,Verweise!$B$2:$B$4542,B1547)=1,"Feiertag",IF(C1547="Samstag","",IF(C1547="Sonntag","",Übersicht!$C$8)))</f>
        <v>Feiertag</v>
      </c>
    </row>
    <row r="1548" spans="1:4" x14ac:dyDescent="0.25">
      <c r="A1548" t="s">
        <v>67</v>
      </c>
      <c r="B1548" s="48">
        <v>43465</v>
      </c>
      <c r="C1548" t="s">
        <v>43</v>
      </c>
      <c r="D1548" t="str">
        <f>IF(COUNTIFS(Verweise!$A$2:$A$4542,Übersicht!$C$7,Verweise!$B$2:$B$4542,B1548)=1,"Feiertag",IF(C1548="Samstag","",IF(C1548="Sonntag","",Übersicht!$C$8)))</f>
        <v>Feiertag</v>
      </c>
    </row>
    <row r="1549" spans="1:4" x14ac:dyDescent="0.25">
      <c r="A1549" t="s">
        <v>67</v>
      </c>
      <c r="B1549" s="48">
        <v>43561</v>
      </c>
      <c r="C1549" t="s">
        <v>45</v>
      </c>
      <c r="D1549" t="str">
        <f>IF(COUNTIFS(Verweise!$A$2:$A$4542,Übersicht!$C$7,Verweise!$B$2:$B$4542,B1549)=1,"Feiertag",IF(C1549="Samstag","",IF(C1549="Sonntag","",Übersicht!$C$8)))</f>
        <v>Feiertag</v>
      </c>
    </row>
    <row r="1550" spans="1:4" x14ac:dyDescent="0.25">
      <c r="A1550" t="s">
        <v>67</v>
      </c>
      <c r="B1550" s="48">
        <v>43563</v>
      </c>
      <c r="C1550" t="s">
        <v>46</v>
      </c>
      <c r="D1550" t="str">
        <f>IF(COUNTIFS(Verweise!$A$2:$A$4542,Übersicht!$C$7,Verweise!$B$2:$B$4542,B1550)=1,"Feiertag",IF(C1550="Samstag","",IF(C1550="Sonntag","",Übersicht!$C$8)))</f>
        <v>Feiertag</v>
      </c>
    </row>
    <row r="1551" spans="1:4" x14ac:dyDescent="0.25">
      <c r="A1551" t="s">
        <v>67</v>
      </c>
      <c r="B1551" s="48">
        <v>43564</v>
      </c>
      <c r="C1551" t="s">
        <v>47</v>
      </c>
      <c r="D1551" t="str">
        <f>IF(COUNTIFS(Verweise!$A$2:$A$4542,Übersicht!$C$7,Verweise!$B$2:$B$4542,B1551)=1,"Feiertag",IF(C1551="Samstag","",IF(C1551="Sonntag","",Übersicht!$C$8)))</f>
        <v>Feiertag</v>
      </c>
    </row>
    <row r="1552" spans="1:4" x14ac:dyDescent="0.25">
      <c r="A1552" t="s">
        <v>67</v>
      </c>
      <c r="B1552" s="48">
        <v>43585</v>
      </c>
      <c r="C1552" t="s">
        <v>48</v>
      </c>
      <c r="D1552" t="str">
        <f>IF(COUNTIFS(Verweise!$A$2:$A$4542,Übersicht!$C$7,Verweise!$B$2:$B$4542,B1552)=1,"Feiertag",IF(C1552="Samstag","",IF(C1552="Sonntag","",Übersicht!$C$8)))</f>
        <v>Feiertag</v>
      </c>
    </row>
    <row r="1553" spans="1:4" x14ac:dyDescent="0.25">
      <c r="A1553" t="s">
        <v>67</v>
      </c>
      <c r="B1553" s="48">
        <v>43602</v>
      </c>
      <c r="C1553" t="s">
        <v>49</v>
      </c>
      <c r="D1553" t="str">
        <f>IF(COUNTIFS(Verweise!$A$2:$A$4542,Übersicht!$C$7,Verweise!$B$2:$B$4542,B1553)=1,"Feiertag",IF(C1553="Samstag","",IF(C1553="Sonntag","",Übersicht!$C$8)))</f>
        <v>Feiertag</v>
      </c>
    </row>
    <row r="1554" spans="1:4" x14ac:dyDescent="0.25">
      <c r="A1554" t="s">
        <v>67</v>
      </c>
      <c r="B1554" s="48">
        <v>43612</v>
      </c>
      <c r="C1554" t="s">
        <v>50</v>
      </c>
      <c r="D1554" t="str">
        <f>IF(COUNTIFS(Verweise!$A$2:$A$4542,Übersicht!$C$7,Verweise!$B$2:$B$4542,B1554)=1,"Feiertag",IF(C1554="Samstag","",IF(C1554="Sonntag","",Übersicht!$C$8)))</f>
        <v>Feiertag</v>
      </c>
    </row>
    <row r="1555" spans="1:4" x14ac:dyDescent="0.25">
      <c r="A1555" t="s">
        <v>67</v>
      </c>
      <c r="B1555" s="48">
        <v>43613</v>
      </c>
      <c r="C1555" t="s">
        <v>51</v>
      </c>
      <c r="D1555" t="str">
        <f>IF(COUNTIFS(Verweise!$A$2:$A$4542,Übersicht!$C$7,Verweise!$B$2:$B$4542,B1555)=1,"Feiertag",IF(C1555="Samstag","",IF(C1555="Sonntag","",Übersicht!$C$8)))</f>
        <v>Feiertag</v>
      </c>
    </row>
    <row r="1556" spans="1:4" x14ac:dyDescent="0.25">
      <c r="A1556" t="s">
        <v>67</v>
      </c>
      <c r="B1556" s="48">
        <v>43740</v>
      </c>
      <c r="C1556" t="s">
        <v>53</v>
      </c>
      <c r="D1556" t="str">
        <f>IF(COUNTIFS(Verweise!$A$2:$A$4542,Übersicht!$C$7,Verweise!$B$2:$B$4542,B1556)=1,"Feiertag",IF(C1556="Samstag","",IF(C1556="Sonntag","",Übersicht!$C$8)))</f>
        <v>Feiertag</v>
      </c>
    </row>
    <row r="1557" spans="1:4" x14ac:dyDescent="0.25">
      <c r="A1557" t="s">
        <v>67</v>
      </c>
      <c r="B1557" s="48">
        <v>43823</v>
      </c>
      <c r="C1557" t="s">
        <v>55</v>
      </c>
      <c r="D1557" t="str">
        <f>IF(COUNTIFS(Verweise!$A$2:$A$4542,Übersicht!$C$7,Verweise!$B$2:$B$4542,B1557)=1,"Feiertag",IF(C1557="Samstag","",IF(C1557="Sonntag","",Übersicht!$C$8)))</f>
        <v>Feiertag</v>
      </c>
    </row>
    <row r="1558" spans="1:4" x14ac:dyDescent="0.25">
      <c r="A1558" t="s">
        <v>67</v>
      </c>
      <c r="B1558" s="48">
        <v>43824</v>
      </c>
      <c r="C1558" t="s">
        <v>56</v>
      </c>
      <c r="D1558" t="str">
        <f>IF(COUNTIFS(Verweise!$A$2:$A$4542,Übersicht!$C$7,Verweise!$B$2:$B$4542,B1558)=1,"Feiertag",IF(C1558="Samstag","",IF(C1558="Sonntag","",Übersicht!$C$8)))</f>
        <v>Feiertag</v>
      </c>
    </row>
    <row r="1559" spans="1:4" x14ac:dyDescent="0.25">
      <c r="A1559" t="s">
        <v>68</v>
      </c>
      <c r="B1559" s="48">
        <v>43465</v>
      </c>
      <c r="C1559" t="s">
        <v>43</v>
      </c>
      <c r="D1559" t="str">
        <f>IF(COUNTIFS(Verweise!$A$2:$A$4542,Übersicht!$C$7,Verweise!$B$2:$B$4542,B1559)=1,"Feiertag",IF(C1559="Samstag","",IF(C1559="Sonntag","",Übersicht!$C$8)))</f>
        <v>Feiertag</v>
      </c>
    </row>
    <row r="1560" spans="1:4" x14ac:dyDescent="0.25">
      <c r="A1560" t="s">
        <v>68</v>
      </c>
      <c r="B1560" s="48">
        <v>43561</v>
      </c>
      <c r="C1560" t="s">
        <v>45</v>
      </c>
      <c r="D1560" t="str">
        <f>IF(COUNTIFS(Verweise!$A$2:$A$4542,Übersicht!$C$7,Verweise!$B$2:$B$4542,B1560)=1,"Feiertag",IF(C1560="Samstag","",IF(C1560="Sonntag","",Übersicht!$C$8)))</f>
        <v>Feiertag</v>
      </c>
    </row>
    <row r="1561" spans="1:4" x14ac:dyDescent="0.25">
      <c r="A1561" t="s">
        <v>68</v>
      </c>
      <c r="B1561" s="48">
        <v>43563</v>
      </c>
      <c r="C1561" t="s">
        <v>46</v>
      </c>
      <c r="D1561" t="str">
        <f>IF(COUNTIFS(Verweise!$A$2:$A$4542,Übersicht!$C$7,Verweise!$B$2:$B$4542,B1561)=1,"Feiertag",IF(C1561="Samstag","",IF(C1561="Sonntag","",Übersicht!$C$8)))</f>
        <v>Feiertag</v>
      </c>
    </row>
    <row r="1562" spans="1:4" x14ac:dyDescent="0.25">
      <c r="A1562" t="s">
        <v>68</v>
      </c>
      <c r="B1562" s="48">
        <v>43564</v>
      </c>
      <c r="C1562" t="s">
        <v>47</v>
      </c>
      <c r="D1562" t="str">
        <f>IF(COUNTIFS(Verweise!$A$2:$A$4542,Übersicht!$C$7,Verweise!$B$2:$B$4542,B1562)=1,"Feiertag",IF(C1562="Samstag","",IF(C1562="Sonntag","",Übersicht!$C$8)))</f>
        <v>Feiertag</v>
      </c>
    </row>
    <row r="1563" spans="1:4" x14ac:dyDescent="0.25">
      <c r="A1563" t="s">
        <v>68</v>
      </c>
      <c r="B1563" s="48">
        <v>43585</v>
      </c>
      <c r="C1563" t="s">
        <v>48</v>
      </c>
      <c r="D1563" t="str">
        <f>IF(COUNTIFS(Verweise!$A$2:$A$4542,Übersicht!$C$7,Verweise!$B$2:$B$4542,B1563)=1,"Feiertag",IF(C1563="Samstag","",IF(C1563="Sonntag","",Übersicht!$C$8)))</f>
        <v>Feiertag</v>
      </c>
    </row>
    <row r="1564" spans="1:4" x14ac:dyDescent="0.25">
      <c r="A1564" t="s">
        <v>68</v>
      </c>
      <c r="B1564" s="48">
        <v>43602</v>
      </c>
      <c r="C1564" t="s">
        <v>49</v>
      </c>
      <c r="D1564" t="str">
        <f>IF(COUNTIFS(Verweise!$A$2:$A$4542,Übersicht!$C$7,Verweise!$B$2:$B$4542,B1564)=1,"Feiertag",IF(C1564="Samstag","",IF(C1564="Sonntag","",Übersicht!$C$8)))</f>
        <v>Feiertag</v>
      </c>
    </row>
    <row r="1565" spans="1:4" x14ac:dyDescent="0.25">
      <c r="A1565" t="s">
        <v>68</v>
      </c>
      <c r="B1565" s="48">
        <v>43612</v>
      </c>
      <c r="C1565" t="s">
        <v>50</v>
      </c>
      <c r="D1565" t="str">
        <f>IF(COUNTIFS(Verweise!$A$2:$A$4542,Übersicht!$C$7,Verweise!$B$2:$B$4542,B1565)=1,"Feiertag",IF(C1565="Samstag","",IF(C1565="Sonntag","",Übersicht!$C$8)))</f>
        <v>Feiertag</v>
      </c>
    </row>
    <row r="1566" spans="1:4" x14ac:dyDescent="0.25">
      <c r="A1566" t="s">
        <v>68</v>
      </c>
      <c r="B1566" s="48">
        <v>43613</v>
      </c>
      <c r="C1566" t="s">
        <v>51</v>
      </c>
      <c r="D1566" t="str">
        <f>IF(COUNTIFS(Verweise!$A$2:$A$4542,Übersicht!$C$7,Verweise!$B$2:$B$4542,B1566)=1,"Feiertag",IF(C1566="Samstag","",IF(C1566="Sonntag","",Übersicht!$C$8)))</f>
        <v>Feiertag</v>
      </c>
    </row>
    <row r="1567" spans="1:4" x14ac:dyDescent="0.25">
      <c r="A1567" t="s">
        <v>68</v>
      </c>
      <c r="B1567" s="48">
        <v>43623</v>
      </c>
      <c r="C1567" t="s">
        <v>52</v>
      </c>
      <c r="D1567" t="str">
        <f>IF(COUNTIFS(Verweise!$A$2:$A$4542,Übersicht!$C$7,Verweise!$B$2:$B$4542,B1567)=1,"Feiertag",IF(C1567="Samstag","",IF(C1567="Sonntag","",Übersicht!$C$8)))</f>
        <v>Feiertag</v>
      </c>
    </row>
    <row r="1568" spans="1:4" x14ac:dyDescent="0.25">
      <c r="A1568" t="s">
        <v>68</v>
      </c>
      <c r="B1568" s="48">
        <v>43740</v>
      </c>
      <c r="C1568" t="s">
        <v>53</v>
      </c>
      <c r="D1568" t="str">
        <f>IF(COUNTIFS(Verweise!$A$2:$A$4542,Übersicht!$C$7,Verweise!$B$2:$B$4542,B1568)=1,"Feiertag",IF(C1568="Samstag","",IF(C1568="Sonntag","",Übersicht!$C$8)))</f>
        <v>Feiertag</v>
      </c>
    </row>
    <row r="1569" spans="1:4" x14ac:dyDescent="0.25">
      <c r="A1569" t="s">
        <v>68</v>
      </c>
      <c r="B1569" s="48">
        <v>43769</v>
      </c>
      <c r="C1569" t="s">
        <v>54</v>
      </c>
      <c r="D1569" t="str">
        <f>IF(COUNTIFS(Verweise!$A$2:$A$4542,Übersicht!$C$7,Verweise!$B$2:$B$4542,B1569)=1,"Feiertag",IF(C1569="Samstag","",IF(C1569="Sonntag","",Übersicht!$C$8)))</f>
        <v>Feiertag</v>
      </c>
    </row>
    <row r="1570" spans="1:4" x14ac:dyDescent="0.25">
      <c r="A1570" t="s">
        <v>68</v>
      </c>
      <c r="B1570" s="48">
        <v>43823</v>
      </c>
      <c r="C1570" t="s">
        <v>55</v>
      </c>
      <c r="D1570" t="str">
        <f>IF(COUNTIFS(Verweise!$A$2:$A$4542,Übersicht!$C$7,Verweise!$B$2:$B$4542,B1570)=1,"Feiertag",IF(C1570="Samstag","",IF(C1570="Sonntag","",Übersicht!$C$8)))</f>
        <v>Feiertag</v>
      </c>
    </row>
    <row r="1571" spans="1:4" x14ac:dyDescent="0.25">
      <c r="A1571" t="s">
        <v>68</v>
      </c>
      <c r="B1571" s="48">
        <v>43824</v>
      </c>
      <c r="C1571" t="s">
        <v>56</v>
      </c>
      <c r="D1571" t="str">
        <f>IF(COUNTIFS(Verweise!$A$2:$A$4542,Übersicht!$C$7,Verweise!$B$2:$B$4542,B1571)=1,"Feiertag",IF(C1571="Samstag","",IF(C1571="Sonntag","",Übersicht!$C$8)))</f>
        <v>Feiertag</v>
      </c>
    </row>
    <row r="1572" spans="1:4" x14ac:dyDescent="0.25">
      <c r="A1572" t="s">
        <v>69</v>
      </c>
      <c r="B1572" s="48">
        <v>43465</v>
      </c>
      <c r="C1572" t="s">
        <v>43</v>
      </c>
      <c r="D1572" t="str">
        <f>IF(COUNTIFS(Verweise!$A$2:$A$4542,Übersicht!$C$7,Verweise!$B$2:$B$4542,B1572)=1,"Feiertag",IF(C1572="Samstag","",IF(C1572="Sonntag","",Übersicht!$C$8)))</f>
        <v>Feiertag</v>
      </c>
    </row>
    <row r="1573" spans="1:4" x14ac:dyDescent="0.25">
      <c r="A1573" t="s">
        <v>69</v>
      </c>
      <c r="B1573" s="48">
        <v>43561</v>
      </c>
      <c r="C1573" t="s">
        <v>45</v>
      </c>
      <c r="D1573" t="str">
        <f>IF(COUNTIFS(Verweise!$A$2:$A$4542,Übersicht!$C$7,Verweise!$B$2:$B$4542,B1573)=1,"Feiertag",IF(C1573="Samstag","",IF(C1573="Sonntag","",Übersicht!$C$8)))</f>
        <v>Feiertag</v>
      </c>
    </row>
    <row r="1574" spans="1:4" x14ac:dyDescent="0.25">
      <c r="A1574" t="s">
        <v>69</v>
      </c>
      <c r="B1574" s="48">
        <v>43563</v>
      </c>
      <c r="C1574" t="s">
        <v>46</v>
      </c>
      <c r="D1574" t="str">
        <f>IF(COUNTIFS(Verweise!$A$2:$A$4542,Übersicht!$C$7,Verweise!$B$2:$B$4542,B1574)=1,"Feiertag",IF(C1574="Samstag","",IF(C1574="Sonntag","",Übersicht!$C$8)))</f>
        <v>Feiertag</v>
      </c>
    </row>
    <row r="1575" spans="1:4" x14ac:dyDescent="0.25">
      <c r="A1575" t="s">
        <v>69</v>
      </c>
      <c r="B1575" s="48">
        <v>43564</v>
      </c>
      <c r="C1575" t="s">
        <v>47</v>
      </c>
      <c r="D1575" t="str">
        <f>IF(COUNTIFS(Verweise!$A$2:$A$4542,Übersicht!$C$7,Verweise!$B$2:$B$4542,B1575)=1,"Feiertag",IF(C1575="Samstag","",IF(C1575="Sonntag","",Übersicht!$C$8)))</f>
        <v>Feiertag</v>
      </c>
    </row>
    <row r="1576" spans="1:4" x14ac:dyDescent="0.25">
      <c r="A1576" t="s">
        <v>69</v>
      </c>
      <c r="B1576" s="48">
        <v>43585</v>
      </c>
      <c r="C1576" t="s">
        <v>48</v>
      </c>
      <c r="D1576" t="str">
        <f>IF(COUNTIFS(Verweise!$A$2:$A$4542,Übersicht!$C$7,Verweise!$B$2:$B$4542,B1576)=1,"Feiertag",IF(C1576="Samstag","",IF(C1576="Sonntag","",Übersicht!$C$8)))</f>
        <v>Feiertag</v>
      </c>
    </row>
    <row r="1577" spans="1:4" x14ac:dyDescent="0.25">
      <c r="A1577" t="s">
        <v>69</v>
      </c>
      <c r="B1577" s="48">
        <v>43602</v>
      </c>
      <c r="C1577" t="s">
        <v>49</v>
      </c>
      <c r="D1577" t="str">
        <f>IF(COUNTIFS(Verweise!$A$2:$A$4542,Übersicht!$C$7,Verweise!$B$2:$B$4542,B1577)=1,"Feiertag",IF(C1577="Samstag","",IF(C1577="Sonntag","",Übersicht!$C$8)))</f>
        <v>Feiertag</v>
      </c>
    </row>
    <row r="1578" spans="1:4" x14ac:dyDescent="0.25">
      <c r="A1578" t="s">
        <v>69</v>
      </c>
      <c r="B1578" s="48">
        <v>43612</v>
      </c>
      <c r="C1578" t="s">
        <v>50</v>
      </c>
      <c r="D1578" t="str">
        <f>IF(COUNTIFS(Verweise!$A$2:$A$4542,Übersicht!$C$7,Verweise!$B$2:$B$4542,B1578)=1,"Feiertag",IF(C1578="Samstag","",IF(C1578="Sonntag","",Übersicht!$C$8)))</f>
        <v>Feiertag</v>
      </c>
    </row>
    <row r="1579" spans="1:4" x14ac:dyDescent="0.25">
      <c r="A1579" t="s">
        <v>69</v>
      </c>
      <c r="B1579" s="48">
        <v>43613</v>
      </c>
      <c r="C1579" t="s">
        <v>51</v>
      </c>
      <c r="D1579" t="str">
        <f>IF(COUNTIFS(Verweise!$A$2:$A$4542,Übersicht!$C$7,Verweise!$B$2:$B$4542,B1579)=1,"Feiertag",IF(C1579="Samstag","",IF(C1579="Sonntag","",Übersicht!$C$8)))</f>
        <v>Feiertag</v>
      </c>
    </row>
    <row r="1580" spans="1:4" x14ac:dyDescent="0.25">
      <c r="A1580" t="s">
        <v>69</v>
      </c>
      <c r="B1580" s="48">
        <v>43623</v>
      </c>
      <c r="C1580" t="s">
        <v>52</v>
      </c>
      <c r="D1580" t="str">
        <f>IF(COUNTIFS(Verweise!$A$2:$A$4542,Übersicht!$C$7,Verweise!$B$2:$B$4542,B1580)=1,"Feiertag",IF(C1580="Samstag","",IF(C1580="Sonntag","",Übersicht!$C$8)))</f>
        <v>Feiertag</v>
      </c>
    </row>
    <row r="1581" spans="1:4" x14ac:dyDescent="0.25">
      <c r="A1581" t="s">
        <v>69</v>
      </c>
      <c r="B1581" s="48">
        <v>43740</v>
      </c>
      <c r="C1581" t="s">
        <v>53</v>
      </c>
      <c r="D1581" t="str">
        <f>IF(COUNTIFS(Verweise!$A$2:$A$4542,Übersicht!$C$7,Verweise!$B$2:$B$4542,B1581)=1,"Feiertag",IF(C1581="Samstag","",IF(C1581="Sonntag","",Übersicht!$C$8)))</f>
        <v>Feiertag</v>
      </c>
    </row>
    <row r="1582" spans="1:4" x14ac:dyDescent="0.25">
      <c r="A1582" t="s">
        <v>69</v>
      </c>
      <c r="B1582" s="48">
        <v>43769</v>
      </c>
      <c r="C1582" t="s">
        <v>54</v>
      </c>
      <c r="D1582" t="str">
        <f>IF(COUNTIFS(Verweise!$A$2:$A$4542,Übersicht!$C$7,Verweise!$B$2:$B$4542,B1582)=1,"Feiertag",IF(C1582="Samstag","",IF(C1582="Sonntag","",Übersicht!$C$8)))</f>
        <v>Feiertag</v>
      </c>
    </row>
    <row r="1583" spans="1:4" x14ac:dyDescent="0.25">
      <c r="A1583" t="s">
        <v>69</v>
      </c>
      <c r="B1583" s="48">
        <v>43823</v>
      </c>
      <c r="C1583" t="s">
        <v>55</v>
      </c>
      <c r="D1583" t="str">
        <f>IF(COUNTIFS(Verweise!$A$2:$A$4542,Übersicht!$C$7,Verweise!$B$2:$B$4542,B1583)=1,"Feiertag",IF(C1583="Samstag","",IF(C1583="Sonntag","",Übersicht!$C$8)))</f>
        <v>Feiertag</v>
      </c>
    </row>
    <row r="1584" spans="1:4" x14ac:dyDescent="0.25">
      <c r="A1584" t="s">
        <v>69</v>
      </c>
      <c r="B1584" s="48">
        <v>43824</v>
      </c>
      <c r="C1584" t="s">
        <v>56</v>
      </c>
      <c r="D1584" t="str">
        <f>IF(COUNTIFS(Verweise!$A$2:$A$4542,Übersicht!$C$7,Verweise!$B$2:$B$4542,B1584)=1,"Feiertag",IF(C1584="Samstag","",IF(C1584="Sonntag","",Übersicht!$C$8)))</f>
        <v>Feiertag</v>
      </c>
    </row>
    <row r="1585" spans="1:4" x14ac:dyDescent="0.25">
      <c r="A1585" t="s">
        <v>70</v>
      </c>
      <c r="B1585" s="48">
        <v>43465</v>
      </c>
      <c r="C1585" t="s">
        <v>43</v>
      </c>
      <c r="D1585" t="str">
        <f>IF(COUNTIFS(Verweise!$A$2:$A$4542,Übersicht!$C$7,Verweise!$B$2:$B$4542,B1585)=1,"Feiertag",IF(C1585="Samstag","",IF(C1585="Sonntag","",Übersicht!$C$8)))</f>
        <v>Feiertag</v>
      </c>
    </row>
    <row r="1586" spans="1:4" x14ac:dyDescent="0.25">
      <c r="A1586" t="s">
        <v>70</v>
      </c>
      <c r="B1586" s="48">
        <v>43561</v>
      </c>
      <c r="C1586" t="s">
        <v>45</v>
      </c>
      <c r="D1586" t="str">
        <f>IF(COUNTIFS(Verweise!$A$2:$A$4542,Übersicht!$C$7,Verweise!$B$2:$B$4542,B1586)=1,"Feiertag",IF(C1586="Samstag","",IF(C1586="Sonntag","",Übersicht!$C$8)))</f>
        <v>Feiertag</v>
      </c>
    </row>
    <row r="1587" spans="1:4" x14ac:dyDescent="0.25">
      <c r="A1587" t="s">
        <v>70</v>
      </c>
      <c r="B1587" s="48">
        <v>43563</v>
      </c>
      <c r="C1587" t="s">
        <v>46</v>
      </c>
      <c r="D1587" t="str">
        <f>IF(COUNTIFS(Verweise!$A$2:$A$4542,Übersicht!$C$7,Verweise!$B$2:$B$4542,B1587)=1,"Feiertag",IF(C1587="Samstag","",IF(C1587="Sonntag","",Übersicht!$C$8)))</f>
        <v>Feiertag</v>
      </c>
    </row>
    <row r="1588" spans="1:4" x14ac:dyDescent="0.25">
      <c r="A1588" t="s">
        <v>70</v>
      </c>
      <c r="B1588" s="48">
        <v>43564</v>
      </c>
      <c r="C1588" t="s">
        <v>47</v>
      </c>
      <c r="D1588" t="str">
        <f>IF(COUNTIFS(Verweise!$A$2:$A$4542,Übersicht!$C$7,Verweise!$B$2:$B$4542,B1588)=1,"Feiertag",IF(C1588="Samstag","",IF(C1588="Sonntag","",Übersicht!$C$8)))</f>
        <v>Feiertag</v>
      </c>
    </row>
    <row r="1589" spans="1:4" x14ac:dyDescent="0.25">
      <c r="A1589" t="s">
        <v>70</v>
      </c>
      <c r="B1589" s="48">
        <v>43585</v>
      </c>
      <c r="C1589" t="s">
        <v>48</v>
      </c>
      <c r="D1589" t="str">
        <f>IF(COUNTIFS(Verweise!$A$2:$A$4542,Übersicht!$C$7,Verweise!$B$2:$B$4542,B1589)=1,"Feiertag",IF(C1589="Samstag","",IF(C1589="Sonntag","",Übersicht!$C$8)))</f>
        <v>Feiertag</v>
      </c>
    </row>
    <row r="1590" spans="1:4" x14ac:dyDescent="0.25">
      <c r="A1590" t="s">
        <v>70</v>
      </c>
      <c r="B1590" s="48">
        <v>43602</v>
      </c>
      <c r="C1590" t="s">
        <v>49</v>
      </c>
      <c r="D1590" t="str">
        <f>IF(COUNTIFS(Verweise!$A$2:$A$4542,Übersicht!$C$7,Verweise!$B$2:$B$4542,B1590)=1,"Feiertag",IF(C1590="Samstag","",IF(C1590="Sonntag","",Übersicht!$C$8)))</f>
        <v>Feiertag</v>
      </c>
    </row>
    <row r="1591" spans="1:4" x14ac:dyDescent="0.25">
      <c r="A1591" t="s">
        <v>70</v>
      </c>
      <c r="B1591" s="48">
        <v>43612</v>
      </c>
      <c r="C1591" t="s">
        <v>50</v>
      </c>
      <c r="D1591" t="str">
        <f>IF(COUNTIFS(Verweise!$A$2:$A$4542,Übersicht!$C$7,Verweise!$B$2:$B$4542,B1591)=1,"Feiertag",IF(C1591="Samstag","",IF(C1591="Sonntag","",Übersicht!$C$8)))</f>
        <v>Feiertag</v>
      </c>
    </row>
    <row r="1592" spans="1:4" x14ac:dyDescent="0.25">
      <c r="A1592" t="s">
        <v>70</v>
      </c>
      <c r="B1592" s="48">
        <v>43613</v>
      </c>
      <c r="C1592" t="s">
        <v>51</v>
      </c>
      <c r="D1592" t="str">
        <f>IF(COUNTIFS(Verweise!$A$2:$A$4542,Übersicht!$C$7,Verweise!$B$2:$B$4542,B1592)=1,"Feiertag",IF(C1592="Samstag","",IF(C1592="Sonntag","",Übersicht!$C$8)))</f>
        <v>Feiertag</v>
      </c>
    </row>
    <row r="1593" spans="1:4" x14ac:dyDescent="0.25">
      <c r="A1593" t="s">
        <v>70</v>
      </c>
      <c r="B1593" s="48">
        <v>43623</v>
      </c>
      <c r="C1593" t="s">
        <v>52</v>
      </c>
      <c r="D1593" t="str">
        <f>IF(COUNTIFS(Verweise!$A$2:$A$4542,Übersicht!$C$7,Verweise!$B$2:$B$4542,B1593)=1,"Feiertag",IF(C1593="Samstag","",IF(C1593="Sonntag","",Übersicht!$C$8)))</f>
        <v>Feiertag</v>
      </c>
    </row>
    <row r="1594" spans="1:4" x14ac:dyDescent="0.25">
      <c r="A1594" t="s">
        <v>70</v>
      </c>
      <c r="B1594" s="48">
        <v>43691</v>
      </c>
      <c r="C1594" t="s">
        <v>59</v>
      </c>
      <c r="D1594" t="str">
        <f>IF(COUNTIFS(Verweise!$A$2:$A$4542,Übersicht!$C$7,Verweise!$B$2:$B$4542,B1594)=1,"Feiertag",IF(C1594="Samstag","",IF(C1594="Sonntag","",Übersicht!$C$8)))</f>
        <v>Büro</v>
      </c>
    </row>
    <row r="1595" spans="1:4" x14ac:dyDescent="0.25">
      <c r="A1595" t="s">
        <v>70</v>
      </c>
      <c r="B1595" s="48">
        <v>43740</v>
      </c>
      <c r="C1595" t="s">
        <v>53</v>
      </c>
      <c r="D1595" t="str">
        <f>IF(COUNTIFS(Verweise!$A$2:$A$4542,Übersicht!$C$7,Verweise!$B$2:$B$4542,B1595)=1,"Feiertag",IF(C1595="Samstag","",IF(C1595="Sonntag","",Übersicht!$C$8)))</f>
        <v>Feiertag</v>
      </c>
    </row>
    <row r="1596" spans="1:4" x14ac:dyDescent="0.25">
      <c r="A1596" t="s">
        <v>70</v>
      </c>
      <c r="B1596" s="48">
        <v>43769</v>
      </c>
      <c r="C1596" t="s">
        <v>54</v>
      </c>
      <c r="D1596" t="str">
        <f>IF(COUNTIFS(Verweise!$A$2:$A$4542,Übersicht!$C$7,Verweise!$B$2:$B$4542,B1596)=1,"Feiertag",IF(C1596="Samstag","",IF(C1596="Sonntag","",Übersicht!$C$8)))</f>
        <v>Feiertag</v>
      </c>
    </row>
    <row r="1597" spans="1:4" x14ac:dyDescent="0.25">
      <c r="A1597" t="s">
        <v>70</v>
      </c>
      <c r="B1597" s="48">
        <v>43823</v>
      </c>
      <c r="C1597" t="s">
        <v>55</v>
      </c>
      <c r="D1597" t="str">
        <f>IF(COUNTIFS(Verweise!$A$2:$A$4542,Übersicht!$C$7,Verweise!$B$2:$B$4542,B1597)=1,"Feiertag",IF(C1597="Samstag","",IF(C1597="Sonntag","",Übersicht!$C$8)))</f>
        <v>Feiertag</v>
      </c>
    </row>
    <row r="1598" spans="1:4" x14ac:dyDescent="0.25">
      <c r="A1598" t="s">
        <v>70</v>
      </c>
      <c r="B1598" s="48">
        <v>43824</v>
      </c>
      <c r="C1598" t="s">
        <v>56</v>
      </c>
      <c r="D1598" t="str">
        <f>IF(COUNTIFS(Verweise!$A$2:$A$4542,Übersicht!$C$7,Verweise!$B$2:$B$4542,B1598)=1,"Feiertag",IF(C1598="Samstag","",IF(C1598="Sonntag","",Übersicht!$C$8)))</f>
        <v>Feiertag</v>
      </c>
    </row>
    <row r="1599" spans="1:4" x14ac:dyDescent="0.25">
      <c r="A1599" t="s">
        <v>71</v>
      </c>
      <c r="B1599" s="48">
        <v>43465</v>
      </c>
      <c r="C1599" t="s">
        <v>43</v>
      </c>
      <c r="D1599" t="str">
        <f>IF(COUNTIFS(Verweise!$A$2:$A$4542,Übersicht!$C$7,Verweise!$B$2:$B$4542,B1599)=1,"Feiertag",IF(C1599="Samstag","",IF(C1599="Sonntag","",Übersicht!$C$8)))</f>
        <v>Feiertag</v>
      </c>
    </row>
    <row r="1600" spans="1:4" x14ac:dyDescent="0.25">
      <c r="A1600" t="s">
        <v>71</v>
      </c>
      <c r="B1600" s="48">
        <v>43561</v>
      </c>
      <c r="C1600" t="s">
        <v>45</v>
      </c>
      <c r="D1600" t="str">
        <f>IF(COUNTIFS(Verweise!$A$2:$A$4542,Übersicht!$C$7,Verweise!$B$2:$B$4542,B1600)=1,"Feiertag",IF(C1600="Samstag","",IF(C1600="Sonntag","",Übersicht!$C$8)))</f>
        <v>Feiertag</v>
      </c>
    </row>
    <row r="1601" spans="1:4" x14ac:dyDescent="0.25">
      <c r="A1601" t="s">
        <v>71</v>
      </c>
      <c r="B1601" s="48">
        <v>43563</v>
      </c>
      <c r="C1601" t="s">
        <v>46</v>
      </c>
      <c r="D1601" t="str">
        <f>IF(COUNTIFS(Verweise!$A$2:$A$4542,Übersicht!$C$7,Verweise!$B$2:$B$4542,B1601)=1,"Feiertag",IF(C1601="Samstag","",IF(C1601="Sonntag","",Übersicht!$C$8)))</f>
        <v>Feiertag</v>
      </c>
    </row>
    <row r="1602" spans="1:4" x14ac:dyDescent="0.25">
      <c r="A1602" t="s">
        <v>71</v>
      </c>
      <c r="B1602" s="48">
        <v>43564</v>
      </c>
      <c r="C1602" t="s">
        <v>47</v>
      </c>
      <c r="D1602" t="str">
        <f>IF(COUNTIFS(Verweise!$A$2:$A$4542,Übersicht!$C$7,Verweise!$B$2:$B$4542,B1602)=1,"Feiertag",IF(C1602="Samstag","",IF(C1602="Sonntag","",Übersicht!$C$8)))</f>
        <v>Feiertag</v>
      </c>
    </row>
    <row r="1603" spans="1:4" x14ac:dyDescent="0.25">
      <c r="A1603" t="s">
        <v>71</v>
      </c>
      <c r="B1603" s="48">
        <v>43585</v>
      </c>
      <c r="C1603" t="s">
        <v>48</v>
      </c>
      <c r="D1603" t="str">
        <f>IF(COUNTIFS(Verweise!$A$2:$A$4542,Übersicht!$C$7,Verweise!$B$2:$B$4542,B1603)=1,"Feiertag",IF(C1603="Samstag","",IF(C1603="Sonntag","",Übersicht!$C$8)))</f>
        <v>Feiertag</v>
      </c>
    </row>
    <row r="1604" spans="1:4" x14ac:dyDescent="0.25">
      <c r="A1604" t="s">
        <v>71</v>
      </c>
      <c r="B1604" s="48">
        <v>43602</v>
      </c>
      <c r="C1604" t="s">
        <v>49</v>
      </c>
      <c r="D1604" t="str">
        <f>IF(COUNTIFS(Verweise!$A$2:$A$4542,Übersicht!$C$7,Verweise!$B$2:$B$4542,B1604)=1,"Feiertag",IF(C1604="Samstag","",IF(C1604="Sonntag","",Übersicht!$C$8)))</f>
        <v>Feiertag</v>
      </c>
    </row>
    <row r="1605" spans="1:4" x14ac:dyDescent="0.25">
      <c r="A1605" t="s">
        <v>71</v>
      </c>
      <c r="B1605" s="48">
        <v>43612</v>
      </c>
      <c r="C1605" t="s">
        <v>50</v>
      </c>
      <c r="D1605" t="str">
        <f>IF(COUNTIFS(Verweise!$A$2:$A$4542,Übersicht!$C$7,Verweise!$B$2:$B$4542,B1605)=1,"Feiertag",IF(C1605="Samstag","",IF(C1605="Sonntag","",Übersicht!$C$8)))</f>
        <v>Feiertag</v>
      </c>
    </row>
    <row r="1606" spans="1:4" x14ac:dyDescent="0.25">
      <c r="A1606" t="s">
        <v>71</v>
      </c>
      <c r="B1606" s="48">
        <v>43613</v>
      </c>
      <c r="C1606" t="s">
        <v>51</v>
      </c>
      <c r="D1606" t="str">
        <f>IF(COUNTIFS(Verweise!$A$2:$A$4542,Übersicht!$C$7,Verweise!$B$2:$B$4542,B1606)=1,"Feiertag",IF(C1606="Samstag","",IF(C1606="Sonntag","",Übersicht!$C$8)))</f>
        <v>Feiertag</v>
      </c>
    </row>
    <row r="1607" spans="1:4" x14ac:dyDescent="0.25">
      <c r="A1607" t="s">
        <v>71</v>
      </c>
      <c r="B1607" s="48">
        <v>43740</v>
      </c>
      <c r="C1607" t="s">
        <v>53</v>
      </c>
      <c r="D1607" t="str">
        <f>IF(COUNTIFS(Verweise!$A$2:$A$4542,Übersicht!$C$7,Verweise!$B$2:$B$4542,B1607)=1,"Feiertag",IF(C1607="Samstag","",IF(C1607="Sonntag","",Übersicht!$C$8)))</f>
        <v>Feiertag</v>
      </c>
    </row>
    <row r="1608" spans="1:4" x14ac:dyDescent="0.25">
      <c r="A1608" t="s">
        <v>71</v>
      </c>
      <c r="B1608" s="48">
        <v>43768</v>
      </c>
      <c r="C1608" t="s">
        <v>62</v>
      </c>
      <c r="D1608" t="str">
        <f>IF(COUNTIFS(Verweise!$A$2:$A$4542,Übersicht!$C$7,Verweise!$B$2:$B$4542,B1608)=1,"Feiertag",IF(C1608="Samstag","",IF(C1608="Sonntag","",Übersicht!$C$8)))</f>
        <v>Büro</v>
      </c>
    </row>
    <row r="1609" spans="1:4" x14ac:dyDescent="0.25">
      <c r="A1609" t="s">
        <v>71</v>
      </c>
      <c r="B1609" s="48">
        <v>43790</v>
      </c>
      <c r="C1609" t="s">
        <v>72</v>
      </c>
      <c r="D1609" t="str">
        <f>IF(COUNTIFS(Verweise!$A$2:$A$4542,Übersicht!$C$7,Verweise!$B$2:$B$4542,B1609)=1,"Feiertag",IF(C1609="Samstag","",IF(C1609="Sonntag","",Übersicht!$C$8)))</f>
        <v>Büro</v>
      </c>
    </row>
    <row r="1610" spans="1:4" x14ac:dyDescent="0.25">
      <c r="A1610" t="s">
        <v>71</v>
      </c>
      <c r="B1610" s="48">
        <v>43823</v>
      </c>
      <c r="C1610" t="s">
        <v>55</v>
      </c>
      <c r="D1610" t="str">
        <f>IF(COUNTIFS(Verweise!$A$2:$A$4542,Übersicht!$C$7,Verweise!$B$2:$B$4542,B1610)=1,"Feiertag",IF(C1610="Samstag","",IF(C1610="Sonntag","",Übersicht!$C$8)))</f>
        <v>Feiertag</v>
      </c>
    </row>
    <row r="1611" spans="1:4" x14ac:dyDescent="0.25">
      <c r="A1611" t="s">
        <v>71</v>
      </c>
      <c r="B1611" s="48">
        <v>43824</v>
      </c>
      <c r="C1611" t="s">
        <v>56</v>
      </c>
      <c r="D1611" t="str">
        <f>IF(COUNTIFS(Verweise!$A$2:$A$4542,Übersicht!$C$7,Verweise!$B$2:$B$4542,B1611)=1,"Feiertag",IF(C1611="Samstag","",IF(C1611="Sonntag","",Übersicht!$C$8)))</f>
        <v>Feiertag</v>
      </c>
    </row>
    <row r="1612" spans="1:4" x14ac:dyDescent="0.25">
      <c r="A1612" t="s">
        <v>73</v>
      </c>
      <c r="B1612" s="48">
        <v>43465</v>
      </c>
      <c r="C1612" t="s">
        <v>43</v>
      </c>
      <c r="D1612" t="str">
        <f>IF(COUNTIFS(Verweise!$A$2:$A$4542,Übersicht!$C$7,Verweise!$B$2:$B$4542,B1612)=1,"Feiertag",IF(C1612="Samstag","",IF(C1612="Sonntag","",Übersicht!$C$8)))</f>
        <v>Feiertag</v>
      </c>
    </row>
    <row r="1613" spans="1:4" x14ac:dyDescent="0.25">
      <c r="A1613" t="s">
        <v>73</v>
      </c>
      <c r="B1613" s="48">
        <v>43561</v>
      </c>
      <c r="C1613" t="s">
        <v>45</v>
      </c>
      <c r="D1613" t="str">
        <f>IF(COUNTIFS(Verweise!$A$2:$A$4542,Übersicht!$C$7,Verweise!$B$2:$B$4542,B1613)=1,"Feiertag",IF(C1613="Samstag","",IF(C1613="Sonntag","",Übersicht!$C$8)))</f>
        <v>Feiertag</v>
      </c>
    </row>
    <row r="1614" spans="1:4" x14ac:dyDescent="0.25">
      <c r="A1614" t="s">
        <v>73</v>
      </c>
      <c r="B1614" s="48">
        <v>43563</v>
      </c>
      <c r="C1614" t="s">
        <v>46</v>
      </c>
      <c r="D1614" t="str">
        <f>IF(COUNTIFS(Verweise!$A$2:$A$4542,Übersicht!$C$7,Verweise!$B$2:$B$4542,B1614)=1,"Feiertag",IF(C1614="Samstag","",IF(C1614="Sonntag","",Übersicht!$C$8)))</f>
        <v>Feiertag</v>
      </c>
    </row>
    <row r="1615" spans="1:4" x14ac:dyDescent="0.25">
      <c r="A1615" t="s">
        <v>73</v>
      </c>
      <c r="B1615" s="48">
        <v>43564</v>
      </c>
      <c r="C1615" t="s">
        <v>47</v>
      </c>
      <c r="D1615" t="str">
        <f>IF(COUNTIFS(Verweise!$A$2:$A$4542,Übersicht!$C$7,Verweise!$B$2:$B$4542,B1615)=1,"Feiertag",IF(C1615="Samstag","",IF(C1615="Sonntag","",Übersicht!$C$8)))</f>
        <v>Feiertag</v>
      </c>
    </row>
    <row r="1616" spans="1:4" x14ac:dyDescent="0.25">
      <c r="A1616" t="s">
        <v>73</v>
      </c>
      <c r="B1616" s="48">
        <v>43585</v>
      </c>
      <c r="C1616" t="s">
        <v>48</v>
      </c>
      <c r="D1616" t="str">
        <f>IF(COUNTIFS(Verweise!$A$2:$A$4542,Übersicht!$C$7,Verweise!$B$2:$B$4542,B1616)=1,"Feiertag",IF(C1616="Samstag","",IF(C1616="Sonntag","",Übersicht!$C$8)))</f>
        <v>Feiertag</v>
      </c>
    </row>
    <row r="1617" spans="1:4" x14ac:dyDescent="0.25">
      <c r="A1617" t="s">
        <v>73</v>
      </c>
      <c r="B1617" s="48">
        <v>43602</v>
      </c>
      <c r="C1617" t="s">
        <v>49</v>
      </c>
      <c r="D1617" t="str">
        <f>IF(COUNTIFS(Verweise!$A$2:$A$4542,Übersicht!$C$7,Verweise!$B$2:$B$4542,B1617)=1,"Feiertag",IF(C1617="Samstag","",IF(C1617="Sonntag","",Übersicht!$C$8)))</f>
        <v>Feiertag</v>
      </c>
    </row>
    <row r="1618" spans="1:4" x14ac:dyDescent="0.25">
      <c r="A1618" t="s">
        <v>73</v>
      </c>
      <c r="B1618" s="48">
        <v>43612</v>
      </c>
      <c r="C1618" t="s">
        <v>50</v>
      </c>
      <c r="D1618" t="str">
        <f>IF(COUNTIFS(Verweise!$A$2:$A$4542,Übersicht!$C$7,Verweise!$B$2:$B$4542,B1618)=1,"Feiertag",IF(C1618="Samstag","",IF(C1618="Sonntag","",Übersicht!$C$8)))</f>
        <v>Feiertag</v>
      </c>
    </row>
    <row r="1619" spans="1:4" x14ac:dyDescent="0.25">
      <c r="A1619" t="s">
        <v>73</v>
      </c>
      <c r="B1619" s="48">
        <v>43613</v>
      </c>
      <c r="C1619" t="s">
        <v>51</v>
      </c>
      <c r="D1619" t="str">
        <f>IF(COUNTIFS(Verweise!$A$2:$A$4542,Übersicht!$C$7,Verweise!$B$2:$B$4542,B1619)=1,"Feiertag",IF(C1619="Samstag","",IF(C1619="Sonntag","",Übersicht!$C$8)))</f>
        <v>Feiertag</v>
      </c>
    </row>
    <row r="1620" spans="1:4" x14ac:dyDescent="0.25">
      <c r="A1620" t="s">
        <v>73</v>
      </c>
      <c r="B1620" s="48">
        <v>43623</v>
      </c>
      <c r="C1620" t="s">
        <v>52</v>
      </c>
      <c r="D1620" t="str">
        <f>IF(COUNTIFS(Verweise!$A$2:$A$4542,Übersicht!$C$7,Verweise!$B$2:$B$4542,B1620)=1,"Feiertag",IF(C1620="Samstag","",IF(C1620="Sonntag","",Übersicht!$C$8)))</f>
        <v>Feiertag</v>
      </c>
    </row>
    <row r="1621" spans="1:4" x14ac:dyDescent="0.25">
      <c r="A1621" t="s">
        <v>73</v>
      </c>
      <c r="B1621" s="48">
        <v>43740</v>
      </c>
      <c r="C1621" t="s">
        <v>53</v>
      </c>
      <c r="D1621" t="str">
        <f>IF(COUNTIFS(Verweise!$A$2:$A$4542,Übersicht!$C$7,Verweise!$B$2:$B$4542,B1621)=1,"Feiertag",IF(C1621="Samstag","",IF(C1621="Sonntag","",Übersicht!$C$8)))</f>
        <v>Feiertag</v>
      </c>
    </row>
    <row r="1622" spans="1:4" x14ac:dyDescent="0.25">
      <c r="A1622" t="s">
        <v>73</v>
      </c>
      <c r="B1622" s="48">
        <v>43768</v>
      </c>
      <c r="C1622" t="s">
        <v>62</v>
      </c>
      <c r="D1622" t="str">
        <f>IF(COUNTIFS(Verweise!$A$2:$A$4542,Übersicht!$C$7,Verweise!$B$2:$B$4542,B1622)=1,"Feiertag",IF(C1622="Samstag","",IF(C1622="Sonntag","",Übersicht!$C$8)))</f>
        <v>Büro</v>
      </c>
    </row>
    <row r="1623" spans="1:4" x14ac:dyDescent="0.25">
      <c r="A1623" t="s">
        <v>73</v>
      </c>
      <c r="B1623" s="48">
        <v>43790</v>
      </c>
      <c r="C1623" t="s">
        <v>72</v>
      </c>
      <c r="D1623" t="str">
        <f>IF(COUNTIFS(Verweise!$A$2:$A$4542,Übersicht!$C$7,Verweise!$B$2:$B$4542,B1623)=1,"Feiertag",IF(C1623="Samstag","",IF(C1623="Sonntag","",Übersicht!$C$8)))</f>
        <v>Büro</v>
      </c>
    </row>
    <row r="1624" spans="1:4" x14ac:dyDescent="0.25">
      <c r="A1624" t="s">
        <v>73</v>
      </c>
      <c r="B1624" s="48">
        <v>43823</v>
      </c>
      <c r="C1624" t="s">
        <v>55</v>
      </c>
      <c r="D1624" t="str">
        <f>IF(COUNTIFS(Verweise!$A$2:$A$4542,Übersicht!$C$7,Verweise!$B$2:$B$4542,B1624)=1,"Feiertag",IF(C1624="Samstag","",IF(C1624="Sonntag","",Übersicht!$C$8)))</f>
        <v>Feiertag</v>
      </c>
    </row>
    <row r="1625" spans="1:4" x14ac:dyDescent="0.25">
      <c r="A1625" t="s">
        <v>73</v>
      </c>
      <c r="B1625" s="48">
        <v>43824</v>
      </c>
      <c r="C1625" t="s">
        <v>56</v>
      </c>
      <c r="D1625" t="str">
        <f>IF(COUNTIFS(Verweise!$A$2:$A$4542,Übersicht!$C$7,Verweise!$B$2:$B$4542,B1625)=1,"Feiertag",IF(C1625="Samstag","",IF(C1625="Sonntag","",Übersicht!$C$8)))</f>
        <v>Feiertag</v>
      </c>
    </row>
    <row r="1626" spans="1:4" x14ac:dyDescent="0.25">
      <c r="A1626" t="s">
        <v>74</v>
      </c>
      <c r="B1626" s="48">
        <v>43465</v>
      </c>
      <c r="C1626" t="s">
        <v>43</v>
      </c>
      <c r="D1626" t="str">
        <f>IF(COUNTIFS(Verweise!$A$2:$A$4542,Übersicht!$C$7,Verweise!$B$2:$B$4542,B1626)=1,"Feiertag",IF(C1626="Samstag","",IF(C1626="Sonntag","",Übersicht!$C$8)))</f>
        <v>Feiertag</v>
      </c>
    </row>
    <row r="1627" spans="1:4" x14ac:dyDescent="0.25">
      <c r="A1627" t="s">
        <v>74</v>
      </c>
      <c r="B1627" s="48">
        <v>43470</v>
      </c>
      <c r="C1627" t="s">
        <v>44</v>
      </c>
      <c r="D1627" t="str">
        <f>IF(COUNTIFS(Verweise!$A$2:$A$4542,Übersicht!$C$7,Verweise!$B$2:$B$4542,B1627)=1,"Feiertag",IF(C1627="Samstag","",IF(C1627="Sonntag","",Übersicht!$C$8)))</f>
        <v>Büro</v>
      </c>
    </row>
    <row r="1628" spans="1:4" x14ac:dyDescent="0.25">
      <c r="A1628" t="s">
        <v>74</v>
      </c>
      <c r="B1628" s="48">
        <v>43561</v>
      </c>
      <c r="C1628" t="s">
        <v>45</v>
      </c>
      <c r="D1628" t="str">
        <f>IF(COUNTIFS(Verweise!$A$2:$A$4542,Übersicht!$C$7,Verweise!$B$2:$B$4542,B1628)=1,"Feiertag",IF(C1628="Samstag","",IF(C1628="Sonntag","",Übersicht!$C$8)))</f>
        <v>Feiertag</v>
      </c>
    </row>
    <row r="1629" spans="1:4" x14ac:dyDescent="0.25">
      <c r="A1629" t="s">
        <v>74</v>
      </c>
      <c r="B1629" s="48">
        <v>43563</v>
      </c>
      <c r="C1629" t="s">
        <v>46</v>
      </c>
      <c r="D1629" t="str">
        <f>IF(COUNTIFS(Verweise!$A$2:$A$4542,Übersicht!$C$7,Verweise!$B$2:$B$4542,B1629)=1,"Feiertag",IF(C1629="Samstag","",IF(C1629="Sonntag","",Übersicht!$C$8)))</f>
        <v>Feiertag</v>
      </c>
    </row>
    <row r="1630" spans="1:4" x14ac:dyDescent="0.25">
      <c r="A1630" t="s">
        <v>74</v>
      </c>
      <c r="B1630" s="48">
        <v>43564</v>
      </c>
      <c r="C1630" t="s">
        <v>47</v>
      </c>
      <c r="D1630" t="str">
        <f>IF(COUNTIFS(Verweise!$A$2:$A$4542,Übersicht!$C$7,Verweise!$B$2:$B$4542,B1630)=1,"Feiertag",IF(C1630="Samstag","",IF(C1630="Sonntag","",Übersicht!$C$8)))</f>
        <v>Feiertag</v>
      </c>
    </row>
    <row r="1631" spans="1:4" x14ac:dyDescent="0.25">
      <c r="A1631" t="s">
        <v>74</v>
      </c>
      <c r="B1631" s="48">
        <v>43585</v>
      </c>
      <c r="C1631" t="s">
        <v>48</v>
      </c>
      <c r="D1631" t="str">
        <f>IF(COUNTIFS(Verweise!$A$2:$A$4542,Übersicht!$C$7,Verweise!$B$2:$B$4542,B1631)=1,"Feiertag",IF(C1631="Samstag","",IF(C1631="Sonntag","",Übersicht!$C$8)))</f>
        <v>Feiertag</v>
      </c>
    </row>
    <row r="1632" spans="1:4" x14ac:dyDescent="0.25">
      <c r="A1632" t="s">
        <v>74</v>
      </c>
      <c r="B1632" s="48">
        <v>43602</v>
      </c>
      <c r="C1632" t="s">
        <v>49</v>
      </c>
      <c r="D1632" t="str">
        <f>IF(COUNTIFS(Verweise!$A$2:$A$4542,Übersicht!$C$7,Verweise!$B$2:$B$4542,B1632)=1,"Feiertag",IF(C1632="Samstag","",IF(C1632="Sonntag","",Übersicht!$C$8)))</f>
        <v>Feiertag</v>
      </c>
    </row>
    <row r="1633" spans="1:4" x14ac:dyDescent="0.25">
      <c r="A1633" t="s">
        <v>74</v>
      </c>
      <c r="B1633" s="48">
        <v>43612</v>
      </c>
      <c r="C1633" t="s">
        <v>50</v>
      </c>
      <c r="D1633" t="str">
        <f>IF(COUNTIFS(Verweise!$A$2:$A$4542,Übersicht!$C$7,Verweise!$B$2:$B$4542,B1633)=1,"Feiertag",IF(C1633="Samstag","",IF(C1633="Sonntag","",Übersicht!$C$8)))</f>
        <v>Feiertag</v>
      </c>
    </row>
    <row r="1634" spans="1:4" x14ac:dyDescent="0.25">
      <c r="A1634" t="s">
        <v>74</v>
      </c>
      <c r="B1634" s="48">
        <v>43613</v>
      </c>
      <c r="C1634" t="s">
        <v>51</v>
      </c>
      <c r="D1634" t="str">
        <f>IF(COUNTIFS(Verweise!$A$2:$A$4542,Übersicht!$C$7,Verweise!$B$2:$B$4542,B1634)=1,"Feiertag",IF(C1634="Samstag","",IF(C1634="Sonntag","",Übersicht!$C$8)))</f>
        <v>Feiertag</v>
      </c>
    </row>
    <row r="1635" spans="1:4" x14ac:dyDescent="0.25">
      <c r="A1635" t="s">
        <v>74</v>
      </c>
      <c r="B1635" s="48">
        <v>43740</v>
      </c>
      <c r="C1635" t="s">
        <v>53</v>
      </c>
      <c r="D1635" t="str">
        <f>IF(COUNTIFS(Verweise!$A$2:$A$4542,Übersicht!$C$7,Verweise!$B$2:$B$4542,B1635)=1,"Feiertag",IF(C1635="Samstag","",IF(C1635="Sonntag","",Übersicht!$C$8)))</f>
        <v>Feiertag</v>
      </c>
    </row>
    <row r="1636" spans="1:4" x14ac:dyDescent="0.25">
      <c r="A1636" t="s">
        <v>74</v>
      </c>
      <c r="B1636" s="48">
        <v>43768</v>
      </c>
      <c r="C1636" t="s">
        <v>62</v>
      </c>
      <c r="D1636" t="str">
        <f>IF(COUNTIFS(Verweise!$A$2:$A$4542,Übersicht!$C$7,Verweise!$B$2:$B$4542,B1636)=1,"Feiertag",IF(C1636="Samstag","",IF(C1636="Sonntag","",Übersicht!$C$8)))</f>
        <v>Büro</v>
      </c>
    </row>
    <row r="1637" spans="1:4" x14ac:dyDescent="0.25">
      <c r="A1637" t="s">
        <v>74</v>
      </c>
      <c r="B1637" s="48">
        <v>43823</v>
      </c>
      <c r="C1637" t="s">
        <v>55</v>
      </c>
      <c r="D1637" t="str">
        <f>IF(COUNTIFS(Verweise!$A$2:$A$4542,Übersicht!$C$7,Verweise!$B$2:$B$4542,B1637)=1,"Feiertag",IF(C1637="Samstag","",IF(C1637="Sonntag","",Übersicht!$C$8)))</f>
        <v>Feiertag</v>
      </c>
    </row>
    <row r="1638" spans="1:4" x14ac:dyDescent="0.25">
      <c r="A1638" t="s">
        <v>74</v>
      </c>
      <c r="B1638" s="48">
        <v>43824</v>
      </c>
      <c r="C1638" t="s">
        <v>56</v>
      </c>
      <c r="D1638" t="str">
        <f>IF(COUNTIFS(Verweise!$A$2:$A$4542,Übersicht!$C$7,Verweise!$B$2:$B$4542,B1638)=1,"Feiertag",IF(C1638="Samstag","",IF(C1638="Sonntag","",Übersicht!$C$8)))</f>
        <v>Feiertag</v>
      </c>
    </row>
    <row r="1639" spans="1:4" x14ac:dyDescent="0.25">
      <c r="A1639" t="s">
        <v>75</v>
      </c>
      <c r="B1639" s="48">
        <v>43465</v>
      </c>
      <c r="C1639" t="s">
        <v>43</v>
      </c>
      <c r="D1639" t="str">
        <f>IF(COUNTIFS(Verweise!$A$2:$A$4542,Übersicht!$C$7,Verweise!$B$2:$B$4542,B1639)=1,"Feiertag",IF(C1639="Samstag","",IF(C1639="Sonntag","",Übersicht!$C$8)))</f>
        <v>Feiertag</v>
      </c>
    </row>
    <row r="1640" spans="1:4" x14ac:dyDescent="0.25">
      <c r="A1640" t="s">
        <v>75</v>
      </c>
      <c r="B1640" s="48">
        <v>43561</v>
      </c>
      <c r="C1640" t="s">
        <v>45</v>
      </c>
      <c r="D1640" t="str">
        <f>IF(COUNTIFS(Verweise!$A$2:$A$4542,Übersicht!$C$7,Verweise!$B$2:$B$4542,B1640)=1,"Feiertag",IF(C1640="Samstag","",IF(C1640="Sonntag","",Übersicht!$C$8)))</f>
        <v>Feiertag</v>
      </c>
    </row>
    <row r="1641" spans="1:4" x14ac:dyDescent="0.25">
      <c r="A1641" t="s">
        <v>75</v>
      </c>
      <c r="B1641" s="48">
        <v>43563</v>
      </c>
      <c r="C1641" t="s">
        <v>46</v>
      </c>
      <c r="D1641" t="str">
        <f>IF(COUNTIFS(Verweise!$A$2:$A$4542,Übersicht!$C$7,Verweise!$B$2:$B$4542,B1641)=1,"Feiertag",IF(C1641="Samstag","",IF(C1641="Sonntag","",Übersicht!$C$8)))</f>
        <v>Feiertag</v>
      </c>
    </row>
    <row r="1642" spans="1:4" x14ac:dyDescent="0.25">
      <c r="A1642" t="s">
        <v>75</v>
      </c>
      <c r="B1642" s="48">
        <v>43564</v>
      </c>
      <c r="C1642" t="s">
        <v>47</v>
      </c>
      <c r="D1642" t="str">
        <f>IF(COUNTIFS(Verweise!$A$2:$A$4542,Übersicht!$C$7,Verweise!$B$2:$B$4542,B1642)=1,"Feiertag",IF(C1642="Samstag","",IF(C1642="Sonntag","",Übersicht!$C$8)))</f>
        <v>Feiertag</v>
      </c>
    </row>
    <row r="1643" spans="1:4" x14ac:dyDescent="0.25">
      <c r="A1643" t="s">
        <v>75</v>
      </c>
      <c r="B1643" s="48">
        <v>43585</v>
      </c>
      <c r="C1643" t="s">
        <v>48</v>
      </c>
      <c r="D1643" t="str">
        <f>IF(COUNTIFS(Verweise!$A$2:$A$4542,Übersicht!$C$7,Verweise!$B$2:$B$4542,B1643)=1,"Feiertag",IF(C1643="Samstag","",IF(C1643="Sonntag","",Übersicht!$C$8)))</f>
        <v>Feiertag</v>
      </c>
    </row>
    <row r="1644" spans="1:4" x14ac:dyDescent="0.25">
      <c r="A1644" t="s">
        <v>75</v>
      </c>
      <c r="B1644" s="48">
        <v>43602</v>
      </c>
      <c r="C1644" t="s">
        <v>49</v>
      </c>
      <c r="D1644" t="str">
        <f>IF(COUNTIFS(Verweise!$A$2:$A$4542,Übersicht!$C$7,Verweise!$B$2:$B$4542,B1644)=1,"Feiertag",IF(C1644="Samstag","",IF(C1644="Sonntag","",Übersicht!$C$8)))</f>
        <v>Feiertag</v>
      </c>
    </row>
    <row r="1645" spans="1:4" x14ac:dyDescent="0.25">
      <c r="A1645" t="s">
        <v>75</v>
      </c>
      <c r="B1645" s="48">
        <v>43612</v>
      </c>
      <c r="C1645" t="s">
        <v>50</v>
      </c>
      <c r="D1645" t="str">
        <f>IF(COUNTIFS(Verweise!$A$2:$A$4542,Übersicht!$C$7,Verweise!$B$2:$B$4542,B1645)=1,"Feiertag",IF(C1645="Samstag","",IF(C1645="Sonntag","",Übersicht!$C$8)))</f>
        <v>Feiertag</v>
      </c>
    </row>
    <row r="1646" spans="1:4" x14ac:dyDescent="0.25">
      <c r="A1646" t="s">
        <v>75</v>
      </c>
      <c r="B1646" s="48">
        <v>43613</v>
      </c>
      <c r="C1646" t="s">
        <v>51</v>
      </c>
      <c r="D1646" t="str">
        <f>IF(COUNTIFS(Verweise!$A$2:$A$4542,Übersicht!$C$7,Verweise!$B$2:$B$4542,B1646)=1,"Feiertag",IF(C1646="Samstag","",IF(C1646="Sonntag","",Übersicht!$C$8)))</f>
        <v>Feiertag</v>
      </c>
    </row>
    <row r="1647" spans="1:4" x14ac:dyDescent="0.25">
      <c r="A1647" t="s">
        <v>75</v>
      </c>
      <c r="B1647" s="48">
        <v>43740</v>
      </c>
      <c r="C1647" t="s">
        <v>53</v>
      </c>
      <c r="D1647" t="str">
        <f>IF(COUNTIFS(Verweise!$A$2:$A$4542,Übersicht!$C$7,Verweise!$B$2:$B$4542,B1647)=1,"Feiertag",IF(C1647="Samstag","",IF(C1647="Sonntag","",Übersicht!$C$8)))</f>
        <v>Feiertag</v>
      </c>
    </row>
    <row r="1648" spans="1:4" x14ac:dyDescent="0.25">
      <c r="A1648" t="s">
        <v>75</v>
      </c>
      <c r="B1648" s="48">
        <v>43823</v>
      </c>
      <c r="C1648" t="s">
        <v>55</v>
      </c>
      <c r="D1648" t="str">
        <f>IF(COUNTIFS(Verweise!$A$2:$A$4542,Übersicht!$C$7,Verweise!$B$2:$B$4542,B1648)=1,"Feiertag",IF(C1648="Samstag","",IF(C1648="Sonntag","",Übersicht!$C$8)))</f>
        <v>Feiertag</v>
      </c>
    </row>
    <row r="1649" spans="1:4" x14ac:dyDescent="0.25">
      <c r="A1649" t="s">
        <v>75</v>
      </c>
      <c r="B1649" s="48">
        <v>43824</v>
      </c>
      <c r="C1649" t="s">
        <v>56</v>
      </c>
      <c r="D1649" t="str">
        <f>IF(COUNTIFS(Verweise!$A$2:$A$4542,Übersicht!$C$7,Verweise!$B$2:$B$4542,B1649)=1,"Feiertag",IF(C1649="Samstag","",IF(C1649="Sonntag","",Übersicht!$C$8)))</f>
        <v>Feiertag</v>
      </c>
    </row>
    <row r="1650" spans="1:4" x14ac:dyDescent="0.25">
      <c r="A1650" t="s">
        <v>76</v>
      </c>
      <c r="B1650" s="48">
        <v>43465</v>
      </c>
      <c r="C1650" t="s">
        <v>43</v>
      </c>
      <c r="D1650" t="str">
        <f>IF(COUNTIFS(Verweise!$A$2:$A$4542,Übersicht!$C$7,Verweise!$B$2:$B$4542,B1650)=1,"Feiertag",IF(C1650="Samstag","",IF(C1650="Sonntag","",Übersicht!$C$8)))</f>
        <v>Feiertag</v>
      </c>
    </row>
    <row r="1651" spans="1:4" x14ac:dyDescent="0.25">
      <c r="A1651" t="s">
        <v>76</v>
      </c>
      <c r="B1651" s="48">
        <v>43561</v>
      </c>
      <c r="C1651" t="s">
        <v>45</v>
      </c>
      <c r="D1651" t="str">
        <f>IF(COUNTIFS(Verweise!$A$2:$A$4542,Übersicht!$C$7,Verweise!$B$2:$B$4542,B1651)=1,"Feiertag",IF(C1651="Samstag","",IF(C1651="Sonntag","",Übersicht!$C$8)))</f>
        <v>Feiertag</v>
      </c>
    </row>
    <row r="1652" spans="1:4" x14ac:dyDescent="0.25">
      <c r="A1652" t="s">
        <v>76</v>
      </c>
      <c r="B1652" s="48">
        <v>43563</v>
      </c>
      <c r="C1652" t="s">
        <v>46</v>
      </c>
      <c r="D1652" t="str">
        <f>IF(COUNTIFS(Verweise!$A$2:$A$4542,Übersicht!$C$7,Verweise!$B$2:$B$4542,B1652)=1,"Feiertag",IF(C1652="Samstag","",IF(C1652="Sonntag","",Übersicht!$C$8)))</f>
        <v>Feiertag</v>
      </c>
    </row>
    <row r="1653" spans="1:4" x14ac:dyDescent="0.25">
      <c r="A1653" t="s">
        <v>76</v>
      </c>
      <c r="B1653" s="48">
        <v>43564</v>
      </c>
      <c r="C1653" t="s">
        <v>47</v>
      </c>
      <c r="D1653" t="str">
        <f>IF(COUNTIFS(Verweise!$A$2:$A$4542,Übersicht!$C$7,Verweise!$B$2:$B$4542,B1653)=1,"Feiertag",IF(C1653="Samstag","",IF(C1653="Sonntag","",Übersicht!$C$8)))</f>
        <v>Feiertag</v>
      </c>
    </row>
    <row r="1654" spans="1:4" x14ac:dyDescent="0.25">
      <c r="A1654" t="s">
        <v>76</v>
      </c>
      <c r="B1654" s="48">
        <v>43585</v>
      </c>
      <c r="C1654" t="s">
        <v>48</v>
      </c>
      <c r="D1654" t="str">
        <f>IF(COUNTIFS(Verweise!$A$2:$A$4542,Übersicht!$C$7,Verweise!$B$2:$B$4542,B1654)=1,"Feiertag",IF(C1654="Samstag","",IF(C1654="Sonntag","",Übersicht!$C$8)))</f>
        <v>Feiertag</v>
      </c>
    </row>
    <row r="1655" spans="1:4" x14ac:dyDescent="0.25">
      <c r="A1655" t="s">
        <v>76</v>
      </c>
      <c r="B1655" s="48">
        <v>43602</v>
      </c>
      <c r="C1655" t="s">
        <v>49</v>
      </c>
      <c r="D1655" t="str">
        <f>IF(COUNTIFS(Verweise!$A$2:$A$4542,Übersicht!$C$7,Verweise!$B$2:$B$4542,B1655)=1,"Feiertag",IF(C1655="Samstag","",IF(C1655="Sonntag","",Übersicht!$C$8)))</f>
        <v>Feiertag</v>
      </c>
    </row>
    <row r="1656" spans="1:4" x14ac:dyDescent="0.25">
      <c r="A1656" t="s">
        <v>76</v>
      </c>
      <c r="B1656" s="48">
        <v>43612</v>
      </c>
      <c r="C1656" t="s">
        <v>50</v>
      </c>
      <c r="D1656" t="str">
        <f>IF(COUNTIFS(Verweise!$A$2:$A$4542,Übersicht!$C$7,Verweise!$B$2:$B$4542,B1656)=1,"Feiertag",IF(C1656="Samstag","",IF(C1656="Sonntag","",Übersicht!$C$8)))</f>
        <v>Feiertag</v>
      </c>
    </row>
    <row r="1657" spans="1:4" x14ac:dyDescent="0.25">
      <c r="A1657" t="s">
        <v>76</v>
      </c>
      <c r="B1657" s="48">
        <v>43613</v>
      </c>
      <c r="C1657" t="s">
        <v>51</v>
      </c>
      <c r="D1657" t="str">
        <f>IF(COUNTIFS(Verweise!$A$2:$A$4542,Übersicht!$C$7,Verweise!$B$2:$B$4542,B1657)=1,"Feiertag",IF(C1657="Samstag","",IF(C1657="Sonntag","",Übersicht!$C$8)))</f>
        <v>Feiertag</v>
      </c>
    </row>
    <row r="1658" spans="1:4" x14ac:dyDescent="0.25">
      <c r="A1658" t="s">
        <v>76</v>
      </c>
      <c r="B1658" s="48">
        <v>43740</v>
      </c>
      <c r="C1658" t="s">
        <v>53</v>
      </c>
      <c r="D1658" t="str">
        <f>IF(COUNTIFS(Verweise!$A$2:$A$4542,Übersicht!$C$7,Verweise!$B$2:$B$4542,B1658)=1,"Feiertag",IF(C1658="Samstag","",IF(C1658="Sonntag","",Übersicht!$C$8)))</f>
        <v>Feiertag</v>
      </c>
    </row>
    <row r="1659" spans="1:4" x14ac:dyDescent="0.25">
      <c r="A1659" t="s">
        <v>76</v>
      </c>
      <c r="B1659" s="48">
        <v>43768</v>
      </c>
      <c r="C1659" t="s">
        <v>62</v>
      </c>
      <c r="D1659" t="str">
        <f>IF(COUNTIFS(Verweise!$A$2:$A$4542,Übersicht!$C$7,Verweise!$B$2:$B$4542,B1659)=1,"Feiertag",IF(C1659="Samstag","",IF(C1659="Sonntag","",Übersicht!$C$8)))</f>
        <v>Büro</v>
      </c>
    </row>
    <row r="1660" spans="1:4" x14ac:dyDescent="0.25">
      <c r="A1660" t="s">
        <v>76</v>
      </c>
      <c r="B1660" s="48">
        <v>43823</v>
      </c>
      <c r="C1660" t="s">
        <v>55</v>
      </c>
      <c r="D1660" t="str">
        <f>IF(COUNTIFS(Verweise!$A$2:$A$4542,Übersicht!$C$7,Verweise!$B$2:$B$4542,B1660)=1,"Feiertag",IF(C1660="Samstag","",IF(C1660="Sonntag","",Übersicht!$C$8)))</f>
        <v>Feiertag</v>
      </c>
    </row>
    <row r="1661" spans="1:4" x14ac:dyDescent="0.25">
      <c r="A1661" t="s">
        <v>76</v>
      </c>
      <c r="B1661" s="48">
        <v>43824</v>
      </c>
      <c r="C1661" t="s">
        <v>56</v>
      </c>
      <c r="D1661" t="str">
        <f>IF(COUNTIFS(Verweise!$A$2:$A$4542,Übersicht!$C$7,Verweise!$B$2:$B$4542,B1661)=1,"Feiertag",IF(C1661="Samstag","",IF(C1661="Sonntag","",Übersicht!$C$8)))</f>
        <v>Feiertag</v>
      </c>
    </row>
    <row r="1662" spans="1:4" x14ac:dyDescent="0.25">
      <c r="A1662" t="s">
        <v>77</v>
      </c>
      <c r="B1662" s="48">
        <v>43465</v>
      </c>
      <c r="C1662" t="s">
        <v>43</v>
      </c>
      <c r="D1662" t="str">
        <f>IF(COUNTIFS(Verweise!$A$2:$A$4542,Übersicht!$C$7,Verweise!$B$2:$B$4542,B1662)=1,"Feiertag",IF(C1662="Samstag","",IF(C1662="Sonntag","",Übersicht!$C$8)))</f>
        <v>Feiertag</v>
      </c>
    </row>
    <row r="1663" spans="1:4" x14ac:dyDescent="0.25">
      <c r="A1663" t="s">
        <v>77</v>
      </c>
      <c r="B1663" s="48">
        <v>43561</v>
      </c>
      <c r="C1663" t="s">
        <v>45</v>
      </c>
      <c r="D1663" t="str">
        <f>IF(COUNTIFS(Verweise!$A$2:$A$4542,Übersicht!$C$7,Verweise!$B$2:$B$4542,B1663)=1,"Feiertag",IF(C1663="Samstag","",IF(C1663="Sonntag","",Übersicht!$C$8)))</f>
        <v>Feiertag</v>
      </c>
    </row>
    <row r="1664" spans="1:4" x14ac:dyDescent="0.25">
      <c r="A1664" t="s">
        <v>77</v>
      </c>
      <c r="B1664" s="48">
        <v>43563</v>
      </c>
      <c r="C1664" t="s">
        <v>46</v>
      </c>
      <c r="D1664" t="str">
        <f>IF(COUNTIFS(Verweise!$A$2:$A$4542,Übersicht!$C$7,Verweise!$B$2:$B$4542,B1664)=1,"Feiertag",IF(C1664="Samstag","",IF(C1664="Sonntag","",Übersicht!$C$8)))</f>
        <v>Feiertag</v>
      </c>
    </row>
    <row r="1665" spans="1:4" x14ac:dyDescent="0.25">
      <c r="A1665" t="s">
        <v>77</v>
      </c>
      <c r="B1665" s="48">
        <v>43564</v>
      </c>
      <c r="C1665" t="s">
        <v>47</v>
      </c>
      <c r="D1665" t="str">
        <f>IF(COUNTIFS(Verweise!$A$2:$A$4542,Übersicht!$C$7,Verweise!$B$2:$B$4542,B1665)=1,"Feiertag",IF(C1665="Samstag","",IF(C1665="Sonntag","",Übersicht!$C$8)))</f>
        <v>Feiertag</v>
      </c>
    </row>
    <row r="1666" spans="1:4" x14ac:dyDescent="0.25">
      <c r="A1666" t="s">
        <v>77</v>
      </c>
      <c r="B1666" s="48">
        <v>43585</v>
      </c>
      <c r="C1666" t="s">
        <v>48</v>
      </c>
      <c r="D1666" t="str">
        <f>IF(COUNTIFS(Verweise!$A$2:$A$4542,Übersicht!$C$7,Verweise!$B$2:$B$4542,B1666)=1,"Feiertag",IF(C1666="Samstag","",IF(C1666="Sonntag","",Übersicht!$C$8)))</f>
        <v>Feiertag</v>
      </c>
    </row>
    <row r="1667" spans="1:4" x14ac:dyDescent="0.25">
      <c r="A1667" t="s">
        <v>77</v>
      </c>
      <c r="B1667" s="48">
        <v>43602</v>
      </c>
      <c r="C1667" t="s">
        <v>49</v>
      </c>
      <c r="D1667" t="str">
        <f>IF(COUNTIFS(Verweise!$A$2:$A$4542,Übersicht!$C$7,Verweise!$B$2:$B$4542,B1667)=1,"Feiertag",IF(C1667="Samstag","",IF(C1667="Sonntag","",Übersicht!$C$8)))</f>
        <v>Feiertag</v>
      </c>
    </row>
    <row r="1668" spans="1:4" x14ac:dyDescent="0.25">
      <c r="A1668" t="s">
        <v>77</v>
      </c>
      <c r="B1668" s="48">
        <v>43612</v>
      </c>
      <c r="C1668" t="s">
        <v>50</v>
      </c>
      <c r="D1668" t="str">
        <f>IF(COUNTIFS(Verweise!$A$2:$A$4542,Übersicht!$C$7,Verweise!$B$2:$B$4542,B1668)=1,"Feiertag",IF(C1668="Samstag","",IF(C1668="Sonntag","",Übersicht!$C$8)))</f>
        <v>Feiertag</v>
      </c>
    </row>
    <row r="1669" spans="1:4" x14ac:dyDescent="0.25">
      <c r="A1669" t="s">
        <v>77</v>
      </c>
      <c r="B1669" s="48">
        <v>43613</v>
      </c>
      <c r="C1669" t="s">
        <v>51</v>
      </c>
      <c r="D1669" t="str">
        <f>IF(COUNTIFS(Verweise!$A$2:$A$4542,Übersicht!$C$7,Verweise!$B$2:$B$4542,B1669)=1,"Feiertag",IF(C1669="Samstag","",IF(C1669="Sonntag","",Übersicht!$C$8)))</f>
        <v>Feiertag</v>
      </c>
    </row>
    <row r="1670" spans="1:4" x14ac:dyDescent="0.25">
      <c r="A1670" t="s">
        <v>77</v>
      </c>
      <c r="B1670" s="48">
        <v>43623</v>
      </c>
      <c r="C1670" t="s">
        <v>52</v>
      </c>
      <c r="D1670" t="str">
        <f>IF(COUNTIFS(Verweise!$A$2:$A$4542,Übersicht!$C$7,Verweise!$B$2:$B$4542,B1670)=1,"Feiertag",IF(C1670="Samstag","",IF(C1670="Sonntag","",Übersicht!$C$8)))</f>
        <v>Feiertag</v>
      </c>
    </row>
    <row r="1671" spans="1:4" x14ac:dyDescent="0.25">
      <c r="A1671" t="s">
        <v>77</v>
      </c>
      <c r="B1671" s="48">
        <v>43740</v>
      </c>
      <c r="C1671" t="s">
        <v>53</v>
      </c>
      <c r="D1671" t="str">
        <f>IF(COUNTIFS(Verweise!$A$2:$A$4542,Übersicht!$C$7,Verweise!$B$2:$B$4542,B1671)=1,"Feiertag",IF(C1671="Samstag","",IF(C1671="Sonntag","",Übersicht!$C$8)))</f>
        <v>Feiertag</v>
      </c>
    </row>
    <row r="1672" spans="1:4" x14ac:dyDescent="0.25">
      <c r="A1672" t="s">
        <v>77</v>
      </c>
      <c r="B1672" s="48">
        <v>43768</v>
      </c>
      <c r="C1672" t="s">
        <v>62</v>
      </c>
      <c r="D1672" t="str">
        <f>IF(COUNTIFS(Verweise!$A$2:$A$4542,Übersicht!$C$7,Verweise!$B$2:$B$4542,B1672)=1,"Feiertag",IF(C1672="Samstag","",IF(C1672="Sonntag","",Übersicht!$C$8)))</f>
        <v>Büro</v>
      </c>
    </row>
    <row r="1673" spans="1:4" x14ac:dyDescent="0.25">
      <c r="A1673" t="s">
        <v>77</v>
      </c>
      <c r="B1673" s="48">
        <v>43823</v>
      </c>
      <c r="C1673" t="s">
        <v>55</v>
      </c>
      <c r="D1673" t="str">
        <f>IF(COUNTIFS(Verweise!$A$2:$A$4542,Übersicht!$C$7,Verweise!$B$2:$B$4542,B1673)=1,"Feiertag",IF(C1673="Samstag","",IF(C1673="Sonntag","",Übersicht!$C$8)))</f>
        <v>Feiertag</v>
      </c>
    </row>
    <row r="1674" spans="1:4" x14ac:dyDescent="0.25">
      <c r="A1674" t="s">
        <v>77</v>
      </c>
      <c r="B1674" s="48">
        <v>43824</v>
      </c>
      <c r="C1674" t="s">
        <v>56</v>
      </c>
      <c r="D1674" t="str">
        <f>IF(COUNTIFS(Verweise!$A$2:$A$4542,Übersicht!$C$7,Verweise!$B$2:$B$4542,B1674)=1,"Feiertag",IF(C1674="Samstag","",IF(C1674="Sonntag","",Übersicht!$C$8)))</f>
        <v>Feiertag</v>
      </c>
    </row>
    <row r="1675" spans="1:4" x14ac:dyDescent="0.25">
      <c r="A1675" t="s">
        <v>42</v>
      </c>
      <c r="B1675" s="48">
        <v>43830</v>
      </c>
      <c r="C1675" t="s">
        <v>43</v>
      </c>
      <c r="D1675" t="str">
        <f>IF(COUNTIFS(Verweise!$A$2:$A$4542,Übersicht!$C$7,Verweise!$B$2:$B$4542,B1675)=1,"Feiertag",IF(C1675="Samstag","",IF(C1675="Sonntag","",Übersicht!$C$8)))</f>
        <v>Feiertag</v>
      </c>
    </row>
    <row r="1676" spans="1:4" x14ac:dyDescent="0.25">
      <c r="A1676" t="s">
        <v>42</v>
      </c>
      <c r="B1676" s="48">
        <v>43835</v>
      </c>
      <c r="C1676" t="s">
        <v>44</v>
      </c>
      <c r="D1676" t="str">
        <f>IF(COUNTIFS(Verweise!$A$2:$A$4542,Übersicht!$C$7,Verweise!$B$2:$B$4542,B1676)=1,"Feiertag",IF(C1676="Samstag","",IF(C1676="Sonntag","",Übersicht!$C$8)))</f>
        <v>Büro</v>
      </c>
    </row>
    <row r="1677" spans="1:4" x14ac:dyDescent="0.25">
      <c r="A1677" t="s">
        <v>42</v>
      </c>
      <c r="B1677" s="48">
        <v>43918</v>
      </c>
      <c r="C1677" t="s">
        <v>45</v>
      </c>
      <c r="D1677" t="str">
        <f>IF(COUNTIFS(Verweise!$A$2:$A$4542,Übersicht!$C$7,Verweise!$B$2:$B$4542,B1677)=1,"Feiertag",IF(C1677="Samstag","",IF(C1677="Sonntag","",Übersicht!$C$8)))</f>
        <v>Feiertag</v>
      </c>
    </row>
    <row r="1678" spans="1:4" x14ac:dyDescent="0.25">
      <c r="A1678" t="s">
        <v>42</v>
      </c>
      <c r="B1678" s="48">
        <v>43920</v>
      </c>
      <c r="C1678" t="s">
        <v>46</v>
      </c>
      <c r="D1678" t="str">
        <f>IF(COUNTIFS(Verweise!$A$2:$A$4542,Übersicht!$C$7,Verweise!$B$2:$B$4542,B1678)=1,"Feiertag",IF(C1678="Samstag","",IF(C1678="Sonntag","",Übersicht!$C$8)))</f>
        <v>Feiertag</v>
      </c>
    </row>
    <row r="1679" spans="1:4" x14ac:dyDescent="0.25">
      <c r="A1679" t="s">
        <v>42</v>
      </c>
      <c r="B1679" s="48">
        <v>43921</v>
      </c>
      <c r="C1679" t="s">
        <v>47</v>
      </c>
      <c r="D1679" t="str">
        <f>IF(COUNTIFS(Verweise!$A$2:$A$4542,Übersicht!$C$7,Verweise!$B$2:$B$4542,B1679)=1,"Feiertag",IF(C1679="Samstag","",IF(C1679="Sonntag","",Übersicht!$C$8)))</f>
        <v>Feiertag</v>
      </c>
    </row>
    <row r="1680" spans="1:4" x14ac:dyDescent="0.25">
      <c r="A1680" t="s">
        <v>42</v>
      </c>
      <c r="B1680" s="48">
        <v>43951</v>
      </c>
      <c r="C1680" t="s">
        <v>48</v>
      </c>
      <c r="D1680" t="str">
        <f>IF(COUNTIFS(Verweise!$A$2:$A$4542,Übersicht!$C$7,Verweise!$B$2:$B$4542,B1680)=1,"Feiertag",IF(C1680="Samstag","",IF(C1680="Sonntag","",Übersicht!$C$8)))</f>
        <v>Feiertag</v>
      </c>
    </row>
    <row r="1681" spans="1:4" x14ac:dyDescent="0.25">
      <c r="A1681" t="s">
        <v>42</v>
      </c>
      <c r="B1681" s="48">
        <v>43959</v>
      </c>
      <c r="C1681" t="s">
        <v>49</v>
      </c>
      <c r="D1681" t="str">
        <f>IF(COUNTIFS(Verweise!$A$2:$A$4542,Übersicht!$C$7,Verweise!$B$2:$B$4542,B1681)=1,"Feiertag",IF(C1681="Samstag","",IF(C1681="Sonntag","",Übersicht!$C$8)))</f>
        <v>Feiertag</v>
      </c>
    </row>
    <row r="1682" spans="1:4" x14ac:dyDescent="0.25">
      <c r="A1682" t="s">
        <v>42</v>
      </c>
      <c r="B1682" s="48">
        <v>43969</v>
      </c>
      <c r="C1682" t="s">
        <v>50</v>
      </c>
      <c r="D1682" t="str">
        <f>IF(COUNTIFS(Verweise!$A$2:$A$4542,Übersicht!$C$7,Verweise!$B$2:$B$4542,B1682)=1,"Feiertag",IF(C1682="Samstag","",IF(C1682="Sonntag","",Übersicht!$C$8)))</f>
        <v>Feiertag</v>
      </c>
    </row>
    <row r="1683" spans="1:4" x14ac:dyDescent="0.25">
      <c r="A1683" t="s">
        <v>42</v>
      </c>
      <c r="B1683" s="48">
        <v>43970</v>
      </c>
      <c r="C1683" t="s">
        <v>51</v>
      </c>
      <c r="D1683" t="str">
        <f>IF(COUNTIFS(Verweise!$A$2:$A$4542,Übersicht!$C$7,Verweise!$B$2:$B$4542,B1683)=1,"Feiertag",IF(C1683="Samstag","",IF(C1683="Sonntag","",Übersicht!$C$8)))</f>
        <v>Feiertag</v>
      </c>
    </row>
    <row r="1684" spans="1:4" x14ac:dyDescent="0.25">
      <c r="A1684" t="s">
        <v>42</v>
      </c>
      <c r="B1684" s="48">
        <v>43980</v>
      </c>
      <c r="C1684" t="s">
        <v>52</v>
      </c>
      <c r="D1684" t="str">
        <f>IF(COUNTIFS(Verweise!$A$2:$A$4542,Übersicht!$C$7,Verweise!$B$2:$B$4542,B1684)=1,"Feiertag",IF(C1684="Samstag","",IF(C1684="Sonntag","",Übersicht!$C$8)))</f>
        <v>Feiertag</v>
      </c>
    </row>
    <row r="1685" spans="1:4" x14ac:dyDescent="0.25">
      <c r="A1685" t="s">
        <v>42</v>
      </c>
      <c r="B1685" s="48">
        <v>44106</v>
      </c>
      <c r="C1685" t="s">
        <v>53</v>
      </c>
      <c r="D1685" t="str">
        <f>IF(COUNTIFS(Verweise!$A$2:$A$4542,Übersicht!$C$7,Verweise!$B$2:$B$4542,B1685)=1,"Feiertag",IF(C1685="Samstag","",IF(C1685="Sonntag","",Übersicht!$C$8)))</f>
        <v>Feiertag</v>
      </c>
    </row>
    <row r="1686" spans="1:4" x14ac:dyDescent="0.25">
      <c r="A1686" t="s">
        <v>42</v>
      </c>
      <c r="B1686" s="48">
        <v>44135</v>
      </c>
      <c r="C1686" t="s">
        <v>54</v>
      </c>
      <c r="D1686" t="str">
        <f>IF(COUNTIFS(Verweise!$A$2:$A$4542,Übersicht!$C$7,Verweise!$B$2:$B$4542,B1686)=1,"Feiertag",IF(C1686="Samstag","",IF(C1686="Sonntag","",Übersicht!$C$8)))</f>
        <v>Feiertag</v>
      </c>
    </row>
    <row r="1687" spans="1:4" x14ac:dyDescent="0.25">
      <c r="A1687" t="s">
        <v>42</v>
      </c>
      <c r="B1687" s="48">
        <v>44189</v>
      </c>
      <c r="C1687" t="s">
        <v>55</v>
      </c>
      <c r="D1687" t="str">
        <f>IF(COUNTIFS(Verweise!$A$2:$A$4542,Übersicht!$C$7,Verweise!$B$2:$B$4542,B1687)=1,"Feiertag",IF(C1687="Samstag","",IF(C1687="Sonntag","",Übersicht!$C$8)))</f>
        <v>Feiertag</v>
      </c>
    </row>
    <row r="1688" spans="1:4" x14ac:dyDescent="0.25">
      <c r="A1688" t="s">
        <v>42</v>
      </c>
      <c r="B1688" s="48">
        <v>44190</v>
      </c>
      <c r="C1688" t="s">
        <v>56</v>
      </c>
      <c r="D1688" t="str">
        <f>IF(COUNTIFS(Verweise!$A$2:$A$4542,Übersicht!$C$7,Verweise!$B$2:$B$4542,B1688)=1,"Feiertag",IF(C1688="Samstag","",IF(C1688="Sonntag","",Übersicht!$C$8)))</f>
        <v>Feiertag</v>
      </c>
    </row>
    <row r="1689" spans="1:4" x14ac:dyDescent="0.25">
      <c r="A1689" t="s">
        <v>57</v>
      </c>
      <c r="B1689" s="48">
        <v>43830</v>
      </c>
      <c r="C1689" t="s">
        <v>43</v>
      </c>
      <c r="D1689" t="str">
        <f>IF(COUNTIFS(Verweise!$A$2:$A$4542,Übersicht!$C$7,Verweise!$B$2:$B$4542,B1689)=1,"Feiertag",IF(C1689="Samstag","",IF(C1689="Sonntag","",Übersicht!$C$8)))</f>
        <v>Feiertag</v>
      </c>
    </row>
    <row r="1690" spans="1:4" x14ac:dyDescent="0.25">
      <c r="A1690" t="s">
        <v>57</v>
      </c>
      <c r="B1690" s="48">
        <v>43835</v>
      </c>
      <c r="C1690" t="s">
        <v>44</v>
      </c>
      <c r="D1690" t="str">
        <f>IF(COUNTIFS(Verweise!$A$2:$A$4542,Übersicht!$C$7,Verweise!$B$2:$B$4542,B1690)=1,"Feiertag",IF(C1690="Samstag","",IF(C1690="Sonntag","",Übersicht!$C$8)))</f>
        <v>Büro</v>
      </c>
    </row>
    <row r="1691" spans="1:4" x14ac:dyDescent="0.25">
      <c r="A1691" t="s">
        <v>57</v>
      </c>
      <c r="B1691" s="48">
        <v>43918</v>
      </c>
      <c r="C1691" t="s">
        <v>45</v>
      </c>
      <c r="D1691" t="str">
        <f>IF(COUNTIFS(Verweise!$A$2:$A$4542,Übersicht!$C$7,Verweise!$B$2:$B$4542,B1691)=1,"Feiertag",IF(C1691="Samstag","",IF(C1691="Sonntag","",Übersicht!$C$8)))</f>
        <v>Feiertag</v>
      </c>
    </row>
    <row r="1692" spans="1:4" x14ac:dyDescent="0.25">
      <c r="A1692" t="s">
        <v>57</v>
      </c>
      <c r="B1692" s="48">
        <v>43920</v>
      </c>
      <c r="C1692" t="s">
        <v>46</v>
      </c>
      <c r="D1692" t="str">
        <f>IF(COUNTIFS(Verweise!$A$2:$A$4542,Übersicht!$C$7,Verweise!$B$2:$B$4542,B1692)=1,"Feiertag",IF(C1692="Samstag","",IF(C1692="Sonntag","",Übersicht!$C$8)))</f>
        <v>Feiertag</v>
      </c>
    </row>
    <row r="1693" spans="1:4" x14ac:dyDescent="0.25">
      <c r="A1693" t="s">
        <v>57</v>
      </c>
      <c r="B1693" s="48">
        <v>43921</v>
      </c>
      <c r="C1693" t="s">
        <v>47</v>
      </c>
      <c r="D1693" t="str">
        <f>IF(COUNTIFS(Verweise!$A$2:$A$4542,Übersicht!$C$7,Verweise!$B$2:$B$4542,B1693)=1,"Feiertag",IF(C1693="Samstag","",IF(C1693="Sonntag","",Übersicht!$C$8)))</f>
        <v>Feiertag</v>
      </c>
    </row>
    <row r="1694" spans="1:4" x14ac:dyDescent="0.25">
      <c r="A1694" t="s">
        <v>57</v>
      </c>
      <c r="B1694" s="48">
        <v>43951</v>
      </c>
      <c r="C1694" t="s">
        <v>48</v>
      </c>
      <c r="D1694" t="str">
        <f>IF(COUNTIFS(Verweise!$A$2:$A$4542,Übersicht!$C$7,Verweise!$B$2:$B$4542,B1694)=1,"Feiertag",IF(C1694="Samstag","",IF(C1694="Sonntag","",Übersicht!$C$8)))</f>
        <v>Feiertag</v>
      </c>
    </row>
    <row r="1695" spans="1:4" x14ac:dyDescent="0.25">
      <c r="A1695" t="s">
        <v>57</v>
      </c>
      <c r="B1695" s="48">
        <v>43959</v>
      </c>
      <c r="C1695" t="s">
        <v>49</v>
      </c>
      <c r="D1695" t="str">
        <f>IF(COUNTIFS(Verweise!$A$2:$A$4542,Übersicht!$C$7,Verweise!$B$2:$B$4542,B1695)=1,"Feiertag",IF(C1695="Samstag","",IF(C1695="Sonntag","",Übersicht!$C$8)))</f>
        <v>Feiertag</v>
      </c>
    </row>
    <row r="1696" spans="1:4" x14ac:dyDescent="0.25">
      <c r="A1696" t="s">
        <v>57</v>
      </c>
      <c r="B1696" s="48">
        <v>43969</v>
      </c>
      <c r="C1696" t="s">
        <v>50</v>
      </c>
      <c r="D1696" t="str">
        <f>IF(COUNTIFS(Verweise!$A$2:$A$4542,Übersicht!$C$7,Verweise!$B$2:$B$4542,B1696)=1,"Feiertag",IF(C1696="Samstag","",IF(C1696="Sonntag","",Übersicht!$C$8)))</f>
        <v>Feiertag</v>
      </c>
    </row>
    <row r="1697" spans="1:4" x14ac:dyDescent="0.25">
      <c r="A1697" t="s">
        <v>57</v>
      </c>
      <c r="B1697" s="48">
        <v>43970</v>
      </c>
      <c r="C1697" t="s">
        <v>51</v>
      </c>
      <c r="D1697" t="str">
        <f>IF(COUNTIFS(Verweise!$A$2:$A$4542,Übersicht!$C$7,Verweise!$B$2:$B$4542,B1697)=1,"Feiertag",IF(C1697="Samstag","",IF(C1697="Sonntag","",Übersicht!$C$8)))</f>
        <v>Feiertag</v>
      </c>
    </row>
    <row r="1698" spans="1:4" x14ac:dyDescent="0.25">
      <c r="A1698" t="s">
        <v>57</v>
      </c>
      <c r="B1698" s="48">
        <v>43980</v>
      </c>
      <c r="C1698" t="s">
        <v>52</v>
      </c>
      <c r="D1698" t="str">
        <f>IF(COUNTIFS(Verweise!$A$2:$A$4542,Übersicht!$C$7,Verweise!$B$2:$B$4542,B1698)=1,"Feiertag",IF(C1698="Samstag","",IF(C1698="Sonntag","",Übersicht!$C$8)))</f>
        <v>Feiertag</v>
      </c>
    </row>
    <row r="1699" spans="1:4" x14ac:dyDescent="0.25">
      <c r="A1699" t="s">
        <v>57</v>
      </c>
      <c r="B1699" s="48">
        <v>44106</v>
      </c>
      <c r="C1699" t="s">
        <v>53</v>
      </c>
      <c r="D1699" t="str">
        <f>IF(COUNTIFS(Verweise!$A$2:$A$4542,Übersicht!$C$7,Verweise!$B$2:$B$4542,B1699)=1,"Feiertag",IF(C1699="Samstag","",IF(C1699="Sonntag","",Übersicht!$C$8)))</f>
        <v>Feiertag</v>
      </c>
    </row>
    <row r="1700" spans="1:4" x14ac:dyDescent="0.25">
      <c r="A1700" t="s">
        <v>57</v>
      </c>
      <c r="B1700" s="48">
        <v>44135</v>
      </c>
      <c r="C1700" t="s">
        <v>54</v>
      </c>
      <c r="D1700" t="str">
        <f>IF(COUNTIFS(Verweise!$A$2:$A$4542,Übersicht!$C$7,Verweise!$B$2:$B$4542,B1700)=1,"Feiertag",IF(C1700="Samstag","",IF(C1700="Sonntag","",Übersicht!$C$8)))</f>
        <v>Feiertag</v>
      </c>
    </row>
    <row r="1701" spans="1:4" x14ac:dyDescent="0.25">
      <c r="A1701" t="s">
        <v>57</v>
      </c>
      <c r="B1701" s="48">
        <v>44189</v>
      </c>
      <c r="C1701" t="s">
        <v>55</v>
      </c>
      <c r="D1701" t="str">
        <f>IF(COUNTIFS(Verweise!$A$2:$A$4542,Übersicht!$C$7,Verweise!$B$2:$B$4542,B1701)=1,"Feiertag",IF(C1701="Samstag","",IF(C1701="Sonntag","",Übersicht!$C$8)))</f>
        <v>Feiertag</v>
      </c>
    </row>
    <row r="1702" spans="1:4" x14ac:dyDescent="0.25">
      <c r="A1702" t="s">
        <v>57</v>
      </c>
      <c r="B1702" s="48">
        <v>44190</v>
      </c>
      <c r="C1702" t="s">
        <v>56</v>
      </c>
      <c r="D1702" t="str">
        <f>IF(COUNTIFS(Verweise!$A$2:$A$4542,Übersicht!$C$7,Verweise!$B$2:$B$4542,B1702)=1,"Feiertag",IF(C1702="Samstag","",IF(C1702="Sonntag","",Übersicht!$C$8)))</f>
        <v>Feiertag</v>
      </c>
    </row>
    <row r="1703" spans="1:4" x14ac:dyDescent="0.25">
      <c r="A1703" t="s">
        <v>58</v>
      </c>
      <c r="B1703" s="48">
        <v>43830</v>
      </c>
      <c r="C1703" t="s">
        <v>43</v>
      </c>
      <c r="D1703" t="str">
        <f>IF(COUNTIFS(Verweise!$A$2:$A$4542,Übersicht!$C$7,Verweise!$B$2:$B$4542,B1703)=1,"Feiertag",IF(C1703="Samstag","",IF(C1703="Sonntag","",Übersicht!$C$8)))</f>
        <v>Feiertag</v>
      </c>
    </row>
    <row r="1704" spans="1:4" x14ac:dyDescent="0.25">
      <c r="A1704" t="s">
        <v>58</v>
      </c>
      <c r="B1704" s="48">
        <v>43835</v>
      </c>
      <c r="C1704" t="s">
        <v>44</v>
      </c>
      <c r="D1704" t="str">
        <f>IF(COUNTIFS(Verweise!$A$2:$A$4542,Übersicht!$C$7,Verweise!$B$2:$B$4542,B1704)=1,"Feiertag",IF(C1704="Samstag","",IF(C1704="Sonntag","",Übersicht!$C$8)))</f>
        <v>Büro</v>
      </c>
    </row>
    <row r="1705" spans="1:4" x14ac:dyDescent="0.25">
      <c r="A1705" t="s">
        <v>58</v>
      </c>
      <c r="B1705" s="48">
        <v>43918</v>
      </c>
      <c r="C1705" t="s">
        <v>45</v>
      </c>
      <c r="D1705" t="str">
        <f>IF(COUNTIFS(Verweise!$A$2:$A$4542,Übersicht!$C$7,Verweise!$B$2:$B$4542,B1705)=1,"Feiertag",IF(C1705="Samstag","",IF(C1705="Sonntag","",Übersicht!$C$8)))</f>
        <v>Feiertag</v>
      </c>
    </row>
    <row r="1706" spans="1:4" x14ac:dyDescent="0.25">
      <c r="A1706" t="s">
        <v>58</v>
      </c>
      <c r="B1706" s="48">
        <v>43920</v>
      </c>
      <c r="C1706" t="s">
        <v>46</v>
      </c>
      <c r="D1706" t="str">
        <f>IF(COUNTIFS(Verweise!$A$2:$A$4542,Übersicht!$C$7,Verweise!$B$2:$B$4542,B1706)=1,"Feiertag",IF(C1706="Samstag","",IF(C1706="Sonntag","",Übersicht!$C$8)))</f>
        <v>Feiertag</v>
      </c>
    </row>
    <row r="1707" spans="1:4" x14ac:dyDescent="0.25">
      <c r="A1707" t="s">
        <v>58</v>
      </c>
      <c r="B1707" s="48">
        <v>43921</v>
      </c>
      <c r="C1707" t="s">
        <v>47</v>
      </c>
      <c r="D1707" t="str">
        <f>IF(COUNTIFS(Verweise!$A$2:$A$4542,Übersicht!$C$7,Verweise!$B$2:$B$4542,B1707)=1,"Feiertag",IF(C1707="Samstag","",IF(C1707="Sonntag","",Übersicht!$C$8)))</f>
        <v>Feiertag</v>
      </c>
    </row>
    <row r="1708" spans="1:4" x14ac:dyDescent="0.25">
      <c r="A1708" t="s">
        <v>58</v>
      </c>
      <c r="B1708" s="48">
        <v>43951</v>
      </c>
      <c r="C1708" t="s">
        <v>48</v>
      </c>
      <c r="D1708" t="str">
        <f>IF(COUNTIFS(Verweise!$A$2:$A$4542,Übersicht!$C$7,Verweise!$B$2:$B$4542,B1708)=1,"Feiertag",IF(C1708="Samstag","",IF(C1708="Sonntag","",Übersicht!$C$8)))</f>
        <v>Feiertag</v>
      </c>
    </row>
    <row r="1709" spans="1:4" x14ac:dyDescent="0.25">
      <c r="A1709" t="s">
        <v>58</v>
      </c>
      <c r="B1709" s="48">
        <v>43959</v>
      </c>
      <c r="C1709" t="s">
        <v>49</v>
      </c>
      <c r="D1709" t="str">
        <f>IF(COUNTIFS(Verweise!$A$2:$A$4542,Übersicht!$C$7,Verweise!$B$2:$B$4542,B1709)=1,"Feiertag",IF(C1709="Samstag","",IF(C1709="Sonntag","",Übersicht!$C$8)))</f>
        <v>Feiertag</v>
      </c>
    </row>
    <row r="1710" spans="1:4" x14ac:dyDescent="0.25">
      <c r="A1710" t="s">
        <v>58</v>
      </c>
      <c r="B1710" s="48">
        <v>43969</v>
      </c>
      <c r="C1710" t="s">
        <v>50</v>
      </c>
      <c r="D1710" t="str">
        <f>IF(COUNTIFS(Verweise!$A$2:$A$4542,Übersicht!$C$7,Verweise!$B$2:$B$4542,B1710)=1,"Feiertag",IF(C1710="Samstag","",IF(C1710="Sonntag","",Übersicht!$C$8)))</f>
        <v>Feiertag</v>
      </c>
    </row>
    <row r="1711" spans="1:4" x14ac:dyDescent="0.25">
      <c r="A1711" t="s">
        <v>58</v>
      </c>
      <c r="B1711" s="48">
        <v>43970</v>
      </c>
      <c r="C1711" t="s">
        <v>51</v>
      </c>
      <c r="D1711" t="str">
        <f>IF(COUNTIFS(Verweise!$A$2:$A$4542,Übersicht!$C$7,Verweise!$B$2:$B$4542,B1711)=1,"Feiertag",IF(C1711="Samstag","",IF(C1711="Sonntag","",Übersicht!$C$8)))</f>
        <v>Feiertag</v>
      </c>
    </row>
    <row r="1712" spans="1:4" x14ac:dyDescent="0.25">
      <c r="A1712" t="s">
        <v>58</v>
      </c>
      <c r="B1712" s="48">
        <v>43980</v>
      </c>
      <c r="C1712" t="s">
        <v>52</v>
      </c>
      <c r="D1712" t="str">
        <f>IF(COUNTIFS(Verweise!$A$2:$A$4542,Übersicht!$C$7,Verweise!$B$2:$B$4542,B1712)=1,"Feiertag",IF(C1712="Samstag","",IF(C1712="Sonntag","",Übersicht!$C$8)))</f>
        <v>Feiertag</v>
      </c>
    </row>
    <row r="1713" spans="1:4" x14ac:dyDescent="0.25">
      <c r="A1713" t="s">
        <v>58</v>
      </c>
      <c r="B1713" s="48">
        <v>44057</v>
      </c>
      <c r="C1713" t="s">
        <v>59</v>
      </c>
      <c r="D1713" t="str">
        <f>IF(COUNTIFS(Verweise!$A$2:$A$4542,Übersicht!$C$7,Verweise!$B$2:$B$4542,B1713)=1,"Feiertag",IF(C1713="Samstag","",IF(C1713="Sonntag","",Übersicht!$C$8)))</f>
        <v>Büro</v>
      </c>
    </row>
    <row r="1714" spans="1:4" x14ac:dyDescent="0.25">
      <c r="A1714" t="s">
        <v>58</v>
      </c>
      <c r="B1714" s="48">
        <v>44106</v>
      </c>
      <c r="C1714" t="s">
        <v>53</v>
      </c>
      <c r="D1714" t="str">
        <f>IF(COUNTIFS(Verweise!$A$2:$A$4542,Übersicht!$C$7,Verweise!$B$2:$B$4542,B1714)=1,"Feiertag",IF(C1714="Samstag","",IF(C1714="Sonntag","",Übersicht!$C$8)))</f>
        <v>Feiertag</v>
      </c>
    </row>
    <row r="1715" spans="1:4" x14ac:dyDescent="0.25">
      <c r="A1715" t="s">
        <v>58</v>
      </c>
      <c r="B1715" s="48">
        <v>44135</v>
      </c>
      <c r="C1715" t="s">
        <v>54</v>
      </c>
      <c r="D1715" t="str">
        <f>IF(COUNTIFS(Verweise!$A$2:$A$4542,Übersicht!$C$7,Verweise!$B$2:$B$4542,B1715)=1,"Feiertag",IF(C1715="Samstag","",IF(C1715="Sonntag","",Übersicht!$C$8)))</f>
        <v>Feiertag</v>
      </c>
    </row>
    <row r="1716" spans="1:4" x14ac:dyDescent="0.25">
      <c r="A1716" t="s">
        <v>58</v>
      </c>
      <c r="B1716" s="48">
        <v>44189</v>
      </c>
      <c r="C1716" t="s">
        <v>55</v>
      </c>
      <c r="D1716" t="str">
        <f>IF(COUNTIFS(Verweise!$A$2:$A$4542,Übersicht!$C$7,Verweise!$B$2:$B$4542,B1716)=1,"Feiertag",IF(C1716="Samstag","",IF(C1716="Sonntag","",Übersicht!$C$8)))</f>
        <v>Feiertag</v>
      </c>
    </row>
    <row r="1717" spans="1:4" x14ac:dyDescent="0.25">
      <c r="A1717" t="s">
        <v>58</v>
      </c>
      <c r="B1717" s="48">
        <v>44190</v>
      </c>
      <c r="C1717" t="s">
        <v>56</v>
      </c>
      <c r="D1717" t="str">
        <f>IF(COUNTIFS(Verweise!$A$2:$A$4542,Übersicht!$C$7,Verweise!$B$2:$B$4542,B1717)=1,"Feiertag",IF(C1717="Samstag","",IF(C1717="Sonntag","",Übersicht!$C$8)))</f>
        <v>Feiertag</v>
      </c>
    </row>
    <row r="1718" spans="1:4" x14ac:dyDescent="0.25">
      <c r="A1718" t="s">
        <v>60</v>
      </c>
      <c r="B1718" s="48">
        <v>43830</v>
      </c>
      <c r="C1718" t="s">
        <v>43</v>
      </c>
      <c r="D1718" t="str">
        <f>IF(COUNTIFS(Verweise!$A$2:$A$4542,Übersicht!$C$7,Verweise!$B$2:$B$4542,B1718)=1,"Feiertag",IF(C1718="Samstag","",IF(C1718="Sonntag","",Übersicht!$C$8)))</f>
        <v>Feiertag</v>
      </c>
    </row>
    <row r="1719" spans="1:4" x14ac:dyDescent="0.25">
      <c r="A1719" t="s">
        <v>60</v>
      </c>
      <c r="B1719" s="48">
        <v>43918</v>
      </c>
      <c r="C1719" t="s">
        <v>45</v>
      </c>
      <c r="D1719" t="str">
        <f>IF(COUNTIFS(Verweise!$A$2:$A$4542,Übersicht!$C$7,Verweise!$B$2:$B$4542,B1719)=1,"Feiertag",IF(C1719="Samstag","",IF(C1719="Sonntag","",Übersicht!$C$8)))</f>
        <v>Feiertag</v>
      </c>
    </row>
    <row r="1720" spans="1:4" x14ac:dyDescent="0.25">
      <c r="A1720" t="s">
        <v>60</v>
      </c>
      <c r="B1720" s="48">
        <v>43920</v>
      </c>
      <c r="C1720" t="s">
        <v>46</v>
      </c>
      <c r="D1720" t="str">
        <f>IF(COUNTIFS(Verweise!$A$2:$A$4542,Übersicht!$C$7,Verweise!$B$2:$B$4542,B1720)=1,"Feiertag",IF(C1720="Samstag","",IF(C1720="Sonntag","",Übersicht!$C$8)))</f>
        <v>Feiertag</v>
      </c>
    </row>
    <row r="1721" spans="1:4" x14ac:dyDescent="0.25">
      <c r="A1721" t="s">
        <v>60</v>
      </c>
      <c r="B1721" s="48">
        <v>43921</v>
      </c>
      <c r="C1721" t="s">
        <v>47</v>
      </c>
      <c r="D1721" t="str">
        <f>IF(COUNTIFS(Verweise!$A$2:$A$4542,Übersicht!$C$7,Verweise!$B$2:$B$4542,B1721)=1,"Feiertag",IF(C1721="Samstag","",IF(C1721="Sonntag","",Übersicht!$C$8)))</f>
        <v>Feiertag</v>
      </c>
    </row>
    <row r="1722" spans="1:4" x14ac:dyDescent="0.25">
      <c r="A1722" t="s">
        <v>60</v>
      </c>
      <c r="B1722" s="48">
        <v>43951</v>
      </c>
      <c r="C1722" t="s">
        <v>48</v>
      </c>
      <c r="D1722" t="str">
        <f>IF(COUNTIFS(Verweise!$A$2:$A$4542,Übersicht!$C$7,Verweise!$B$2:$B$4542,B1722)=1,"Feiertag",IF(C1722="Samstag","",IF(C1722="Sonntag","",Übersicht!$C$8)))</f>
        <v>Feiertag</v>
      </c>
    </row>
    <row r="1723" spans="1:4" x14ac:dyDescent="0.25">
      <c r="A1723" t="s">
        <v>60</v>
      </c>
      <c r="B1723" s="48">
        <v>43959</v>
      </c>
      <c r="C1723" t="s">
        <v>49</v>
      </c>
      <c r="D1723" t="str">
        <f>IF(COUNTIFS(Verweise!$A$2:$A$4542,Übersicht!$C$7,Verweise!$B$2:$B$4542,B1723)=1,"Feiertag",IF(C1723="Samstag","",IF(C1723="Sonntag","",Übersicht!$C$8)))</f>
        <v>Feiertag</v>
      </c>
    </row>
    <row r="1724" spans="1:4" x14ac:dyDescent="0.25">
      <c r="A1724" t="s">
        <v>60</v>
      </c>
      <c r="B1724" s="48">
        <v>43969</v>
      </c>
      <c r="C1724" t="s">
        <v>50</v>
      </c>
      <c r="D1724" t="str">
        <f>IF(COUNTIFS(Verweise!$A$2:$A$4542,Übersicht!$C$7,Verweise!$B$2:$B$4542,B1724)=1,"Feiertag",IF(C1724="Samstag","",IF(C1724="Sonntag","",Übersicht!$C$8)))</f>
        <v>Feiertag</v>
      </c>
    </row>
    <row r="1725" spans="1:4" x14ac:dyDescent="0.25">
      <c r="A1725" t="s">
        <v>60</v>
      </c>
      <c r="B1725" s="48">
        <v>43970</v>
      </c>
      <c r="C1725" t="s">
        <v>51</v>
      </c>
      <c r="D1725" t="str">
        <f>IF(COUNTIFS(Verweise!$A$2:$A$4542,Übersicht!$C$7,Verweise!$B$2:$B$4542,B1725)=1,"Feiertag",IF(C1725="Samstag","",IF(C1725="Sonntag","",Übersicht!$C$8)))</f>
        <v>Feiertag</v>
      </c>
    </row>
    <row r="1726" spans="1:4" x14ac:dyDescent="0.25">
      <c r="A1726" t="s">
        <v>60</v>
      </c>
      <c r="B1726" s="48">
        <v>44106</v>
      </c>
      <c r="C1726" t="s">
        <v>53</v>
      </c>
      <c r="D1726" t="str">
        <f>IF(COUNTIFS(Verweise!$A$2:$A$4542,Übersicht!$C$7,Verweise!$B$2:$B$4542,B1726)=1,"Feiertag",IF(C1726="Samstag","",IF(C1726="Sonntag","",Übersicht!$C$8)))</f>
        <v>Feiertag</v>
      </c>
    </row>
    <row r="1727" spans="1:4" x14ac:dyDescent="0.25">
      <c r="A1727" t="s">
        <v>60</v>
      </c>
      <c r="B1727" s="48">
        <v>44189</v>
      </c>
      <c r="C1727" t="s">
        <v>55</v>
      </c>
      <c r="D1727" t="str">
        <f>IF(COUNTIFS(Verweise!$A$2:$A$4542,Übersicht!$C$7,Verweise!$B$2:$B$4542,B1727)=1,"Feiertag",IF(C1727="Samstag","",IF(C1727="Sonntag","",Übersicht!$C$8)))</f>
        <v>Feiertag</v>
      </c>
    </row>
    <row r="1728" spans="1:4" x14ac:dyDescent="0.25">
      <c r="A1728" t="s">
        <v>60</v>
      </c>
      <c r="B1728" s="48">
        <v>44190</v>
      </c>
      <c r="C1728" t="s">
        <v>56</v>
      </c>
      <c r="D1728" t="str">
        <f>IF(COUNTIFS(Verweise!$A$2:$A$4542,Übersicht!$C$7,Verweise!$B$2:$B$4542,B1728)=1,"Feiertag",IF(C1728="Samstag","",IF(C1728="Sonntag","",Übersicht!$C$8)))</f>
        <v>Feiertag</v>
      </c>
    </row>
    <row r="1729" spans="1:4" x14ac:dyDescent="0.25">
      <c r="A1729" t="s">
        <v>61</v>
      </c>
      <c r="B1729" s="48">
        <v>43830</v>
      </c>
      <c r="C1729" t="s">
        <v>43</v>
      </c>
      <c r="D1729" t="str">
        <f>IF(COUNTIFS(Verweise!$A$2:$A$4542,Übersicht!$C$7,Verweise!$B$2:$B$4542,B1729)=1,"Feiertag",IF(C1729="Samstag","",IF(C1729="Sonntag","",Übersicht!$C$8)))</f>
        <v>Feiertag</v>
      </c>
    </row>
    <row r="1730" spans="1:4" x14ac:dyDescent="0.25">
      <c r="A1730" t="s">
        <v>61</v>
      </c>
      <c r="B1730" s="48">
        <v>43918</v>
      </c>
      <c r="C1730" t="s">
        <v>45</v>
      </c>
      <c r="D1730" t="str">
        <f>IF(COUNTIFS(Verweise!$A$2:$A$4542,Übersicht!$C$7,Verweise!$B$2:$B$4542,B1730)=1,"Feiertag",IF(C1730="Samstag","",IF(C1730="Sonntag","",Übersicht!$C$8)))</f>
        <v>Feiertag</v>
      </c>
    </row>
    <row r="1731" spans="1:4" x14ac:dyDescent="0.25">
      <c r="A1731" t="s">
        <v>61</v>
      </c>
      <c r="B1731" s="48">
        <v>43920</v>
      </c>
      <c r="C1731" t="s">
        <v>46</v>
      </c>
      <c r="D1731" t="str">
        <f>IF(COUNTIFS(Verweise!$A$2:$A$4542,Übersicht!$C$7,Verweise!$B$2:$B$4542,B1731)=1,"Feiertag",IF(C1731="Samstag","",IF(C1731="Sonntag","",Übersicht!$C$8)))</f>
        <v>Feiertag</v>
      </c>
    </row>
    <row r="1732" spans="1:4" x14ac:dyDescent="0.25">
      <c r="A1732" t="s">
        <v>61</v>
      </c>
      <c r="B1732" s="48">
        <v>43921</v>
      </c>
      <c r="C1732" t="s">
        <v>47</v>
      </c>
      <c r="D1732" t="str">
        <f>IF(COUNTIFS(Verweise!$A$2:$A$4542,Übersicht!$C$7,Verweise!$B$2:$B$4542,B1732)=1,"Feiertag",IF(C1732="Samstag","",IF(C1732="Sonntag","",Übersicht!$C$8)))</f>
        <v>Feiertag</v>
      </c>
    </row>
    <row r="1733" spans="1:4" x14ac:dyDescent="0.25">
      <c r="A1733" t="s">
        <v>61</v>
      </c>
      <c r="B1733" s="48">
        <v>43951</v>
      </c>
      <c r="C1733" t="s">
        <v>48</v>
      </c>
      <c r="D1733" t="str">
        <f>IF(COUNTIFS(Verweise!$A$2:$A$4542,Übersicht!$C$7,Verweise!$B$2:$B$4542,B1733)=1,"Feiertag",IF(C1733="Samstag","",IF(C1733="Sonntag","",Übersicht!$C$8)))</f>
        <v>Feiertag</v>
      </c>
    </row>
    <row r="1734" spans="1:4" x14ac:dyDescent="0.25">
      <c r="A1734" t="s">
        <v>61</v>
      </c>
      <c r="B1734" s="48">
        <v>43959</v>
      </c>
      <c r="C1734" t="s">
        <v>49</v>
      </c>
      <c r="D1734" t="str">
        <f>IF(COUNTIFS(Verweise!$A$2:$A$4542,Übersicht!$C$7,Verweise!$B$2:$B$4542,B1734)=1,"Feiertag",IF(C1734="Samstag","",IF(C1734="Sonntag","",Übersicht!$C$8)))</f>
        <v>Feiertag</v>
      </c>
    </row>
    <row r="1735" spans="1:4" x14ac:dyDescent="0.25">
      <c r="A1735" t="s">
        <v>61</v>
      </c>
      <c r="B1735" s="48">
        <v>43969</v>
      </c>
      <c r="C1735" t="s">
        <v>50</v>
      </c>
      <c r="D1735" t="str">
        <f>IF(COUNTIFS(Verweise!$A$2:$A$4542,Übersicht!$C$7,Verweise!$B$2:$B$4542,B1735)=1,"Feiertag",IF(C1735="Samstag","",IF(C1735="Sonntag","",Übersicht!$C$8)))</f>
        <v>Feiertag</v>
      </c>
    </row>
    <row r="1736" spans="1:4" x14ac:dyDescent="0.25">
      <c r="A1736" t="s">
        <v>61</v>
      </c>
      <c r="B1736" s="48">
        <v>43970</v>
      </c>
      <c r="C1736" t="s">
        <v>51</v>
      </c>
      <c r="D1736" t="str">
        <f>IF(COUNTIFS(Verweise!$A$2:$A$4542,Übersicht!$C$7,Verweise!$B$2:$B$4542,B1736)=1,"Feiertag",IF(C1736="Samstag","",IF(C1736="Sonntag","",Übersicht!$C$8)))</f>
        <v>Feiertag</v>
      </c>
    </row>
    <row r="1737" spans="1:4" x14ac:dyDescent="0.25">
      <c r="A1737" t="s">
        <v>61</v>
      </c>
      <c r="B1737" s="48">
        <v>44106</v>
      </c>
      <c r="C1737" t="s">
        <v>53</v>
      </c>
      <c r="D1737" t="str">
        <f>IF(COUNTIFS(Verweise!$A$2:$A$4542,Übersicht!$C$7,Verweise!$B$2:$B$4542,B1737)=1,"Feiertag",IF(C1737="Samstag","",IF(C1737="Sonntag","",Übersicht!$C$8)))</f>
        <v>Feiertag</v>
      </c>
    </row>
    <row r="1738" spans="1:4" x14ac:dyDescent="0.25">
      <c r="A1738" t="s">
        <v>61</v>
      </c>
      <c r="B1738" s="48">
        <v>44134</v>
      </c>
      <c r="C1738" t="s">
        <v>62</v>
      </c>
      <c r="D1738" t="str">
        <f>IF(COUNTIFS(Verweise!$A$2:$A$4542,Übersicht!$C$7,Verweise!$B$2:$B$4542,B1738)=1,"Feiertag",IF(C1738="Samstag","",IF(C1738="Sonntag","",Übersicht!$C$8)))</f>
        <v>Büro</v>
      </c>
    </row>
    <row r="1739" spans="1:4" x14ac:dyDescent="0.25">
      <c r="A1739" t="s">
        <v>61</v>
      </c>
      <c r="B1739" s="48">
        <v>44189</v>
      </c>
      <c r="C1739" t="s">
        <v>55</v>
      </c>
      <c r="D1739" t="str">
        <f>IF(COUNTIFS(Verweise!$A$2:$A$4542,Übersicht!$C$7,Verweise!$B$2:$B$4542,B1739)=1,"Feiertag",IF(C1739="Samstag","",IF(C1739="Sonntag","",Übersicht!$C$8)))</f>
        <v>Feiertag</v>
      </c>
    </row>
    <row r="1740" spans="1:4" x14ac:dyDescent="0.25">
      <c r="A1740" t="s">
        <v>61</v>
      </c>
      <c r="B1740" s="48">
        <v>44190</v>
      </c>
      <c r="C1740" t="s">
        <v>56</v>
      </c>
      <c r="D1740" t="str">
        <f>IF(COUNTIFS(Verweise!$A$2:$A$4542,Übersicht!$C$7,Verweise!$B$2:$B$4542,B1740)=1,"Feiertag",IF(C1740="Samstag","",IF(C1740="Sonntag","",Übersicht!$C$8)))</f>
        <v>Feiertag</v>
      </c>
    </row>
    <row r="1741" spans="1:4" x14ac:dyDescent="0.25">
      <c r="A1741" t="s">
        <v>63</v>
      </c>
      <c r="B1741" s="48">
        <v>43830</v>
      </c>
      <c r="C1741" t="s">
        <v>43</v>
      </c>
      <c r="D1741" t="str">
        <f>IF(COUNTIFS(Verweise!$A$2:$A$4542,Übersicht!$C$7,Verweise!$B$2:$B$4542,B1741)=1,"Feiertag",IF(C1741="Samstag","",IF(C1741="Sonntag","",Übersicht!$C$8)))</f>
        <v>Feiertag</v>
      </c>
    </row>
    <row r="1742" spans="1:4" x14ac:dyDescent="0.25">
      <c r="A1742" t="s">
        <v>63</v>
      </c>
      <c r="B1742" s="48">
        <v>43918</v>
      </c>
      <c r="C1742" t="s">
        <v>45</v>
      </c>
      <c r="D1742" t="str">
        <f>IF(COUNTIFS(Verweise!$A$2:$A$4542,Übersicht!$C$7,Verweise!$B$2:$B$4542,B1742)=1,"Feiertag",IF(C1742="Samstag","",IF(C1742="Sonntag","",Übersicht!$C$8)))</f>
        <v>Feiertag</v>
      </c>
    </row>
    <row r="1743" spans="1:4" x14ac:dyDescent="0.25">
      <c r="A1743" t="s">
        <v>63</v>
      </c>
      <c r="B1743" s="48">
        <v>43920</v>
      </c>
      <c r="C1743" t="s">
        <v>46</v>
      </c>
      <c r="D1743" t="str">
        <f>IF(COUNTIFS(Verweise!$A$2:$A$4542,Übersicht!$C$7,Verweise!$B$2:$B$4542,B1743)=1,"Feiertag",IF(C1743="Samstag","",IF(C1743="Sonntag","",Übersicht!$C$8)))</f>
        <v>Feiertag</v>
      </c>
    </row>
    <row r="1744" spans="1:4" x14ac:dyDescent="0.25">
      <c r="A1744" t="s">
        <v>63</v>
      </c>
      <c r="B1744" s="48">
        <v>43921</v>
      </c>
      <c r="C1744" t="s">
        <v>47</v>
      </c>
      <c r="D1744" t="str">
        <f>IF(COUNTIFS(Verweise!$A$2:$A$4542,Übersicht!$C$7,Verweise!$B$2:$B$4542,B1744)=1,"Feiertag",IF(C1744="Samstag","",IF(C1744="Sonntag","",Übersicht!$C$8)))</f>
        <v>Feiertag</v>
      </c>
    </row>
    <row r="1745" spans="1:4" x14ac:dyDescent="0.25">
      <c r="A1745" t="s">
        <v>63</v>
      </c>
      <c r="B1745" s="48">
        <v>43951</v>
      </c>
      <c r="C1745" t="s">
        <v>48</v>
      </c>
      <c r="D1745" t="str">
        <f>IF(COUNTIFS(Verweise!$A$2:$A$4542,Übersicht!$C$7,Verweise!$B$2:$B$4542,B1745)=1,"Feiertag",IF(C1745="Samstag","",IF(C1745="Sonntag","",Übersicht!$C$8)))</f>
        <v>Feiertag</v>
      </c>
    </row>
    <row r="1746" spans="1:4" x14ac:dyDescent="0.25">
      <c r="A1746" t="s">
        <v>63</v>
      </c>
      <c r="B1746" s="48">
        <v>43959</v>
      </c>
      <c r="C1746" t="s">
        <v>49</v>
      </c>
      <c r="D1746" t="str">
        <f>IF(COUNTIFS(Verweise!$A$2:$A$4542,Übersicht!$C$7,Verweise!$B$2:$B$4542,B1746)=1,"Feiertag",IF(C1746="Samstag","",IF(C1746="Sonntag","",Übersicht!$C$8)))</f>
        <v>Feiertag</v>
      </c>
    </row>
    <row r="1747" spans="1:4" x14ac:dyDescent="0.25">
      <c r="A1747" t="s">
        <v>63</v>
      </c>
      <c r="B1747" s="48">
        <v>43969</v>
      </c>
      <c r="C1747" t="s">
        <v>50</v>
      </c>
      <c r="D1747" t="str">
        <f>IF(COUNTIFS(Verweise!$A$2:$A$4542,Übersicht!$C$7,Verweise!$B$2:$B$4542,B1747)=1,"Feiertag",IF(C1747="Samstag","",IF(C1747="Sonntag","",Übersicht!$C$8)))</f>
        <v>Feiertag</v>
      </c>
    </row>
    <row r="1748" spans="1:4" x14ac:dyDescent="0.25">
      <c r="A1748" t="s">
        <v>63</v>
      </c>
      <c r="B1748" s="48">
        <v>43970</v>
      </c>
      <c r="C1748" t="s">
        <v>51</v>
      </c>
      <c r="D1748" t="str">
        <f>IF(COUNTIFS(Verweise!$A$2:$A$4542,Übersicht!$C$7,Verweise!$B$2:$B$4542,B1748)=1,"Feiertag",IF(C1748="Samstag","",IF(C1748="Sonntag","",Übersicht!$C$8)))</f>
        <v>Feiertag</v>
      </c>
    </row>
    <row r="1749" spans="1:4" x14ac:dyDescent="0.25">
      <c r="A1749" t="s">
        <v>63</v>
      </c>
      <c r="B1749" s="48">
        <v>44106</v>
      </c>
      <c r="C1749" t="s">
        <v>53</v>
      </c>
      <c r="D1749" t="str">
        <f>IF(COUNTIFS(Verweise!$A$2:$A$4542,Übersicht!$C$7,Verweise!$B$2:$B$4542,B1749)=1,"Feiertag",IF(C1749="Samstag","",IF(C1749="Sonntag","",Übersicht!$C$8)))</f>
        <v>Feiertag</v>
      </c>
    </row>
    <row r="1750" spans="1:4" x14ac:dyDescent="0.25">
      <c r="A1750" t="s">
        <v>63</v>
      </c>
      <c r="B1750" s="48">
        <v>44189</v>
      </c>
      <c r="C1750" t="s">
        <v>55</v>
      </c>
      <c r="D1750" t="str">
        <f>IF(COUNTIFS(Verweise!$A$2:$A$4542,Übersicht!$C$7,Verweise!$B$2:$B$4542,B1750)=1,"Feiertag",IF(C1750="Samstag","",IF(C1750="Sonntag","",Übersicht!$C$8)))</f>
        <v>Feiertag</v>
      </c>
    </row>
    <row r="1751" spans="1:4" x14ac:dyDescent="0.25">
      <c r="A1751" t="s">
        <v>63</v>
      </c>
      <c r="B1751" s="48">
        <v>44190</v>
      </c>
      <c r="C1751" t="s">
        <v>56</v>
      </c>
      <c r="D1751" t="str">
        <f>IF(COUNTIFS(Verweise!$A$2:$A$4542,Übersicht!$C$7,Verweise!$B$2:$B$4542,B1751)=1,"Feiertag",IF(C1751="Samstag","",IF(C1751="Sonntag","",Übersicht!$C$8)))</f>
        <v>Feiertag</v>
      </c>
    </row>
    <row r="1752" spans="1:4" x14ac:dyDescent="0.25">
      <c r="A1752" t="s">
        <v>64</v>
      </c>
      <c r="B1752" s="48">
        <v>43830</v>
      </c>
      <c r="C1752" t="s">
        <v>43</v>
      </c>
      <c r="D1752" t="str">
        <f>IF(COUNTIFS(Verweise!$A$2:$A$4542,Übersicht!$C$7,Verweise!$B$2:$B$4542,B1752)=1,"Feiertag",IF(C1752="Samstag","",IF(C1752="Sonntag","",Übersicht!$C$8)))</f>
        <v>Feiertag</v>
      </c>
    </row>
    <row r="1753" spans="1:4" x14ac:dyDescent="0.25">
      <c r="A1753" t="s">
        <v>64</v>
      </c>
      <c r="B1753" s="48">
        <v>43918</v>
      </c>
      <c r="C1753" t="s">
        <v>45</v>
      </c>
      <c r="D1753" t="str">
        <f>IF(COUNTIFS(Verweise!$A$2:$A$4542,Übersicht!$C$7,Verweise!$B$2:$B$4542,B1753)=1,"Feiertag",IF(C1753="Samstag","",IF(C1753="Sonntag","",Übersicht!$C$8)))</f>
        <v>Feiertag</v>
      </c>
    </row>
    <row r="1754" spans="1:4" x14ac:dyDescent="0.25">
      <c r="A1754" t="s">
        <v>64</v>
      </c>
      <c r="B1754" s="48">
        <v>43920</v>
      </c>
      <c r="C1754" t="s">
        <v>46</v>
      </c>
      <c r="D1754" t="str">
        <f>IF(COUNTIFS(Verweise!$A$2:$A$4542,Übersicht!$C$7,Verweise!$B$2:$B$4542,B1754)=1,"Feiertag",IF(C1754="Samstag","",IF(C1754="Sonntag","",Übersicht!$C$8)))</f>
        <v>Feiertag</v>
      </c>
    </row>
    <row r="1755" spans="1:4" x14ac:dyDescent="0.25">
      <c r="A1755" t="s">
        <v>64</v>
      </c>
      <c r="B1755" s="48">
        <v>43921</v>
      </c>
      <c r="C1755" t="s">
        <v>47</v>
      </c>
      <c r="D1755" t="str">
        <f>IF(COUNTIFS(Verweise!$A$2:$A$4542,Übersicht!$C$7,Verweise!$B$2:$B$4542,B1755)=1,"Feiertag",IF(C1755="Samstag","",IF(C1755="Sonntag","",Übersicht!$C$8)))</f>
        <v>Feiertag</v>
      </c>
    </row>
    <row r="1756" spans="1:4" x14ac:dyDescent="0.25">
      <c r="A1756" t="s">
        <v>64</v>
      </c>
      <c r="B1756" s="48">
        <v>43951</v>
      </c>
      <c r="C1756" t="s">
        <v>48</v>
      </c>
      <c r="D1756" t="str">
        <f>IF(COUNTIFS(Verweise!$A$2:$A$4542,Übersicht!$C$7,Verweise!$B$2:$B$4542,B1756)=1,"Feiertag",IF(C1756="Samstag","",IF(C1756="Sonntag","",Übersicht!$C$8)))</f>
        <v>Feiertag</v>
      </c>
    </row>
    <row r="1757" spans="1:4" x14ac:dyDescent="0.25">
      <c r="A1757" t="s">
        <v>64</v>
      </c>
      <c r="B1757" s="48">
        <v>43959</v>
      </c>
      <c r="C1757" t="s">
        <v>49</v>
      </c>
      <c r="D1757" t="str">
        <f>IF(COUNTIFS(Verweise!$A$2:$A$4542,Übersicht!$C$7,Verweise!$B$2:$B$4542,B1757)=1,"Feiertag",IF(C1757="Samstag","",IF(C1757="Sonntag","",Übersicht!$C$8)))</f>
        <v>Feiertag</v>
      </c>
    </row>
    <row r="1758" spans="1:4" x14ac:dyDescent="0.25">
      <c r="A1758" t="s">
        <v>64</v>
      </c>
      <c r="B1758" s="48">
        <v>43969</v>
      </c>
      <c r="C1758" t="s">
        <v>50</v>
      </c>
      <c r="D1758" t="str">
        <f>IF(COUNTIFS(Verweise!$A$2:$A$4542,Übersicht!$C$7,Verweise!$B$2:$B$4542,B1758)=1,"Feiertag",IF(C1758="Samstag","",IF(C1758="Sonntag","",Übersicht!$C$8)))</f>
        <v>Feiertag</v>
      </c>
    </row>
    <row r="1759" spans="1:4" x14ac:dyDescent="0.25">
      <c r="A1759" t="s">
        <v>64</v>
      </c>
      <c r="B1759" s="48">
        <v>43970</v>
      </c>
      <c r="C1759" t="s">
        <v>51</v>
      </c>
      <c r="D1759" t="str">
        <f>IF(COUNTIFS(Verweise!$A$2:$A$4542,Übersicht!$C$7,Verweise!$B$2:$B$4542,B1759)=1,"Feiertag",IF(C1759="Samstag","",IF(C1759="Sonntag","",Übersicht!$C$8)))</f>
        <v>Feiertag</v>
      </c>
    </row>
    <row r="1760" spans="1:4" x14ac:dyDescent="0.25">
      <c r="A1760" t="s">
        <v>64</v>
      </c>
      <c r="B1760" s="48">
        <v>44106</v>
      </c>
      <c r="C1760" t="s">
        <v>53</v>
      </c>
      <c r="D1760" t="str">
        <f>IF(COUNTIFS(Verweise!$A$2:$A$4542,Übersicht!$C$7,Verweise!$B$2:$B$4542,B1760)=1,"Feiertag",IF(C1760="Samstag","",IF(C1760="Sonntag","",Übersicht!$C$8)))</f>
        <v>Feiertag</v>
      </c>
    </row>
    <row r="1761" spans="1:4" x14ac:dyDescent="0.25">
      <c r="A1761" t="s">
        <v>64</v>
      </c>
      <c r="B1761" s="48">
        <v>44189</v>
      </c>
      <c r="C1761" t="s">
        <v>55</v>
      </c>
      <c r="D1761" t="str">
        <f>IF(COUNTIFS(Verweise!$A$2:$A$4542,Übersicht!$C$7,Verweise!$B$2:$B$4542,B1761)=1,"Feiertag",IF(C1761="Samstag","",IF(C1761="Sonntag","",Übersicht!$C$8)))</f>
        <v>Feiertag</v>
      </c>
    </row>
    <row r="1762" spans="1:4" x14ac:dyDescent="0.25">
      <c r="A1762" t="s">
        <v>64</v>
      </c>
      <c r="B1762" s="48">
        <v>44190</v>
      </c>
      <c r="C1762" t="s">
        <v>56</v>
      </c>
      <c r="D1762" t="str">
        <f>IF(COUNTIFS(Verweise!$A$2:$A$4542,Übersicht!$C$7,Verweise!$B$2:$B$4542,B1762)=1,"Feiertag",IF(C1762="Samstag","",IF(C1762="Sonntag","",Übersicht!$C$8)))</f>
        <v>Feiertag</v>
      </c>
    </row>
    <row r="1763" spans="1:4" x14ac:dyDescent="0.25">
      <c r="A1763" t="s">
        <v>65</v>
      </c>
      <c r="B1763" s="48">
        <v>43830</v>
      </c>
      <c r="C1763" t="s">
        <v>43</v>
      </c>
      <c r="D1763" t="str">
        <f>IF(COUNTIFS(Verweise!$A$2:$A$4542,Übersicht!$C$7,Verweise!$B$2:$B$4542,B1763)=1,"Feiertag",IF(C1763="Samstag","",IF(C1763="Sonntag","",Übersicht!$C$8)))</f>
        <v>Feiertag</v>
      </c>
    </row>
    <row r="1764" spans="1:4" x14ac:dyDescent="0.25">
      <c r="A1764" t="s">
        <v>65</v>
      </c>
      <c r="B1764" s="48">
        <v>43918</v>
      </c>
      <c r="C1764" t="s">
        <v>45</v>
      </c>
      <c r="D1764" t="str">
        <f>IF(COUNTIFS(Verweise!$A$2:$A$4542,Übersicht!$C$7,Verweise!$B$2:$B$4542,B1764)=1,"Feiertag",IF(C1764="Samstag","",IF(C1764="Sonntag","",Übersicht!$C$8)))</f>
        <v>Feiertag</v>
      </c>
    </row>
    <row r="1765" spans="1:4" x14ac:dyDescent="0.25">
      <c r="A1765" t="s">
        <v>65</v>
      </c>
      <c r="B1765" s="48">
        <v>43920</v>
      </c>
      <c r="C1765" t="s">
        <v>46</v>
      </c>
      <c r="D1765" t="str">
        <f>IF(COUNTIFS(Verweise!$A$2:$A$4542,Übersicht!$C$7,Verweise!$B$2:$B$4542,B1765)=1,"Feiertag",IF(C1765="Samstag","",IF(C1765="Sonntag","",Übersicht!$C$8)))</f>
        <v>Feiertag</v>
      </c>
    </row>
    <row r="1766" spans="1:4" x14ac:dyDescent="0.25">
      <c r="A1766" t="s">
        <v>65</v>
      </c>
      <c r="B1766" s="48">
        <v>43921</v>
      </c>
      <c r="C1766" t="s">
        <v>47</v>
      </c>
      <c r="D1766" t="str">
        <f>IF(COUNTIFS(Verweise!$A$2:$A$4542,Übersicht!$C$7,Verweise!$B$2:$B$4542,B1766)=1,"Feiertag",IF(C1766="Samstag","",IF(C1766="Sonntag","",Übersicht!$C$8)))</f>
        <v>Feiertag</v>
      </c>
    </row>
    <row r="1767" spans="1:4" x14ac:dyDescent="0.25">
      <c r="A1767" t="s">
        <v>65</v>
      </c>
      <c r="B1767" s="48">
        <v>43951</v>
      </c>
      <c r="C1767" t="s">
        <v>48</v>
      </c>
      <c r="D1767" t="str">
        <f>IF(COUNTIFS(Verweise!$A$2:$A$4542,Übersicht!$C$7,Verweise!$B$2:$B$4542,B1767)=1,"Feiertag",IF(C1767="Samstag","",IF(C1767="Sonntag","",Übersicht!$C$8)))</f>
        <v>Feiertag</v>
      </c>
    </row>
    <row r="1768" spans="1:4" x14ac:dyDescent="0.25">
      <c r="A1768" t="s">
        <v>65</v>
      </c>
      <c r="B1768" s="48">
        <v>43959</v>
      </c>
      <c r="C1768" t="s">
        <v>49</v>
      </c>
      <c r="D1768" t="str">
        <f>IF(COUNTIFS(Verweise!$A$2:$A$4542,Übersicht!$C$7,Verweise!$B$2:$B$4542,B1768)=1,"Feiertag",IF(C1768="Samstag","",IF(C1768="Sonntag","",Übersicht!$C$8)))</f>
        <v>Feiertag</v>
      </c>
    </row>
    <row r="1769" spans="1:4" x14ac:dyDescent="0.25">
      <c r="A1769" t="s">
        <v>65</v>
      </c>
      <c r="B1769" s="48">
        <v>43969</v>
      </c>
      <c r="C1769" t="s">
        <v>50</v>
      </c>
      <c r="D1769" t="str">
        <f>IF(COUNTIFS(Verweise!$A$2:$A$4542,Übersicht!$C$7,Verweise!$B$2:$B$4542,B1769)=1,"Feiertag",IF(C1769="Samstag","",IF(C1769="Sonntag","",Übersicht!$C$8)))</f>
        <v>Feiertag</v>
      </c>
    </row>
    <row r="1770" spans="1:4" x14ac:dyDescent="0.25">
      <c r="A1770" t="s">
        <v>65</v>
      </c>
      <c r="B1770" s="48">
        <v>43970</v>
      </c>
      <c r="C1770" t="s">
        <v>51</v>
      </c>
      <c r="D1770" t="str">
        <f>IF(COUNTIFS(Verweise!$A$2:$A$4542,Übersicht!$C$7,Verweise!$B$2:$B$4542,B1770)=1,"Feiertag",IF(C1770="Samstag","",IF(C1770="Sonntag","",Übersicht!$C$8)))</f>
        <v>Feiertag</v>
      </c>
    </row>
    <row r="1771" spans="1:4" x14ac:dyDescent="0.25">
      <c r="A1771" t="s">
        <v>65</v>
      </c>
      <c r="B1771" s="48">
        <v>43980</v>
      </c>
      <c r="C1771" t="s">
        <v>52</v>
      </c>
      <c r="D1771" t="str">
        <f>IF(COUNTIFS(Verweise!$A$2:$A$4542,Übersicht!$C$7,Verweise!$B$2:$B$4542,B1771)=1,"Feiertag",IF(C1771="Samstag","",IF(C1771="Sonntag","",Übersicht!$C$8)))</f>
        <v>Feiertag</v>
      </c>
    </row>
    <row r="1772" spans="1:4" x14ac:dyDescent="0.25">
      <c r="A1772" t="s">
        <v>65</v>
      </c>
      <c r="B1772" s="48">
        <v>44106</v>
      </c>
      <c r="C1772" t="s">
        <v>53</v>
      </c>
      <c r="D1772" t="str">
        <f>IF(COUNTIFS(Verweise!$A$2:$A$4542,Übersicht!$C$7,Verweise!$B$2:$B$4542,B1772)=1,"Feiertag",IF(C1772="Samstag","",IF(C1772="Sonntag","",Übersicht!$C$8)))</f>
        <v>Feiertag</v>
      </c>
    </row>
    <row r="1773" spans="1:4" x14ac:dyDescent="0.25">
      <c r="A1773" t="s">
        <v>65</v>
      </c>
      <c r="B1773" s="48">
        <v>44189</v>
      </c>
      <c r="C1773" t="s">
        <v>55</v>
      </c>
      <c r="D1773" t="str">
        <f>IF(COUNTIFS(Verweise!$A$2:$A$4542,Übersicht!$C$7,Verweise!$B$2:$B$4542,B1773)=1,"Feiertag",IF(C1773="Samstag","",IF(C1773="Sonntag","",Übersicht!$C$8)))</f>
        <v>Feiertag</v>
      </c>
    </row>
    <row r="1774" spans="1:4" x14ac:dyDescent="0.25">
      <c r="A1774" t="s">
        <v>65</v>
      </c>
      <c r="B1774" s="48">
        <v>44190</v>
      </c>
      <c r="C1774" t="s">
        <v>56</v>
      </c>
      <c r="D1774" t="str">
        <f>IF(COUNTIFS(Verweise!$A$2:$A$4542,Übersicht!$C$7,Verweise!$B$2:$B$4542,B1774)=1,"Feiertag",IF(C1774="Samstag","",IF(C1774="Sonntag","",Übersicht!$C$8)))</f>
        <v>Feiertag</v>
      </c>
    </row>
    <row r="1775" spans="1:4" x14ac:dyDescent="0.25">
      <c r="A1775" t="s">
        <v>66</v>
      </c>
      <c r="B1775" s="48">
        <v>43830</v>
      </c>
      <c r="C1775" t="s">
        <v>43</v>
      </c>
      <c r="D1775" t="str">
        <f>IF(COUNTIFS(Verweise!$A$2:$A$4542,Übersicht!$C$7,Verweise!$B$2:$B$4542,B1775)=1,"Feiertag",IF(C1775="Samstag","",IF(C1775="Sonntag","",Übersicht!$C$8)))</f>
        <v>Feiertag</v>
      </c>
    </row>
    <row r="1776" spans="1:4" x14ac:dyDescent="0.25">
      <c r="A1776" t="s">
        <v>66</v>
      </c>
      <c r="B1776" s="48">
        <v>43918</v>
      </c>
      <c r="C1776" t="s">
        <v>45</v>
      </c>
      <c r="D1776" t="str">
        <f>IF(COUNTIFS(Verweise!$A$2:$A$4542,Übersicht!$C$7,Verweise!$B$2:$B$4542,B1776)=1,"Feiertag",IF(C1776="Samstag","",IF(C1776="Sonntag","",Übersicht!$C$8)))</f>
        <v>Feiertag</v>
      </c>
    </row>
    <row r="1777" spans="1:4" x14ac:dyDescent="0.25">
      <c r="A1777" t="s">
        <v>66</v>
      </c>
      <c r="B1777" s="48">
        <v>43920</v>
      </c>
      <c r="C1777" t="s">
        <v>46</v>
      </c>
      <c r="D1777" t="str">
        <f>IF(COUNTIFS(Verweise!$A$2:$A$4542,Übersicht!$C$7,Verweise!$B$2:$B$4542,B1777)=1,"Feiertag",IF(C1777="Samstag","",IF(C1777="Sonntag","",Übersicht!$C$8)))</f>
        <v>Feiertag</v>
      </c>
    </row>
    <row r="1778" spans="1:4" x14ac:dyDescent="0.25">
      <c r="A1778" t="s">
        <v>66</v>
      </c>
      <c r="B1778" s="48">
        <v>43921</v>
      </c>
      <c r="C1778" t="s">
        <v>47</v>
      </c>
      <c r="D1778" t="str">
        <f>IF(COUNTIFS(Verweise!$A$2:$A$4542,Übersicht!$C$7,Verweise!$B$2:$B$4542,B1778)=1,"Feiertag",IF(C1778="Samstag","",IF(C1778="Sonntag","",Übersicht!$C$8)))</f>
        <v>Feiertag</v>
      </c>
    </row>
    <row r="1779" spans="1:4" x14ac:dyDescent="0.25">
      <c r="A1779" t="s">
        <v>66</v>
      </c>
      <c r="B1779" s="48">
        <v>43951</v>
      </c>
      <c r="C1779" t="s">
        <v>48</v>
      </c>
      <c r="D1779" t="str">
        <f>IF(COUNTIFS(Verweise!$A$2:$A$4542,Übersicht!$C$7,Verweise!$B$2:$B$4542,B1779)=1,"Feiertag",IF(C1779="Samstag","",IF(C1779="Sonntag","",Übersicht!$C$8)))</f>
        <v>Feiertag</v>
      </c>
    </row>
    <row r="1780" spans="1:4" x14ac:dyDescent="0.25">
      <c r="A1780" t="s">
        <v>66</v>
      </c>
      <c r="B1780" s="48">
        <v>43959</v>
      </c>
      <c r="C1780" t="s">
        <v>49</v>
      </c>
      <c r="D1780" t="str">
        <f>IF(COUNTIFS(Verweise!$A$2:$A$4542,Übersicht!$C$7,Verweise!$B$2:$B$4542,B1780)=1,"Feiertag",IF(C1780="Samstag","",IF(C1780="Sonntag","",Übersicht!$C$8)))</f>
        <v>Feiertag</v>
      </c>
    </row>
    <row r="1781" spans="1:4" x14ac:dyDescent="0.25">
      <c r="A1781" t="s">
        <v>66</v>
      </c>
      <c r="B1781" s="48">
        <v>43969</v>
      </c>
      <c r="C1781" t="s">
        <v>50</v>
      </c>
      <c r="D1781" t="str">
        <f>IF(COUNTIFS(Verweise!$A$2:$A$4542,Übersicht!$C$7,Verweise!$B$2:$B$4542,B1781)=1,"Feiertag",IF(C1781="Samstag","",IF(C1781="Sonntag","",Übersicht!$C$8)))</f>
        <v>Feiertag</v>
      </c>
    </row>
    <row r="1782" spans="1:4" x14ac:dyDescent="0.25">
      <c r="A1782" t="s">
        <v>66</v>
      </c>
      <c r="B1782" s="48">
        <v>43970</v>
      </c>
      <c r="C1782" t="s">
        <v>51</v>
      </c>
      <c r="D1782" t="str">
        <f>IF(COUNTIFS(Verweise!$A$2:$A$4542,Übersicht!$C$7,Verweise!$B$2:$B$4542,B1782)=1,"Feiertag",IF(C1782="Samstag","",IF(C1782="Sonntag","",Übersicht!$C$8)))</f>
        <v>Feiertag</v>
      </c>
    </row>
    <row r="1783" spans="1:4" x14ac:dyDescent="0.25">
      <c r="A1783" t="s">
        <v>66</v>
      </c>
      <c r="B1783" s="48">
        <v>44106</v>
      </c>
      <c r="C1783" t="s">
        <v>53</v>
      </c>
      <c r="D1783" t="str">
        <f>IF(COUNTIFS(Verweise!$A$2:$A$4542,Übersicht!$C$7,Verweise!$B$2:$B$4542,B1783)=1,"Feiertag",IF(C1783="Samstag","",IF(C1783="Sonntag","",Übersicht!$C$8)))</f>
        <v>Feiertag</v>
      </c>
    </row>
    <row r="1784" spans="1:4" x14ac:dyDescent="0.25">
      <c r="A1784" t="s">
        <v>66</v>
      </c>
      <c r="B1784" s="48">
        <v>44134</v>
      </c>
      <c r="C1784" t="s">
        <v>62</v>
      </c>
      <c r="D1784" t="str">
        <f>IF(COUNTIFS(Verweise!$A$2:$A$4542,Übersicht!$C$7,Verweise!$B$2:$B$4542,B1784)=1,"Feiertag",IF(C1784="Samstag","",IF(C1784="Sonntag","",Übersicht!$C$8)))</f>
        <v>Büro</v>
      </c>
    </row>
    <row r="1785" spans="1:4" x14ac:dyDescent="0.25">
      <c r="A1785" t="s">
        <v>66</v>
      </c>
      <c r="B1785" s="48">
        <v>44189</v>
      </c>
      <c r="C1785" t="s">
        <v>55</v>
      </c>
      <c r="D1785" t="str">
        <f>IF(COUNTIFS(Verweise!$A$2:$A$4542,Übersicht!$C$7,Verweise!$B$2:$B$4542,B1785)=1,"Feiertag",IF(C1785="Samstag","",IF(C1785="Sonntag","",Übersicht!$C$8)))</f>
        <v>Feiertag</v>
      </c>
    </row>
    <row r="1786" spans="1:4" x14ac:dyDescent="0.25">
      <c r="A1786" t="s">
        <v>66</v>
      </c>
      <c r="B1786" s="48">
        <v>44190</v>
      </c>
      <c r="C1786" t="s">
        <v>56</v>
      </c>
      <c r="D1786" t="str">
        <f>IF(COUNTIFS(Verweise!$A$2:$A$4542,Übersicht!$C$7,Verweise!$B$2:$B$4542,B1786)=1,"Feiertag",IF(C1786="Samstag","",IF(C1786="Sonntag","",Übersicht!$C$8)))</f>
        <v>Feiertag</v>
      </c>
    </row>
    <row r="1787" spans="1:4" x14ac:dyDescent="0.25">
      <c r="A1787" t="s">
        <v>67</v>
      </c>
      <c r="B1787" s="48">
        <v>43830</v>
      </c>
      <c r="C1787" t="s">
        <v>43</v>
      </c>
      <c r="D1787" t="str">
        <f>IF(COUNTIFS(Verweise!$A$2:$A$4542,Übersicht!$C$7,Verweise!$B$2:$B$4542,B1787)=1,"Feiertag",IF(C1787="Samstag","",IF(C1787="Sonntag","",Übersicht!$C$8)))</f>
        <v>Feiertag</v>
      </c>
    </row>
    <row r="1788" spans="1:4" x14ac:dyDescent="0.25">
      <c r="A1788" t="s">
        <v>67</v>
      </c>
      <c r="B1788" s="48">
        <v>43918</v>
      </c>
      <c r="C1788" t="s">
        <v>45</v>
      </c>
      <c r="D1788" t="str">
        <f>IF(COUNTIFS(Verweise!$A$2:$A$4542,Übersicht!$C$7,Verweise!$B$2:$B$4542,B1788)=1,"Feiertag",IF(C1788="Samstag","",IF(C1788="Sonntag","",Übersicht!$C$8)))</f>
        <v>Feiertag</v>
      </c>
    </row>
    <row r="1789" spans="1:4" x14ac:dyDescent="0.25">
      <c r="A1789" t="s">
        <v>67</v>
      </c>
      <c r="B1789" s="48">
        <v>43920</v>
      </c>
      <c r="C1789" t="s">
        <v>46</v>
      </c>
      <c r="D1789" t="str">
        <f>IF(COUNTIFS(Verweise!$A$2:$A$4542,Übersicht!$C$7,Verweise!$B$2:$B$4542,B1789)=1,"Feiertag",IF(C1789="Samstag","",IF(C1789="Sonntag","",Übersicht!$C$8)))</f>
        <v>Feiertag</v>
      </c>
    </row>
    <row r="1790" spans="1:4" x14ac:dyDescent="0.25">
      <c r="A1790" t="s">
        <v>67</v>
      </c>
      <c r="B1790" s="48">
        <v>43921</v>
      </c>
      <c r="C1790" t="s">
        <v>47</v>
      </c>
      <c r="D1790" t="str">
        <f>IF(COUNTIFS(Verweise!$A$2:$A$4542,Übersicht!$C$7,Verweise!$B$2:$B$4542,B1790)=1,"Feiertag",IF(C1790="Samstag","",IF(C1790="Sonntag","",Übersicht!$C$8)))</f>
        <v>Feiertag</v>
      </c>
    </row>
    <row r="1791" spans="1:4" x14ac:dyDescent="0.25">
      <c r="A1791" t="s">
        <v>67</v>
      </c>
      <c r="B1791" s="48">
        <v>43951</v>
      </c>
      <c r="C1791" t="s">
        <v>48</v>
      </c>
      <c r="D1791" t="str">
        <f>IF(COUNTIFS(Verweise!$A$2:$A$4542,Übersicht!$C$7,Verweise!$B$2:$B$4542,B1791)=1,"Feiertag",IF(C1791="Samstag","",IF(C1791="Sonntag","",Übersicht!$C$8)))</f>
        <v>Feiertag</v>
      </c>
    </row>
    <row r="1792" spans="1:4" x14ac:dyDescent="0.25">
      <c r="A1792" t="s">
        <v>67</v>
      </c>
      <c r="B1792" s="48">
        <v>43959</v>
      </c>
      <c r="C1792" t="s">
        <v>49</v>
      </c>
      <c r="D1792" t="str">
        <f>IF(COUNTIFS(Verweise!$A$2:$A$4542,Übersicht!$C$7,Verweise!$B$2:$B$4542,B1792)=1,"Feiertag",IF(C1792="Samstag","",IF(C1792="Sonntag","",Übersicht!$C$8)))</f>
        <v>Feiertag</v>
      </c>
    </row>
    <row r="1793" spans="1:4" x14ac:dyDescent="0.25">
      <c r="A1793" t="s">
        <v>67</v>
      </c>
      <c r="B1793" s="48">
        <v>43969</v>
      </c>
      <c r="C1793" t="s">
        <v>50</v>
      </c>
      <c r="D1793" t="str">
        <f>IF(COUNTIFS(Verweise!$A$2:$A$4542,Übersicht!$C$7,Verweise!$B$2:$B$4542,B1793)=1,"Feiertag",IF(C1793="Samstag","",IF(C1793="Sonntag","",Übersicht!$C$8)))</f>
        <v>Feiertag</v>
      </c>
    </row>
    <row r="1794" spans="1:4" x14ac:dyDescent="0.25">
      <c r="A1794" t="s">
        <v>67</v>
      </c>
      <c r="B1794" s="48">
        <v>43970</v>
      </c>
      <c r="C1794" t="s">
        <v>51</v>
      </c>
      <c r="D1794" t="str">
        <f>IF(COUNTIFS(Verweise!$A$2:$A$4542,Übersicht!$C$7,Verweise!$B$2:$B$4542,B1794)=1,"Feiertag",IF(C1794="Samstag","",IF(C1794="Sonntag","",Übersicht!$C$8)))</f>
        <v>Feiertag</v>
      </c>
    </row>
    <row r="1795" spans="1:4" x14ac:dyDescent="0.25">
      <c r="A1795" t="s">
        <v>67</v>
      </c>
      <c r="B1795" s="48">
        <v>44106</v>
      </c>
      <c r="C1795" t="s">
        <v>53</v>
      </c>
      <c r="D1795" t="str">
        <f>IF(COUNTIFS(Verweise!$A$2:$A$4542,Übersicht!$C$7,Verweise!$B$2:$B$4542,B1795)=1,"Feiertag",IF(C1795="Samstag","",IF(C1795="Sonntag","",Übersicht!$C$8)))</f>
        <v>Feiertag</v>
      </c>
    </row>
    <row r="1796" spans="1:4" x14ac:dyDescent="0.25">
      <c r="A1796" t="s">
        <v>67</v>
      </c>
      <c r="B1796" s="48">
        <v>44189</v>
      </c>
      <c r="C1796" t="s">
        <v>55</v>
      </c>
      <c r="D1796" t="str">
        <f>IF(COUNTIFS(Verweise!$A$2:$A$4542,Übersicht!$C$7,Verweise!$B$2:$B$4542,B1796)=1,"Feiertag",IF(C1796="Samstag","",IF(C1796="Sonntag","",Übersicht!$C$8)))</f>
        <v>Feiertag</v>
      </c>
    </row>
    <row r="1797" spans="1:4" x14ac:dyDescent="0.25">
      <c r="A1797" t="s">
        <v>67</v>
      </c>
      <c r="B1797" s="48">
        <v>44190</v>
      </c>
      <c r="C1797" t="s">
        <v>56</v>
      </c>
      <c r="D1797" t="str">
        <f>IF(COUNTIFS(Verweise!$A$2:$A$4542,Übersicht!$C$7,Verweise!$B$2:$B$4542,B1797)=1,"Feiertag",IF(C1797="Samstag","",IF(C1797="Sonntag","",Übersicht!$C$8)))</f>
        <v>Feiertag</v>
      </c>
    </row>
    <row r="1798" spans="1:4" x14ac:dyDescent="0.25">
      <c r="A1798" t="s">
        <v>68</v>
      </c>
      <c r="B1798" s="48">
        <v>43830</v>
      </c>
      <c r="C1798" t="s">
        <v>43</v>
      </c>
      <c r="D1798" t="str">
        <f>IF(COUNTIFS(Verweise!$A$2:$A$4542,Übersicht!$C$7,Verweise!$B$2:$B$4542,B1798)=1,"Feiertag",IF(C1798="Samstag","",IF(C1798="Sonntag","",Übersicht!$C$8)))</f>
        <v>Feiertag</v>
      </c>
    </row>
    <row r="1799" spans="1:4" x14ac:dyDescent="0.25">
      <c r="A1799" t="s">
        <v>68</v>
      </c>
      <c r="B1799" s="48">
        <v>43918</v>
      </c>
      <c r="C1799" t="s">
        <v>45</v>
      </c>
      <c r="D1799" t="str">
        <f>IF(COUNTIFS(Verweise!$A$2:$A$4542,Übersicht!$C$7,Verweise!$B$2:$B$4542,B1799)=1,"Feiertag",IF(C1799="Samstag","",IF(C1799="Sonntag","",Übersicht!$C$8)))</f>
        <v>Feiertag</v>
      </c>
    </row>
    <row r="1800" spans="1:4" x14ac:dyDescent="0.25">
      <c r="A1800" t="s">
        <v>68</v>
      </c>
      <c r="B1800" s="48">
        <v>43920</v>
      </c>
      <c r="C1800" t="s">
        <v>46</v>
      </c>
      <c r="D1800" t="str">
        <f>IF(COUNTIFS(Verweise!$A$2:$A$4542,Übersicht!$C$7,Verweise!$B$2:$B$4542,B1800)=1,"Feiertag",IF(C1800="Samstag","",IF(C1800="Sonntag","",Übersicht!$C$8)))</f>
        <v>Feiertag</v>
      </c>
    </row>
    <row r="1801" spans="1:4" x14ac:dyDescent="0.25">
      <c r="A1801" t="s">
        <v>68</v>
      </c>
      <c r="B1801" s="48">
        <v>43921</v>
      </c>
      <c r="C1801" t="s">
        <v>47</v>
      </c>
      <c r="D1801" t="str">
        <f>IF(COUNTIFS(Verweise!$A$2:$A$4542,Übersicht!$C$7,Verweise!$B$2:$B$4542,B1801)=1,"Feiertag",IF(C1801="Samstag","",IF(C1801="Sonntag","",Übersicht!$C$8)))</f>
        <v>Feiertag</v>
      </c>
    </row>
    <row r="1802" spans="1:4" x14ac:dyDescent="0.25">
      <c r="A1802" t="s">
        <v>68</v>
      </c>
      <c r="B1802" s="48">
        <v>43951</v>
      </c>
      <c r="C1802" t="s">
        <v>48</v>
      </c>
      <c r="D1802" t="str">
        <f>IF(COUNTIFS(Verweise!$A$2:$A$4542,Übersicht!$C$7,Verweise!$B$2:$B$4542,B1802)=1,"Feiertag",IF(C1802="Samstag","",IF(C1802="Sonntag","",Übersicht!$C$8)))</f>
        <v>Feiertag</v>
      </c>
    </row>
    <row r="1803" spans="1:4" x14ac:dyDescent="0.25">
      <c r="A1803" t="s">
        <v>68</v>
      </c>
      <c r="B1803" s="48">
        <v>43959</v>
      </c>
      <c r="C1803" t="s">
        <v>49</v>
      </c>
      <c r="D1803" t="str">
        <f>IF(COUNTIFS(Verweise!$A$2:$A$4542,Übersicht!$C$7,Verweise!$B$2:$B$4542,B1803)=1,"Feiertag",IF(C1803="Samstag","",IF(C1803="Sonntag","",Übersicht!$C$8)))</f>
        <v>Feiertag</v>
      </c>
    </row>
    <row r="1804" spans="1:4" x14ac:dyDescent="0.25">
      <c r="A1804" t="s">
        <v>68</v>
      </c>
      <c r="B1804" s="48">
        <v>43969</v>
      </c>
      <c r="C1804" t="s">
        <v>50</v>
      </c>
      <c r="D1804" t="str">
        <f>IF(COUNTIFS(Verweise!$A$2:$A$4542,Übersicht!$C$7,Verweise!$B$2:$B$4542,B1804)=1,"Feiertag",IF(C1804="Samstag","",IF(C1804="Sonntag","",Übersicht!$C$8)))</f>
        <v>Feiertag</v>
      </c>
    </row>
    <row r="1805" spans="1:4" x14ac:dyDescent="0.25">
      <c r="A1805" t="s">
        <v>68</v>
      </c>
      <c r="B1805" s="48">
        <v>43970</v>
      </c>
      <c r="C1805" t="s">
        <v>51</v>
      </c>
      <c r="D1805" t="str">
        <f>IF(COUNTIFS(Verweise!$A$2:$A$4542,Übersicht!$C$7,Verweise!$B$2:$B$4542,B1805)=1,"Feiertag",IF(C1805="Samstag","",IF(C1805="Sonntag","",Übersicht!$C$8)))</f>
        <v>Feiertag</v>
      </c>
    </row>
    <row r="1806" spans="1:4" x14ac:dyDescent="0.25">
      <c r="A1806" t="s">
        <v>68</v>
      </c>
      <c r="B1806" s="48">
        <v>43980</v>
      </c>
      <c r="C1806" t="s">
        <v>52</v>
      </c>
      <c r="D1806" t="str">
        <f>IF(COUNTIFS(Verweise!$A$2:$A$4542,Übersicht!$C$7,Verweise!$B$2:$B$4542,B1806)=1,"Feiertag",IF(C1806="Samstag","",IF(C1806="Sonntag","",Übersicht!$C$8)))</f>
        <v>Feiertag</v>
      </c>
    </row>
    <row r="1807" spans="1:4" x14ac:dyDescent="0.25">
      <c r="A1807" t="s">
        <v>68</v>
      </c>
      <c r="B1807" s="48">
        <v>44106</v>
      </c>
      <c r="C1807" t="s">
        <v>53</v>
      </c>
      <c r="D1807" t="str">
        <f>IF(COUNTIFS(Verweise!$A$2:$A$4542,Übersicht!$C$7,Verweise!$B$2:$B$4542,B1807)=1,"Feiertag",IF(C1807="Samstag","",IF(C1807="Sonntag","",Übersicht!$C$8)))</f>
        <v>Feiertag</v>
      </c>
    </row>
    <row r="1808" spans="1:4" x14ac:dyDescent="0.25">
      <c r="A1808" t="s">
        <v>68</v>
      </c>
      <c r="B1808" s="48">
        <v>44135</v>
      </c>
      <c r="C1808" t="s">
        <v>54</v>
      </c>
      <c r="D1808" t="str">
        <f>IF(COUNTIFS(Verweise!$A$2:$A$4542,Übersicht!$C$7,Verweise!$B$2:$B$4542,B1808)=1,"Feiertag",IF(C1808="Samstag","",IF(C1808="Sonntag","",Übersicht!$C$8)))</f>
        <v>Feiertag</v>
      </c>
    </row>
    <row r="1809" spans="1:4" x14ac:dyDescent="0.25">
      <c r="A1809" t="s">
        <v>68</v>
      </c>
      <c r="B1809" s="48">
        <v>44189</v>
      </c>
      <c r="C1809" t="s">
        <v>55</v>
      </c>
      <c r="D1809" t="str">
        <f>IF(COUNTIFS(Verweise!$A$2:$A$4542,Übersicht!$C$7,Verweise!$B$2:$B$4542,B1809)=1,"Feiertag",IF(C1809="Samstag","",IF(C1809="Sonntag","",Übersicht!$C$8)))</f>
        <v>Feiertag</v>
      </c>
    </row>
    <row r="1810" spans="1:4" x14ac:dyDescent="0.25">
      <c r="A1810" t="s">
        <v>68</v>
      </c>
      <c r="B1810" s="48">
        <v>44190</v>
      </c>
      <c r="C1810" t="s">
        <v>56</v>
      </c>
      <c r="D1810" t="str">
        <f>IF(COUNTIFS(Verweise!$A$2:$A$4542,Übersicht!$C$7,Verweise!$B$2:$B$4542,B1810)=1,"Feiertag",IF(C1810="Samstag","",IF(C1810="Sonntag","",Übersicht!$C$8)))</f>
        <v>Feiertag</v>
      </c>
    </row>
    <row r="1811" spans="1:4" x14ac:dyDescent="0.25">
      <c r="A1811" t="s">
        <v>69</v>
      </c>
      <c r="B1811" s="48">
        <v>43830</v>
      </c>
      <c r="C1811" t="s">
        <v>43</v>
      </c>
      <c r="D1811" t="str">
        <f>IF(COUNTIFS(Verweise!$A$2:$A$4542,Übersicht!$C$7,Verweise!$B$2:$B$4542,B1811)=1,"Feiertag",IF(C1811="Samstag","",IF(C1811="Sonntag","",Übersicht!$C$8)))</f>
        <v>Feiertag</v>
      </c>
    </row>
    <row r="1812" spans="1:4" x14ac:dyDescent="0.25">
      <c r="A1812" t="s">
        <v>69</v>
      </c>
      <c r="B1812" s="48">
        <v>43918</v>
      </c>
      <c r="C1812" t="s">
        <v>45</v>
      </c>
      <c r="D1812" t="str">
        <f>IF(COUNTIFS(Verweise!$A$2:$A$4542,Übersicht!$C$7,Verweise!$B$2:$B$4542,B1812)=1,"Feiertag",IF(C1812="Samstag","",IF(C1812="Sonntag","",Übersicht!$C$8)))</f>
        <v>Feiertag</v>
      </c>
    </row>
    <row r="1813" spans="1:4" x14ac:dyDescent="0.25">
      <c r="A1813" t="s">
        <v>69</v>
      </c>
      <c r="B1813" s="48">
        <v>43920</v>
      </c>
      <c r="C1813" t="s">
        <v>46</v>
      </c>
      <c r="D1813" t="str">
        <f>IF(COUNTIFS(Verweise!$A$2:$A$4542,Übersicht!$C$7,Verweise!$B$2:$B$4542,B1813)=1,"Feiertag",IF(C1813="Samstag","",IF(C1813="Sonntag","",Übersicht!$C$8)))</f>
        <v>Feiertag</v>
      </c>
    </row>
    <row r="1814" spans="1:4" x14ac:dyDescent="0.25">
      <c r="A1814" t="s">
        <v>69</v>
      </c>
      <c r="B1814" s="48">
        <v>43921</v>
      </c>
      <c r="C1814" t="s">
        <v>47</v>
      </c>
      <c r="D1814" t="str">
        <f>IF(COUNTIFS(Verweise!$A$2:$A$4542,Übersicht!$C$7,Verweise!$B$2:$B$4542,B1814)=1,"Feiertag",IF(C1814="Samstag","",IF(C1814="Sonntag","",Übersicht!$C$8)))</f>
        <v>Feiertag</v>
      </c>
    </row>
    <row r="1815" spans="1:4" x14ac:dyDescent="0.25">
      <c r="A1815" t="s">
        <v>69</v>
      </c>
      <c r="B1815" s="48">
        <v>43951</v>
      </c>
      <c r="C1815" t="s">
        <v>48</v>
      </c>
      <c r="D1815" t="str">
        <f>IF(COUNTIFS(Verweise!$A$2:$A$4542,Übersicht!$C$7,Verweise!$B$2:$B$4542,B1815)=1,"Feiertag",IF(C1815="Samstag","",IF(C1815="Sonntag","",Übersicht!$C$8)))</f>
        <v>Feiertag</v>
      </c>
    </row>
    <row r="1816" spans="1:4" x14ac:dyDescent="0.25">
      <c r="A1816" t="s">
        <v>69</v>
      </c>
      <c r="B1816" s="48">
        <v>43959</v>
      </c>
      <c r="C1816" t="s">
        <v>49</v>
      </c>
      <c r="D1816" t="str">
        <f>IF(COUNTIFS(Verweise!$A$2:$A$4542,Übersicht!$C$7,Verweise!$B$2:$B$4542,B1816)=1,"Feiertag",IF(C1816="Samstag","",IF(C1816="Sonntag","",Übersicht!$C$8)))</f>
        <v>Feiertag</v>
      </c>
    </row>
    <row r="1817" spans="1:4" x14ac:dyDescent="0.25">
      <c r="A1817" t="s">
        <v>69</v>
      </c>
      <c r="B1817" s="48">
        <v>43969</v>
      </c>
      <c r="C1817" t="s">
        <v>50</v>
      </c>
      <c r="D1817" t="str">
        <f>IF(COUNTIFS(Verweise!$A$2:$A$4542,Übersicht!$C$7,Verweise!$B$2:$B$4542,B1817)=1,"Feiertag",IF(C1817="Samstag","",IF(C1817="Sonntag","",Übersicht!$C$8)))</f>
        <v>Feiertag</v>
      </c>
    </row>
    <row r="1818" spans="1:4" x14ac:dyDescent="0.25">
      <c r="A1818" t="s">
        <v>69</v>
      </c>
      <c r="B1818" s="48">
        <v>43970</v>
      </c>
      <c r="C1818" t="s">
        <v>51</v>
      </c>
      <c r="D1818" t="str">
        <f>IF(COUNTIFS(Verweise!$A$2:$A$4542,Übersicht!$C$7,Verweise!$B$2:$B$4542,B1818)=1,"Feiertag",IF(C1818="Samstag","",IF(C1818="Sonntag","",Übersicht!$C$8)))</f>
        <v>Feiertag</v>
      </c>
    </row>
    <row r="1819" spans="1:4" x14ac:dyDescent="0.25">
      <c r="A1819" t="s">
        <v>69</v>
      </c>
      <c r="B1819" s="48">
        <v>43980</v>
      </c>
      <c r="C1819" t="s">
        <v>52</v>
      </c>
      <c r="D1819" t="str">
        <f>IF(COUNTIFS(Verweise!$A$2:$A$4542,Übersicht!$C$7,Verweise!$B$2:$B$4542,B1819)=1,"Feiertag",IF(C1819="Samstag","",IF(C1819="Sonntag","",Übersicht!$C$8)))</f>
        <v>Feiertag</v>
      </c>
    </row>
    <row r="1820" spans="1:4" x14ac:dyDescent="0.25">
      <c r="A1820" t="s">
        <v>69</v>
      </c>
      <c r="B1820" s="48">
        <v>44106</v>
      </c>
      <c r="C1820" t="s">
        <v>53</v>
      </c>
      <c r="D1820" t="str">
        <f>IF(COUNTIFS(Verweise!$A$2:$A$4542,Übersicht!$C$7,Verweise!$B$2:$B$4542,B1820)=1,"Feiertag",IF(C1820="Samstag","",IF(C1820="Sonntag","",Übersicht!$C$8)))</f>
        <v>Feiertag</v>
      </c>
    </row>
    <row r="1821" spans="1:4" x14ac:dyDescent="0.25">
      <c r="A1821" t="s">
        <v>69</v>
      </c>
      <c r="B1821" s="48">
        <v>44135</v>
      </c>
      <c r="C1821" t="s">
        <v>54</v>
      </c>
      <c r="D1821" t="str">
        <f>IF(COUNTIFS(Verweise!$A$2:$A$4542,Übersicht!$C$7,Verweise!$B$2:$B$4542,B1821)=1,"Feiertag",IF(C1821="Samstag","",IF(C1821="Sonntag","",Übersicht!$C$8)))</f>
        <v>Feiertag</v>
      </c>
    </row>
    <row r="1822" spans="1:4" x14ac:dyDescent="0.25">
      <c r="A1822" t="s">
        <v>69</v>
      </c>
      <c r="B1822" s="48">
        <v>44189</v>
      </c>
      <c r="C1822" t="s">
        <v>55</v>
      </c>
      <c r="D1822" t="str">
        <f>IF(COUNTIFS(Verweise!$A$2:$A$4542,Übersicht!$C$7,Verweise!$B$2:$B$4542,B1822)=1,"Feiertag",IF(C1822="Samstag","",IF(C1822="Sonntag","",Übersicht!$C$8)))</f>
        <v>Feiertag</v>
      </c>
    </row>
    <row r="1823" spans="1:4" x14ac:dyDescent="0.25">
      <c r="A1823" t="s">
        <v>69</v>
      </c>
      <c r="B1823" s="48">
        <v>44190</v>
      </c>
      <c r="C1823" t="s">
        <v>56</v>
      </c>
      <c r="D1823" t="str">
        <f>IF(COUNTIFS(Verweise!$A$2:$A$4542,Übersicht!$C$7,Verweise!$B$2:$B$4542,B1823)=1,"Feiertag",IF(C1823="Samstag","",IF(C1823="Sonntag","",Übersicht!$C$8)))</f>
        <v>Feiertag</v>
      </c>
    </row>
    <row r="1824" spans="1:4" x14ac:dyDescent="0.25">
      <c r="A1824" t="s">
        <v>70</v>
      </c>
      <c r="B1824" s="48">
        <v>43830</v>
      </c>
      <c r="C1824" t="s">
        <v>43</v>
      </c>
      <c r="D1824" t="str">
        <f>IF(COUNTIFS(Verweise!$A$2:$A$4542,Übersicht!$C$7,Verweise!$B$2:$B$4542,B1824)=1,"Feiertag",IF(C1824="Samstag","",IF(C1824="Sonntag","",Übersicht!$C$8)))</f>
        <v>Feiertag</v>
      </c>
    </row>
    <row r="1825" spans="1:4" x14ac:dyDescent="0.25">
      <c r="A1825" t="s">
        <v>70</v>
      </c>
      <c r="B1825" s="48">
        <v>43918</v>
      </c>
      <c r="C1825" t="s">
        <v>45</v>
      </c>
      <c r="D1825" t="str">
        <f>IF(COUNTIFS(Verweise!$A$2:$A$4542,Übersicht!$C$7,Verweise!$B$2:$B$4542,B1825)=1,"Feiertag",IF(C1825="Samstag","",IF(C1825="Sonntag","",Übersicht!$C$8)))</f>
        <v>Feiertag</v>
      </c>
    </row>
    <row r="1826" spans="1:4" x14ac:dyDescent="0.25">
      <c r="A1826" t="s">
        <v>70</v>
      </c>
      <c r="B1826" s="48">
        <v>43920</v>
      </c>
      <c r="C1826" t="s">
        <v>46</v>
      </c>
      <c r="D1826" t="str">
        <f>IF(COUNTIFS(Verweise!$A$2:$A$4542,Übersicht!$C$7,Verweise!$B$2:$B$4542,B1826)=1,"Feiertag",IF(C1826="Samstag","",IF(C1826="Sonntag","",Übersicht!$C$8)))</f>
        <v>Feiertag</v>
      </c>
    </row>
    <row r="1827" spans="1:4" x14ac:dyDescent="0.25">
      <c r="A1827" t="s">
        <v>70</v>
      </c>
      <c r="B1827" s="48">
        <v>43921</v>
      </c>
      <c r="C1827" t="s">
        <v>47</v>
      </c>
      <c r="D1827" t="str">
        <f>IF(COUNTIFS(Verweise!$A$2:$A$4542,Übersicht!$C$7,Verweise!$B$2:$B$4542,B1827)=1,"Feiertag",IF(C1827="Samstag","",IF(C1827="Sonntag","",Übersicht!$C$8)))</f>
        <v>Feiertag</v>
      </c>
    </row>
    <row r="1828" spans="1:4" x14ac:dyDescent="0.25">
      <c r="A1828" t="s">
        <v>70</v>
      </c>
      <c r="B1828" s="48">
        <v>43951</v>
      </c>
      <c r="C1828" t="s">
        <v>48</v>
      </c>
      <c r="D1828" t="str">
        <f>IF(COUNTIFS(Verweise!$A$2:$A$4542,Übersicht!$C$7,Verweise!$B$2:$B$4542,B1828)=1,"Feiertag",IF(C1828="Samstag","",IF(C1828="Sonntag","",Übersicht!$C$8)))</f>
        <v>Feiertag</v>
      </c>
    </row>
    <row r="1829" spans="1:4" x14ac:dyDescent="0.25">
      <c r="A1829" t="s">
        <v>70</v>
      </c>
      <c r="B1829" s="48">
        <v>43959</v>
      </c>
      <c r="C1829" t="s">
        <v>49</v>
      </c>
      <c r="D1829" t="str">
        <f>IF(COUNTIFS(Verweise!$A$2:$A$4542,Übersicht!$C$7,Verweise!$B$2:$B$4542,B1829)=1,"Feiertag",IF(C1829="Samstag","",IF(C1829="Sonntag","",Übersicht!$C$8)))</f>
        <v>Feiertag</v>
      </c>
    </row>
    <row r="1830" spans="1:4" x14ac:dyDescent="0.25">
      <c r="A1830" t="s">
        <v>70</v>
      </c>
      <c r="B1830" s="48">
        <v>43969</v>
      </c>
      <c r="C1830" t="s">
        <v>50</v>
      </c>
      <c r="D1830" t="str">
        <f>IF(COUNTIFS(Verweise!$A$2:$A$4542,Übersicht!$C$7,Verweise!$B$2:$B$4542,B1830)=1,"Feiertag",IF(C1830="Samstag","",IF(C1830="Sonntag","",Übersicht!$C$8)))</f>
        <v>Feiertag</v>
      </c>
    </row>
    <row r="1831" spans="1:4" x14ac:dyDescent="0.25">
      <c r="A1831" t="s">
        <v>70</v>
      </c>
      <c r="B1831" s="48">
        <v>43970</v>
      </c>
      <c r="C1831" t="s">
        <v>51</v>
      </c>
      <c r="D1831" t="str">
        <f>IF(COUNTIFS(Verweise!$A$2:$A$4542,Übersicht!$C$7,Verweise!$B$2:$B$4542,B1831)=1,"Feiertag",IF(C1831="Samstag","",IF(C1831="Sonntag","",Übersicht!$C$8)))</f>
        <v>Feiertag</v>
      </c>
    </row>
    <row r="1832" spans="1:4" x14ac:dyDescent="0.25">
      <c r="A1832" t="s">
        <v>70</v>
      </c>
      <c r="B1832" s="48">
        <v>43980</v>
      </c>
      <c r="C1832" t="s">
        <v>52</v>
      </c>
      <c r="D1832" t="str">
        <f>IF(COUNTIFS(Verweise!$A$2:$A$4542,Übersicht!$C$7,Verweise!$B$2:$B$4542,B1832)=1,"Feiertag",IF(C1832="Samstag","",IF(C1832="Sonntag","",Übersicht!$C$8)))</f>
        <v>Feiertag</v>
      </c>
    </row>
    <row r="1833" spans="1:4" x14ac:dyDescent="0.25">
      <c r="A1833" t="s">
        <v>70</v>
      </c>
      <c r="B1833" s="48">
        <v>44057</v>
      </c>
      <c r="C1833" t="s">
        <v>59</v>
      </c>
      <c r="D1833" t="str">
        <f>IF(COUNTIFS(Verweise!$A$2:$A$4542,Übersicht!$C$7,Verweise!$B$2:$B$4542,B1833)=1,"Feiertag",IF(C1833="Samstag","",IF(C1833="Sonntag","",Übersicht!$C$8)))</f>
        <v>Büro</v>
      </c>
    </row>
    <row r="1834" spans="1:4" x14ac:dyDescent="0.25">
      <c r="A1834" t="s">
        <v>70</v>
      </c>
      <c r="B1834" s="48">
        <v>44106</v>
      </c>
      <c r="C1834" t="s">
        <v>53</v>
      </c>
      <c r="D1834" t="str">
        <f>IF(COUNTIFS(Verweise!$A$2:$A$4542,Übersicht!$C$7,Verweise!$B$2:$B$4542,B1834)=1,"Feiertag",IF(C1834="Samstag","",IF(C1834="Sonntag","",Übersicht!$C$8)))</f>
        <v>Feiertag</v>
      </c>
    </row>
    <row r="1835" spans="1:4" x14ac:dyDescent="0.25">
      <c r="A1835" t="s">
        <v>70</v>
      </c>
      <c r="B1835" s="48">
        <v>44135</v>
      </c>
      <c r="C1835" t="s">
        <v>54</v>
      </c>
      <c r="D1835" t="str">
        <f>IF(COUNTIFS(Verweise!$A$2:$A$4542,Übersicht!$C$7,Verweise!$B$2:$B$4542,B1835)=1,"Feiertag",IF(C1835="Samstag","",IF(C1835="Sonntag","",Übersicht!$C$8)))</f>
        <v>Feiertag</v>
      </c>
    </row>
    <row r="1836" spans="1:4" x14ac:dyDescent="0.25">
      <c r="A1836" t="s">
        <v>70</v>
      </c>
      <c r="B1836" s="48">
        <v>44189</v>
      </c>
      <c r="C1836" t="s">
        <v>55</v>
      </c>
      <c r="D1836" t="str">
        <f>IF(COUNTIFS(Verweise!$A$2:$A$4542,Übersicht!$C$7,Verweise!$B$2:$B$4542,B1836)=1,"Feiertag",IF(C1836="Samstag","",IF(C1836="Sonntag","",Übersicht!$C$8)))</f>
        <v>Feiertag</v>
      </c>
    </row>
    <row r="1837" spans="1:4" x14ac:dyDescent="0.25">
      <c r="A1837" t="s">
        <v>70</v>
      </c>
      <c r="B1837" s="48">
        <v>44190</v>
      </c>
      <c r="C1837" t="s">
        <v>56</v>
      </c>
      <c r="D1837" t="str">
        <f>IF(COUNTIFS(Verweise!$A$2:$A$4542,Übersicht!$C$7,Verweise!$B$2:$B$4542,B1837)=1,"Feiertag",IF(C1837="Samstag","",IF(C1837="Sonntag","",Übersicht!$C$8)))</f>
        <v>Feiertag</v>
      </c>
    </row>
    <row r="1838" spans="1:4" x14ac:dyDescent="0.25">
      <c r="A1838" t="s">
        <v>71</v>
      </c>
      <c r="B1838" s="48">
        <v>43830</v>
      </c>
      <c r="C1838" t="s">
        <v>43</v>
      </c>
      <c r="D1838" t="str">
        <f>IF(COUNTIFS(Verweise!$A$2:$A$4542,Übersicht!$C$7,Verweise!$B$2:$B$4542,B1838)=1,"Feiertag",IF(C1838="Samstag","",IF(C1838="Sonntag","",Übersicht!$C$8)))</f>
        <v>Feiertag</v>
      </c>
    </row>
    <row r="1839" spans="1:4" x14ac:dyDescent="0.25">
      <c r="A1839" t="s">
        <v>71</v>
      </c>
      <c r="B1839" s="48">
        <v>43918</v>
      </c>
      <c r="C1839" t="s">
        <v>45</v>
      </c>
      <c r="D1839" t="str">
        <f>IF(COUNTIFS(Verweise!$A$2:$A$4542,Übersicht!$C$7,Verweise!$B$2:$B$4542,B1839)=1,"Feiertag",IF(C1839="Samstag","",IF(C1839="Sonntag","",Übersicht!$C$8)))</f>
        <v>Feiertag</v>
      </c>
    </row>
    <row r="1840" spans="1:4" x14ac:dyDescent="0.25">
      <c r="A1840" t="s">
        <v>71</v>
      </c>
      <c r="B1840" s="48">
        <v>43920</v>
      </c>
      <c r="C1840" t="s">
        <v>46</v>
      </c>
      <c r="D1840" t="str">
        <f>IF(COUNTIFS(Verweise!$A$2:$A$4542,Übersicht!$C$7,Verweise!$B$2:$B$4542,B1840)=1,"Feiertag",IF(C1840="Samstag","",IF(C1840="Sonntag","",Übersicht!$C$8)))</f>
        <v>Feiertag</v>
      </c>
    </row>
    <row r="1841" spans="1:4" x14ac:dyDescent="0.25">
      <c r="A1841" t="s">
        <v>71</v>
      </c>
      <c r="B1841" s="48">
        <v>43921</v>
      </c>
      <c r="C1841" t="s">
        <v>47</v>
      </c>
      <c r="D1841" t="str">
        <f>IF(COUNTIFS(Verweise!$A$2:$A$4542,Übersicht!$C$7,Verweise!$B$2:$B$4542,B1841)=1,"Feiertag",IF(C1841="Samstag","",IF(C1841="Sonntag","",Übersicht!$C$8)))</f>
        <v>Feiertag</v>
      </c>
    </row>
    <row r="1842" spans="1:4" x14ac:dyDescent="0.25">
      <c r="A1842" t="s">
        <v>71</v>
      </c>
      <c r="B1842" s="48">
        <v>43951</v>
      </c>
      <c r="C1842" t="s">
        <v>48</v>
      </c>
      <c r="D1842" t="str">
        <f>IF(COUNTIFS(Verweise!$A$2:$A$4542,Übersicht!$C$7,Verweise!$B$2:$B$4542,B1842)=1,"Feiertag",IF(C1842="Samstag","",IF(C1842="Sonntag","",Übersicht!$C$8)))</f>
        <v>Feiertag</v>
      </c>
    </row>
    <row r="1843" spans="1:4" x14ac:dyDescent="0.25">
      <c r="A1843" t="s">
        <v>71</v>
      </c>
      <c r="B1843" s="48">
        <v>43959</v>
      </c>
      <c r="C1843" t="s">
        <v>49</v>
      </c>
      <c r="D1843" t="str">
        <f>IF(COUNTIFS(Verweise!$A$2:$A$4542,Übersicht!$C$7,Verweise!$B$2:$B$4542,B1843)=1,"Feiertag",IF(C1843="Samstag","",IF(C1843="Sonntag","",Übersicht!$C$8)))</f>
        <v>Feiertag</v>
      </c>
    </row>
    <row r="1844" spans="1:4" x14ac:dyDescent="0.25">
      <c r="A1844" t="s">
        <v>71</v>
      </c>
      <c r="B1844" s="48">
        <v>43969</v>
      </c>
      <c r="C1844" t="s">
        <v>50</v>
      </c>
      <c r="D1844" t="str">
        <f>IF(COUNTIFS(Verweise!$A$2:$A$4542,Übersicht!$C$7,Verweise!$B$2:$B$4542,B1844)=1,"Feiertag",IF(C1844="Samstag","",IF(C1844="Sonntag","",Übersicht!$C$8)))</f>
        <v>Feiertag</v>
      </c>
    </row>
    <row r="1845" spans="1:4" x14ac:dyDescent="0.25">
      <c r="A1845" t="s">
        <v>71</v>
      </c>
      <c r="B1845" s="48">
        <v>43970</v>
      </c>
      <c r="C1845" t="s">
        <v>51</v>
      </c>
      <c r="D1845" t="str">
        <f>IF(COUNTIFS(Verweise!$A$2:$A$4542,Übersicht!$C$7,Verweise!$B$2:$B$4542,B1845)=1,"Feiertag",IF(C1845="Samstag","",IF(C1845="Sonntag","",Übersicht!$C$8)))</f>
        <v>Feiertag</v>
      </c>
    </row>
    <row r="1846" spans="1:4" x14ac:dyDescent="0.25">
      <c r="A1846" t="s">
        <v>71</v>
      </c>
      <c r="B1846" s="48">
        <v>44106</v>
      </c>
      <c r="C1846" t="s">
        <v>53</v>
      </c>
      <c r="D1846" t="str">
        <f>IF(COUNTIFS(Verweise!$A$2:$A$4542,Übersicht!$C$7,Verweise!$B$2:$B$4542,B1846)=1,"Feiertag",IF(C1846="Samstag","",IF(C1846="Sonntag","",Übersicht!$C$8)))</f>
        <v>Feiertag</v>
      </c>
    </row>
    <row r="1847" spans="1:4" x14ac:dyDescent="0.25">
      <c r="A1847" t="s">
        <v>71</v>
      </c>
      <c r="B1847" s="48">
        <v>44134</v>
      </c>
      <c r="C1847" t="s">
        <v>62</v>
      </c>
      <c r="D1847" t="str">
        <f>IF(COUNTIFS(Verweise!$A$2:$A$4542,Übersicht!$C$7,Verweise!$B$2:$B$4542,B1847)=1,"Feiertag",IF(C1847="Samstag","",IF(C1847="Sonntag","",Übersicht!$C$8)))</f>
        <v>Büro</v>
      </c>
    </row>
    <row r="1848" spans="1:4" x14ac:dyDescent="0.25">
      <c r="A1848" t="s">
        <v>71</v>
      </c>
      <c r="B1848" s="48">
        <v>44154</v>
      </c>
      <c r="C1848" t="s">
        <v>72</v>
      </c>
      <c r="D1848" t="str">
        <f>IF(COUNTIFS(Verweise!$A$2:$A$4542,Übersicht!$C$7,Verweise!$B$2:$B$4542,B1848)=1,"Feiertag",IF(C1848="Samstag","",IF(C1848="Sonntag","",Übersicht!$C$8)))</f>
        <v>Büro</v>
      </c>
    </row>
    <row r="1849" spans="1:4" x14ac:dyDescent="0.25">
      <c r="A1849" t="s">
        <v>71</v>
      </c>
      <c r="B1849" s="48">
        <v>44189</v>
      </c>
      <c r="C1849" t="s">
        <v>55</v>
      </c>
      <c r="D1849" t="str">
        <f>IF(COUNTIFS(Verweise!$A$2:$A$4542,Übersicht!$C$7,Verweise!$B$2:$B$4542,B1849)=1,"Feiertag",IF(C1849="Samstag","",IF(C1849="Sonntag","",Übersicht!$C$8)))</f>
        <v>Feiertag</v>
      </c>
    </row>
    <row r="1850" spans="1:4" x14ac:dyDescent="0.25">
      <c r="A1850" t="s">
        <v>71</v>
      </c>
      <c r="B1850" s="48">
        <v>44190</v>
      </c>
      <c r="C1850" t="s">
        <v>56</v>
      </c>
      <c r="D1850" t="str">
        <f>IF(COUNTIFS(Verweise!$A$2:$A$4542,Übersicht!$C$7,Verweise!$B$2:$B$4542,B1850)=1,"Feiertag",IF(C1850="Samstag","",IF(C1850="Sonntag","",Übersicht!$C$8)))</f>
        <v>Feiertag</v>
      </c>
    </row>
    <row r="1851" spans="1:4" x14ac:dyDescent="0.25">
      <c r="A1851" t="s">
        <v>73</v>
      </c>
      <c r="B1851" s="48">
        <v>43830</v>
      </c>
      <c r="C1851" t="s">
        <v>43</v>
      </c>
      <c r="D1851" t="str">
        <f>IF(COUNTIFS(Verweise!$A$2:$A$4542,Übersicht!$C$7,Verweise!$B$2:$B$4542,B1851)=1,"Feiertag",IF(C1851="Samstag","",IF(C1851="Sonntag","",Übersicht!$C$8)))</f>
        <v>Feiertag</v>
      </c>
    </row>
    <row r="1852" spans="1:4" x14ac:dyDescent="0.25">
      <c r="A1852" t="s">
        <v>73</v>
      </c>
      <c r="B1852" s="48">
        <v>43918</v>
      </c>
      <c r="C1852" t="s">
        <v>45</v>
      </c>
      <c r="D1852" t="str">
        <f>IF(COUNTIFS(Verweise!$A$2:$A$4542,Übersicht!$C$7,Verweise!$B$2:$B$4542,B1852)=1,"Feiertag",IF(C1852="Samstag","",IF(C1852="Sonntag","",Übersicht!$C$8)))</f>
        <v>Feiertag</v>
      </c>
    </row>
    <row r="1853" spans="1:4" x14ac:dyDescent="0.25">
      <c r="A1853" t="s">
        <v>73</v>
      </c>
      <c r="B1853" s="48">
        <v>43920</v>
      </c>
      <c r="C1853" t="s">
        <v>46</v>
      </c>
      <c r="D1853" t="str">
        <f>IF(COUNTIFS(Verweise!$A$2:$A$4542,Übersicht!$C$7,Verweise!$B$2:$B$4542,B1853)=1,"Feiertag",IF(C1853="Samstag","",IF(C1853="Sonntag","",Übersicht!$C$8)))</f>
        <v>Feiertag</v>
      </c>
    </row>
    <row r="1854" spans="1:4" x14ac:dyDescent="0.25">
      <c r="A1854" t="s">
        <v>73</v>
      </c>
      <c r="B1854" s="48">
        <v>43921</v>
      </c>
      <c r="C1854" t="s">
        <v>47</v>
      </c>
      <c r="D1854" t="str">
        <f>IF(COUNTIFS(Verweise!$A$2:$A$4542,Übersicht!$C$7,Verweise!$B$2:$B$4542,B1854)=1,"Feiertag",IF(C1854="Samstag","",IF(C1854="Sonntag","",Übersicht!$C$8)))</f>
        <v>Feiertag</v>
      </c>
    </row>
    <row r="1855" spans="1:4" x14ac:dyDescent="0.25">
      <c r="A1855" t="s">
        <v>73</v>
      </c>
      <c r="B1855" s="48">
        <v>43951</v>
      </c>
      <c r="C1855" t="s">
        <v>48</v>
      </c>
      <c r="D1855" t="str">
        <f>IF(COUNTIFS(Verweise!$A$2:$A$4542,Übersicht!$C$7,Verweise!$B$2:$B$4542,B1855)=1,"Feiertag",IF(C1855="Samstag","",IF(C1855="Sonntag","",Übersicht!$C$8)))</f>
        <v>Feiertag</v>
      </c>
    </row>
    <row r="1856" spans="1:4" x14ac:dyDescent="0.25">
      <c r="A1856" t="s">
        <v>73</v>
      </c>
      <c r="B1856" s="48">
        <v>43959</v>
      </c>
      <c r="C1856" t="s">
        <v>49</v>
      </c>
      <c r="D1856" t="str">
        <f>IF(COUNTIFS(Verweise!$A$2:$A$4542,Übersicht!$C$7,Verweise!$B$2:$B$4542,B1856)=1,"Feiertag",IF(C1856="Samstag","",IF(C1856="Sonntag","",Übersicht!$C$8)))</f>
        <v>Feiertag</v>
      </c>
    </row>
    <row r="1857" spans="1:4" x14ac:dyDescent="0.25">
      <c r="A1857" t="s">
        <v>73</v>
      </c>
      <c r="B1857" s="48">
        <v>43969</v>
      </c>
      <c r="C1857" t="s">
        <v>50</v>
      </c>
      <c r="D1857" t="str">
        <f>IF(COUNTIFS(Verweise!$A$2:$A$4542,Übersicht!$C$7,Verweise!$B$2:$B$4542,B1857)=1,"Feiertag",IF(C1857="Samstag","",IF(C1857="Sonntag","",Übersicht!$C$8)))</f>
        <v>Feiertag</v>
      </c>
    </row>
    <row r="1858" spans="1:4" x14ac:dyDescent="0.25">
      <c r="A1858" t="s">
        <v>73</v>
      </c>
      <c r="B1858" s="48">
        <v>43970</v>
      </c>
      <c r="C1858" t="s">
        <v>51</v>
      </c>
      <c r="D1858" t="str">
        <f>IF(COUNTIFS(Verweise!$A$2:$A$4542,Übersicht!$C$7,Verweise!$B$2:$B$4542,B1858)=1,"Feiertag",IF(C1858="Samstag","",IF(C1858="Sonntag","",Übersicht!$C$8)))</f>
        <v>Feiertag</v>
      </c>
    </row>
    <row r="1859" spans="1:4" x14ac:dyDescent="0.25">
      <c r="A1859" t="s">
        <v>73</v>
      </c>
      <c r="B1859" s="48">
        <v>43980</v>
      </c>
      <c r="C1859" t="s">
        <v>52</v>
      </c>
      <c r="D1859" t="str">
        <f>IF(COUNTIFS(Verweise!$A$2:$A$4542,Übersicht!$C$7,Verweise!$B$2:$B$4542,B1859)=1,"Feiertag",IF(C1859="Samstag","",IF(C1859="Sonntag","",Übersicht!$C$8)))</f>
        <v>Feiertag</v>
      </c>
    </row>
    <row r="1860" spans="1:4" x14ac:dyDescent="0.25">
      <c r="A1860" t="s">
        <v>73</v>
      </c>
      <c r="B1860" s="48">
        <v>44106</v>
      </c>
      <c r="C1860" t="s">
        <v>53</v>
      </c>
      <c r="D1860" t="str">
        <f>IF(COUNTIFS(Verweise!$A$2:$A$4542,Übersicht!$C$7,Verweise!$B$2:$B$4542,B1860)=1,"Feiertag",IF(C1860="Samstag","",IF(C1860="Sonntag","",Übersicht!$C$8)))</f>
        <v>Feiertag</v>
      </c>
    </row>
    <row r="1861" spans="1:4" x14ac:dyDescent="0.25">
      <c r="A1861" t="s">
        <v>73</v>
      </c>
      <c r="B1861" s="48">
        <v>44134</v>
      </c>
      <c r="C1861" t="s">
        <v>62</v>
      </c>
      <c r="D1861" t="str">
        <f>IF(COUNTIFS(Verweise!$A$2:$A$4542,Übersicht!$C$7,Verweise!$B$2:$B$4542,B1861)=1,"Feiertag",IF(C1861="Samstag","",IF(C1861="Sonntag","",Übersicht!$C$8)))</f>
        <v>Büro</v>
      </c>
    </row>
    <row r="1862" spans="1:4" x14ac:dyDescent="0.25">
      <c r="A1862" t="s">
        <v>73</v>
      </c>
      <c r="B1862" s="48">
        <v>44154</v>
      </c>
      <c r="C1862" t="s">
        <v>72</v>
      </c>
      <c r="D1862" t="str">
        <f>IF(COUNTIFS(Verweise!$A$2:$A$4542,Übersicht!$C$7,Verweise!$B$2:$B$4542,B1862)=1,"Feiertag",IF(C1862="Samstag","",IF(C1862="Sonntag","",Übersicht!$C$8)))</f>
        <v>Büro</v>
      </c>
    </row>
    <row r="1863" spans="1:4" x14ac:dyDescent="0.25">
      <c r="A1863" t="s">
        <v>73</v>
      </c>
      <c r="B1863" s="48">
        <v>44189</v>
      </c>
      <c r="C1863" t="s">
        <v>55</v>
      </c>
      <c r="D1863" t="str">
        <f>IF(COUNTIFS(Verweise!$A$2:$A$4542,Übersicht!$C$7,Verweise!$B$2:$B$4542,B1863)=1,"Feiertag",IF(C1863="Samstag","",IF(C1863="Sonntag","",Übersicht!$C$8)))</f>
        <v>Feiertag</v>
      </c>
    </row>
    <row r="1864" spans="1:4" x14ac:dyDescent="0.25">
      <c r="A1864" t="s">
        <v>73</v>
      </c>
      <c r="B1864" s="48">
        <v>44190</v>
      </c>
      <c r="C1864" t="s">
        <v>56</v>
      </c>
      <c r="D1864" t="str">
        <f>IF(COUNTIFS(Verweise!$A$2:$A$4542,Übersicht!$C$7,Verweise!$B$2:$B$4542,B1864)=1,"Feiertag",IF(C1864="Samstag","",IF(C1864="Sonntag","",Übersicht!$C$8)))</f>
        <v>Feiertag</v>
      </c>
    </row>
    <row r="1865" spans="1:4" x14ac:dyDescent="0.25">
      <c r="A1865" t="s">
        <v>74</v>
      </c>
      <c r="B1865" s="48">
        <v>43830</v>
      </c>
      <c r="C1865" t="s">
        <v>43</v>
      </c>
      <c r="D1865" t="str">
        <f>IF(COUNTIFS(Verweise!$A$2:$A$4542,Übersicht!$C$7,Verweise!$B$2:$B$4542,B1865)=1,"Feiertag",IF(C1865="Samstag","",IF(C1865="Sonntag","",Übersicht!$C$8)))</f>
        <v>Feiertag</v>
      </c>
    </row>
    <row r="1866" spans="1:4" x14ac:dyDescent="0.25">
      <c r="A1866" t="s">
        <v>74</v>
      </c>
      <c r="B1866" s="48">
        <v>43835</v>
      </c>
      <c r="C1866" t="s">
        <v>44</v>
      </c>
      <c r="D1866" t="str">
        <f>IF(COUNTIFS(Verweise!$A$2:$A$4542,Übersicht!$C$7,Verweise!$B$2:$B$4542,B1866)=1,"Feiertag",IF(C1866="Samstag","",IF(C1866="Sonntag","",Übersicht!$C$8)))</f>
        <v>Büro</v>
      </c>
    </row>
    <row r="1867" spans="1:4" x14ac:dyDescent="0.25">
      <c r="A1867" t="s">
        <v>74</v>
      </c>
      <c r="B1867" s="48">
        <v>43918</v>
      </c>
      <c r="C1867" t="s">
        <v>45</v>
      </c>
      <c r="D1867" t="str">
        <f>IF(COUNTIFS(Verweise!$A$2:$A$4542,Übersicht!$C$7,Verweise!$B$2:$B$4542,B1867)=1,"Feiertag",IF(C1867="Samstag","",IF(C1867="Sonntag","",Übersicht!$C$8)))</f>
        <v>Feiertag</v>
      </c>
    </row>
    <row r="1868" spans="1:4" x14ac:dyDescent="0.25">
      <c r="A1868" t="s">
        <v>74</v>
      </c>
      <c r="B1868" s="48">
        <v>43920</v>
      </c>
      <c r="C1868" t="s">
        <v>46</v>
      </c>
      <c r="D1868" t="str">
        <f>IF(COUNTIFS(Verweise!$A$2:$A$4542,Übersicht!$C$7,Verweise!$B$2:$B$4542,B1868)=1,"Feiertag",IF(C1868="Samstag","",IF(C1868="Sonntag","",Übersicht!$C$8)))</f>
        <v>Feiertag</v>
      </c>
    </row>
    <row r="1869" spans="1:4" x14ac:dyDescent="0.25">
      <c r="A1869" t="s">
        <v>74</v>
      </c>
      <c r="B1869" s="48">
        <v>43921</v>
      </c>
      <c r="C1869" t="s">
        <v>47</v>
      </c>
      <c r="D1869" t="str">
        <f>IF(COUNTIFS(Verweise!$A$2:$A$4542,Übersicht!$C$7,Verweise!$B$2:$B$4542,B1869)=1,"Feiertag",IF(C1869="Samstag","",IF(C1869="Sonntag","",Übersicht!$C$8)))</f>
        <v>Feiertag</v>
      </c>
    </row>
    <row r="1870" spans="1:4" x14ac:dyDescent="0.25">
      <c r="A1870" t="s">
        <v>74</v>
      </c>
      <c r="B1870" s="48">
        <v>43951</v>
      </c>
      <c r="C1870" t="s">
        <v>48</v>
      </c>
      <c r="D1870" t="str">
        <f>IF(COUNTIFS(Verweise!$A$2:$A$4542,Übersicht!$C$7,Verweise!$B$2:$B$4542,B1870)=1,"Feiertag",IF(C1870="Samstag","",IF(C1870="Sonntag","",Übersicht!$C$8)))</f>
        <v>Feiertag</v>
      </c>
    </row>
    <row r="1871" spans="1:4" x14ac:dyDescent="0.25">
      <c r="A1871" t="s">
        <v>74</v>
      </c>
      <c r="B1871" s="48">
        <v>43959</v>
      </c>
      <c r="C1871" t="s">
        <v>49</v>
      </c>
      <c r="D1871" t="str">
        <f>IF(COUNTIFS(Verweise!$A$2:$A$4542,Übersicht!$C$7,Verweise!$B$2:$B$4542,B1871)=1,"Feiertag",IF(C1871="Samstag","",IF(C1871="Sonntag","",Übersicht!$C$8)))</f>
        <v>Feiertag</v>
      </c>
    </row>
    <row r="1872" spans="1:4" x14ac:dyDescent="0.25">
      <c r="A1872" t="s">
        <v>74</v>
      </c>
      <c r="B1872" s="48">
        <v>43969</v>
      </c>
      <c r="C1872" t="s">
        <v>50</v>
      </c>
      <c r="D1872" t="str">
        <f>IF(COUNTIFS(Verweise!$A$2:$A$4542,Übersicht!$C$7,Verweise!$B$2:$B$4542,B1872)=1,"Feiertag",IF(C1872="Samstag","",IF(C1872="Sonntag","",Übersicht!$C$8)))</f>
        <v>Feiertag</v>
      </c>
    </row>
    <row r="1873" spans="1:4" x14ac:dyDescent="0.25">
      <c r="A1873" t="s">
        <v>74</v>
      </c>
      <c r="B1873" s="48">
        <v>43970</v>
      </c>
      <c r="C1873" t="s">
        <v>51</v>
      </c>
      <c r="D1873" t="str">
        <f>IF(COUNTIFS(Verweise!$A$2:$A$4542,Übersicht!$C$7,Verweise!$B$2:$B$4542,B1873)=1,"Feiertag",IF(C1873="Samstag","",IF(C1873="Sonntag","",Übersicht!$C$8)))</f>
        <v>Feiertag</v>
      </c>
    </row>
    <row r="1874" spans="1:4" x14ac:dyDescent="0.25">
      <c r="A1874" t="s">
        <v>74</v>
      </c>
      <c r="B1874" s="48">
        <v>44106</v>
      </c>
      <c r="C1874" t="s">
        <v>53</v>
      </c>
      <c r="D1874" t="str">
        <f>IF(COUNTIFS(Verweise!$A$2:$A$4542,Übersicht!$C$7,Verweise!$B$2:$B$4542,B1874)=1,"Feiertag",IF(C1874="Samstag","",IF(C1874="Sonntag","",Übersicht!$C$8)))</f>
        <v>Feiertag</v>
      </c>
    </row>
    <row r="1875" spans="1:4" x14ac:dyDescent="0.25">
      <c r="A1875" t="s">
        <v>74</v>
      </c>
      <c r="B1875" s="48">
        <v>44134</v>
      </c>
      <c r="C1875" t="s">
        <v>62</v>
      </c>
      <c r="D1875" t="str">
        <f>IF(COUNTIFS(Verweise!$A$2:$A$4542,Übersicht!$C$7,Verweise!$B$2:$B$4542,B1875)=1,"Feiertag",IF(C1875="Samstag","",IF(C1875="Sonntag","",Übersicht!$C$8)))</f>
        <v>Büro</v>
      </c>
    </row>
    <row r="1876" spans="1:4" x14ac:dyDescent="0.25">
      <c r="A1876" t="s">
        <v>74</v>
      </c>
      <c r="B1876" s="48">
        <v>44189</v>
      </c>
      <c r="C1876" t="s">
        <v>55</v>
      </c>
      <c r="D1876" t="str">
        <f>IF(COUNTIFS(Verweise!$A$2:$A$4542,Übersicht!$C$7,Verweise!$B$2:$B$4542,B1876)=1,"Feiertag",IF(C1876="Samstag","",IF(C1876="Sonntag","",Übersicht!$C$8)))</f>
        <v>Feiertag</v>
      </c>
    </row>
    <row r="1877" spans="1:4" x14ac:dyDescent="0.25">
      <c r="A1877" t="s">
        <v>74</v>
      </c>
      <c r="B1877" s="48">
        <v>44190</v>
      </c>
      <c r="C1877" t="s">
        <v>56</v>
      </c>
      <c r="D1877" t="str">
        <f>IF(COUNTIFS(Verweise!$A$2:$A$4542,Übersicht!$C$7,Verweise!$B$2:$B$4542,B1877)=1,"Feiertag",IF(C1877="Samstag","",IF(C1877="Sonntag","",Übersicht!$C$8)))</f>
        <v>Feiertag</v>
      </c>
    </row>
    <row r="1878" spans="1:4" x14ac:dyDescent="0.25">
      <c r="A1878" t="s">
        <v>75</v>
      </c>
      <c r="B1878" s="48">
        <v>43830</v>
      </c>
      <c r="C1878" t="s">
        <v>43</v>
      </c>
      <c r="D1878" t="str">
        <f>IF(COUNTIFS(Verweise!$A$2:$A$4542,Übersicht!$C$7,Verweise!$B$2:$B$4542,B1878)=1,"Feiertag",IF(C1878="Samstag","",IF(C1878="Sonntag","",Übersicht!$C$8)))</f>
        <v>Feiertag</v>
      </c>
    </row>
    <row r="1879" spans="1:4" x14ac:dyDescent="0.25">
      <c r="A1879" t="s">
        <v>75</v>
      </c>
      <c r="B1879" s="48">
        <v>43918</v>
      </c>
      <c r="C1879" t="s">
        <v>45</v>
      </c>
      <c r="D1879" t="str">
        <f>IF(COUNTIFS(Verweise!$A$2:$A$4542,Übersicht!$C$7,Verweise!$B$2:$B$4542,B1879)=1,"Feiertag",IF(C1879="Samstag","",IF(C1879="Sonntag","",Übersicht!$C$8)))</f>
        <v>Feiertag</v>
      </c>
    </row>
    <row r="1880" spans="1:4" x14ac:dyDescent="0.25">
      <c r="A1880" t="s">
        <v>75</v>
      </c>
      <c r="B1880" s="48">
        <v>43920</v>
      </c>
      <c r="C1880" t="s">
        <v>46</v>
      </c>
      <c r="D1880" t="str">
        <f>IF(COUNTIFS(Verweise!$A$2:$A$4542,Übersicht!$C$7,Verweise!$B$2:$B$4542,B1880)=1,"Feiertag",IF(C1880="Samstag","",IF(C1880="Sonntag","",Übersicht!$C$8)))</f>
        <v>Feiertag</v>
      </c>
    </row>
    <row r="1881" spans="1:4" x14ac:dyDescent="0.25">
      <c r="A1881" t="s">
        <v>75</v>
      </c>
      <c r="B1881" s="48">
        <v>43921</v>
      </c>
      <c r="C1881" t="s">
        <v>47</v>
      </c>
      <c r="D1881" t="str">
        <f>IF(COUNTIFS(Verweise!$A$2:$A$4542,Übersicht!$C$7,Verweise!$B$2:$B$4542,B1881)=1,"Feiertag",IF(C1881="Samstag","",IF(C1881="Sonntag","",Übersicht!$C$8)))</f>
        <v>Feiertag</v>
      </c>
    </row>
    <row r="1882" spans="1:4" x14ac:dyDescent="0.25">
      <c r="A1882" t="s">
        <v>75</v>
      </c>
      <c r="B1882" s="48">
        <v>43951</v>
      </c>
      <c r="C1882" t="s">
        <v>48</v>
      </c>
      <c r="D1882" t="str">
        <f>IF(COUNTIFS(Verweise!$A$2:$A$4542,Übersicht!$C$7,Verweise!$B$2:$B$4542,B1882)=1,"Feiertag",IF(C1882="Samstag","",IF(C1882="Sonntag","",Übersicht!$C$8)))</f>
        <v>Feiertag</v>
      </c>
    </row>
    <row r="1883" spans="1:4" x14ac:dyDescent="0.25">
      <c r="A1883" t="s">
        <v>75</v>
      </c>
      <c r="B1883" s="48">
        <v>43959</v>
      </c>
      <c r="C1883" t="s">
        <v>49</v>
      </c>
      <c r="D1883" t="str">
        <f>IF(COUNTIFS(Verweise!$A$2:$A$4542,Übersicht!$C$7,Verweise!$B$2:$B$4542,B1883)=1,"Feiertag",IF(C1883="Samstag","",IF(C1883="Sonntag","",Übersicht!$C$8)))</f>
        <v>Feiertag</v>
      </c>
    </row>
    <row r="1884" spans="1:4" x14ac:dyDescent="0.25">
      <c r="A1884" t="s">
        <v>75</v>
      </c>
      <c r="B1884" s="48">
        <v>43969</v>
      </c>
      <c r="C1884" t="s">
        <v>50</v>
      </c>
      <c r="D1884" t="str">
        <f>IF(COUNTIFS(Verweise!$A$2:$A$4542,Übersicht!$C$7,Verweise!$B$2:$B$4542,B1884)=1,"Feiertag",IF(C1884="Samstag","",IF(C1884="Sonntag","",Übersicht!$C$8)))</f>
        <v>Feiertag</v>
      </c>
    </row>
    <row r="1885" spans="1:4" x14ac:dyDescent="0.25">
      <c r="A1885" t="s">
        <v>75</v>
      </c>
      <c r="B1885" s="48">
        <v>43970</v>
      </c>
      <c r="C1885" t="s">
        <v>51</v>
      </c>
      <c r="D1885" t="str">
        <f>IF(COUNTIFS(Verweise!$A$2:$A$4542,Übersicht!$C$7,Verweise!$B$2:$B$4542,B1885)=1,"Feiertag",IF(C1885="Samstag","",IF(C1885="Sonntag","",Übersicht!$C$8)))</f>
        <v>Feiertag</v>
      </c>
    </row>
    <row r="1886" spans="1:4" x14ac:dyDescent="0.25">
      <c r="A1886" t="s">
        <v>75</v>
      </c>
      <c r="B1886" s="48">
        <v>44106</v>
      </c>
      <c r="C1886" t="s">
        <v>53</v>
      </c>
      <c r="D1886" t="str">
        <f>IF(COUNTIFS(Verweise!$A$2:$A$4542,Übersicht!$C$7,Verweise!$B$2:$B$4542,B1886)=1,"Feiertag",IF(C1886="Samstag","",IF(C1886="Sonntag","",Übersicht!$C$8)))</f>
        <v>Feiertag</v>
      </c>
    </row>
    <row r="1887" spans="1:4" x14ac:dyDescent="0.25">
      <c r="A1887" t="s">
        <v>75</v>
      </c>
      <c r="B1887" s="48">
        <v>44189</v>
      </c>
      <c r="C1887" t="s">
        <v>55</v>
      </c>
      <c r="D1887" t="str">
        <f>IF(COUNTIFS(Verweise!$A$2:$A$4542,Übersicht!$C$7,Verweise!$B$2:$B$4542,B1887)=1,"Feiertag",IF(C1887="Samstag","",IF(C1887="Sonntag","",Übersicht!$C$8)))</f>
        <v>Feiertag</v>
      </c>
    </row>
    <row r="1888" spans="1:4" x14ac:dyDescent="0.25">
      <c r="A1888" t="s">
        <v>75</v>
      </c>
      <c r="B1888" s="48">
        <v>44190</v>
      </c>
      <c r="C1888" t="s">
        <v>56</v>
      </c>
      <c r="D1888" t="str">
        <f>IF(COUNTIFS(Verweise!$A$2:$A$4542,Übersicht!$C$7,Verweise!$B$2:$B$4542,B1888)=1,"Feiertag",IF(C1888="Samstag","",IF(C1888="Sonntag","",Übersicht!$C$8)))</f>
        <v>Feiertag</v>
      </c>
    </row>
    <row r="1889" spans="1:4" x14ac:dyDescent="0.25">
      <c r="A1889" t="s">
        <v>76</v>
      </c>
      <c r="B1889" s="48">
        <v>43830</v>
      </c>
      <c r="C1889" t="s">
        <v>43</v>
      </c>
      <c r="D1889" t="str">
        <f>IF(COUNTIFS(Verweise!$A$2:$A$4542,Übersicht!$C$7,Verweise!$B$2:$B$4542,B1889)=1,"Feiertag",IF(C1889="Samstag","",IF(C1889="Sonntag","",Übersicht!$C$8)))</f>
        <v>Feiertag</v>
      </c>
    </row>
    <row r="1890" spans="1:4" x14ac:dyDescent="0.25">
      <c r="A1890" t="s">
        <v>76</v>
      </c>
      <c r="B1890" s="48">
        <v>43918</v>
      </c>
      <c r="C1890" t="s">
        <v>45</v>
      </c>
      <c r="D1890" t="str">
        <f>IF(COUNTIFS(Verweise!$A$2:$A$4542,Übersicht!$C$7,Verweise!$B$2:$B$4542,B1890)=1,"Feiertag",IF(C1890="Samstag","",IF(C1890="Sonntag","",Übersicht!$C$8)))</f>
        <v>Feiertag</v>
      </c>
    </row>
    <row r="1891" spans="1:4" x14ac:dyDescent="0.25">
      <c r="A1891" t="s">
        <v>76</v>
      </c>
      <c r="B1891" s="48">
        <v>43920</v>
      </c>
      <c r="C1891" t="s">
        <v>46</v>
      </c>
      <c r="D1891" t="str">
        <f>IF(COUNTIFS(Verweise!$A$2:$A$4542,Übersicht!$C$7,Verweise!$B$2:$B$4542,B1891)=1,"Feiertag",IF(C1891="Samstag","",IF(C1891="Sonntag","",Übersicht!$C$8)))</f>
        <v>Feiertag</v>
      </c>
    </row>
    <row r="1892" spans="1:4" x14ac:dyDescent="0.25">
      <c r="A1892" t="s">
        <v>76</v>
      </c>
      <c r="B1892" s="48">
        <v>43921</v>
      </c>
      <c r="C1892" t="s">
        <v>47</v>
      </c>
      <c r="D1892" t="str">
        <f>IF(COUNTIFS(Verweise!$A$2:$A$4542,Übersicht!$C$7,Verweise!$B$2:$B$4542,B1892)=1,"Feiertag",IF(C1892="Samstag","",IF(C1892="Sonntag","",Übersicht!$C$8)))</f>
        <v>Feiertag</v>
      </c>
    </row>
    <row r="1893" spans="1:4" x14ac:dyDescent="0.25">
      <c r="A1893" t="s">
        <v>76</v>
      </c>
      <c r="B1893" s="48">
        <v>43951</v>
      </c>
      <c r="C1893" t="s">
        <v>48</v>
      </c>
      <c r="D1893" t="str">
        <f>IF(COUNTIFS(Verweise!$A$2:$A$4542,Übersicht!$C$7,Verweise!$B$2:$B$4542,B1893)=1,"Feiertag",IF(C1893="Samstag","",IF(C1893="Sonntag","",Übersicht!$C$8)))</f>
        <v>Feiertag</v>
      </c>
    </row>
    <row r="1894" spans="1:4" x14ac:dyDescent="0.25">
      <c r="A1894" t="s">
        <v>76</v>
      </c>
      <c r="B1894" s="48">
        <v>43959</v>
      </c>
      <c r="C1894" t="s">
        <v>49</v>
      </c>
      <c r="D1894" t="str">
        <f>IF(COUNTIFS(Verweise!$A$2:$A$4542,Übersicht!$C$7,Verweise!$B$2:$B$4542,B1894)=1,"Feiertag",IF(C1894="Samstag","",IF(C1894="Sonntag","",Übersicht!$C$8)))</f>
        <v>Feiertag</v>
      </c>
    </row>
    <row r="1895" spans="1:4" x14ac:dyDescent="0.25">
      <c r="A1895" t="s">
        <v>76</v>
      </c>
      <c r="B1895" s="48">
        <v>43969</v>
      </c>
      <c r="C1895" t="s">
        <v>50</v>
      </c>
      <c r="D1895" t="str">
        <f>IF(COUNTIFS(Verweise!$A$2:$A$4542,Übersicht!$C$7,Verweise!$B$2:$B$4542,B1895)=1,"Feiertag",IF(C1895="Samstag","",IF(C1895="Sonntag","",Übersicht!$C$8)))</f>
        <v>Feiertag</v>
      </c>
    </row>
    <row r="1896" spans="1:4" x14ac:dyDescent="0.25">
      <c r="A1896" t="s">
        <v>76</v>
      </c>
      <c r="B1896" s="48">
        <v>43970</v>
      </c>
      <c r="C1896" t="s">
        <v>51</v>
      </c>
      <c r="D1896" t="str">
        <f>IF(COUNTIFS(Verweise!$A$2:$A$4542,Übersicht!$C$7,Verweise!$B$2:$B$4542,B1896)=1,"Feiertag",IF(C1896="Samstag","",IF(C1896="Sonntag","",Übersicht!$C$8)))</f>
        <v>Feiertag</v>
      </c>
    </row>
    <row r="1897" spans="1:4" x14ac:dyDescent="0.25">
      <c r="A1897" t="s">
        <v>76</v>
      </c>
      <c r="B1897" s="48">
        <v>44106</v>
      </c>
      <c r="C1897" t="s">
        <v>53</v>
      </c>
      <c r="D1897" t="str">
        <f>IF(COUNTIFS(Verweise!$A$2:$A$4542,Übersicht!$C$7,Verweise!$B$2:$B$4542,B1897)=1,"Feiertag",IF(C1897="Samstag","",IF(C1897="Sonntag","",Übersicht!$C$8)))</f>
        <v>Feiertag</v>
      </c>
    </row>
    <row r="1898" spans="1:4" x14ac:dyDescent="0.25">
      <c r="A1898" t="s">
        <v>76</v>
      </c>
      <c r="B1898" s="48">
        <v>44134</v>
      </c>
      <c r="C1898" t="s">
        <v>62</v>
      </c>
      <c r="D1898" t="str">
        <f>IF(COUNTIFS(Verweise!$A$2:$A$4542,Übersicht!$C$7,Verweise!$B$2:$B$4542,B1898)=1,"Feiertag",IF(C1898="Samstag","",IF(C1898="Sonntag","",Übersicht!$C$8)))</f>
        <v>Büro</v>
      </c>
    </row>
    <row r="1899" spans="1:4" x14ac:dyDescent="0.25">
      <c r="A1899" t="s">
        <v>76</v>
      </c>
      <c r="B1899" s="48">
        <v>44189</v>
      </c>
      <c r="C1899" t="s">
        <v>55</v>
      </c>
      <c r="D1899" t="str">
        <f>IF(COUNTIFS(Verweise!$A$2:$A$4542,Übersicht!$C$7,Verweise!$B$2:$B$4542,B1899)=1,"Feiertag",IF(C1899="Samstag","",IF(C1899="Sonntag","",Übersicht!$C$8)))</f>
        <v>Feiertag</v>
      </c>
    </row>
    <row r="1900" spans="1:4" x14ac:dyDescent="0.25">
      <c r="A1900" t="s">
        <v>76</v>
      </c>
      <c r="B1900" s="48">
        <v>44190</v>
      </c>
      <c r="C1900" t="s">
        <v>56</v>
      </c>
      <c r="D1900" t="str">
        <f>IF(COUNTIFS(Verweise!$A$2:$A$4542,Übersicht!$C$7,Verweise!$B$2:$B$4542,B1900)=1,"Feiertag",IF(C1900="Samstag","",IF(C1900="Sonntag","",Übersicht!$C$8)))</f>
        <v>Feiertag</v>
      </c>
    </row>
    <row r="1901" spans="1:4" x14ac:dyDescent="0.25">
      <c r="A1901" t="s">
        <v>77</v>
      </c>
      <c r="B1901" s="48">
        <v>43830</v>
      </c>
      <c r="C1901" t="s">
        <v>43</v>
      </c>
      <c r="D1901" t="str">
        <f>IF(COUNTIFS(Verweise!$A$2:$A$4542,Übersicht!$C$7,Verweise!$B$2:$B$4542,B1901)=1,"Feiertag",IF(C1901="Samstag","",IF(C1901="Sonntag","",Übersicht!$C$8)))</f>
        <v>Feiertag</v>
      </c>
    </row>
    <row r="1902" spans="1:4" x14ac:dyDescent="0.25">
      <c r="A1902" t="s">
        <v>77</v>
      </c>
      <c r="B1902" s="48">
        <v>43918</v>
      </c>
      <c r="C1902" t="s">
        <v>45</v>
      </c>
      <c r="D1902" t="str">
        <f>IF(COUNTIFS(Verweise!$A$2:$A$4542,Übersicht!$C$7,Verweise!$B$2:$B$4542,B1902)=1,"Feiertag",IF(C1902="Samstag","",IF(C1902="Sonntag","",Übersicht!$C$8)))</f>
        <v>Feiertag</v>
      </c>
    </row>
    <row r="1903" spans="1:4" x14ac:dyDescent="0.25">
      <c r="A1903" t="s">
        <v>77</v>
      </c>
      <c r="B1903" s="48">
        <v>43920</v>
      </c>
      <c r="C1903" t="s">
        <v>46</v>
      </c>
      <c r="D1903" t="str">
        <f>IF(COUNTIFS(Verweise!$A$2:$A$4542,Übersicht!$C$7,Verweise!$B$2:$B$4542,B1903)=1,"Feiertag",IF(C1903="Samstag","",IF(C1903="Sonntag","",Übersicht!$C$8)))</f>
        <v>Feiertag</v>
      </c>
    </row>
    <row r="1904" spans="1:4" x14ac:dyDescent="0.25">
      <c r="A1904" t="s">
        <v>77</v>
      </c>
      <c r="B1904" s="48">
        <v>43921</v>
      </c>
      <c r="C1904" t="s">
        <v>47</v>
      </c>
      <c r="D1904" t="str">
        <f>IF(COUNTIFS(Verweise!$A$2:$A$4542,Übersicht!$C$7,Verweise!$B$2:$B$4542,B1904)=1,"Feiertag",IF(C1904="Samstag","",IF(C1904="Sonntag","",Übersicht!$C$8)))</f>
        <v>Feiertag</v>
      </c>
    </row>
    <row r="1905" spans="1:4" x14ac:dyDescent="0.25">
      <c r="A1905" t="s">
        <v>77</v>
      </c>
      <c r="B1905" s="48">
        <v>43951</v>
      </c>
      <c r="C1905" t="s">
        <v>48</v>
      </c>
      <c r="D1905" t="str">
        <f>IF(COUNTIFS(Verweise!$A$2:$A$4542,Übersicht!$C$7,Verweise!$B$2:$B$4542,B1905)=1,"Feiertag",IF(C1905="Samstag","",IF(C1905="Sonntag","",Übersicht!$C$8)))</f>
        <v>Feiertag</v>
      </c>
    </row>
    <row r="1906" spans="1:4" x14ac:dyDescent="0.25">
      <c r="A1906" t="s">
        <v>77</v>
      </c>
      <c r="B1906" s="48">
        <v>43959</v>
      </c>
      <c r="C1906" t="s">
        <v>49</v>
      </c>
      <c r="D1906" t="str">
        <f>IF(COUNTIFS(Verweise!$A$2:$A$4542,Übersicht!$C$7,Verweise!$B$2:$B$4542,B1906)=1,"Feiertag",IF(C1906="Samstag","",IF(C1906="Sonntag","",Übersicht!$C$8)))</f>
        <v>Feiertag</v>
      </c>
    </row>
    <row r="1907" spans="1:4" x14ac:dyDescent="0.25">
      <c r="A1907" t="s">
        <v>77</v>
      </c>
      <c r="B1907" s="48">
        <v>43969</v>
      </c>
      <c r="C1907" t="s">
        <v>50</v>
      </c>
      <c r="D1907" t="str">
        <f>IF(COUNTIFS(Verweise!$A$2:$A$4542,Übersicht!$C$7,Verweise!$B$2:$B$4542,B1907)=1,"Feiertag",IF(C1907="Samstag","",IF(C1907="Sonntag","",Übersicht!$C$8)))</f>
        <v>Feiertag</v>
      </c>
    </row>
    <row r="1908" spans="1:4" x14ac:dyDescent="0.25">
      <c r="A1908" t="s">
        <v>77</v>
      </c>
      <c r="B1908" s="48">
        <v>43970</v>
      </c>
      <c r="C1908" t="s">
        <v>51</v>
      </c>
      <c r="D1908" t="str">
        <f>IF(COUNTIFS(Verweise!$A$2:$A$4542,Übersicht!$C$7,Verweise!$B$2:$B$4542,B1908)=1,"Feiertag",IF(C1908="Samstag","",IF(C1908="Sonntag","",Übersicht!$C$8)))</f>
        <v>Feiertag</v>
      </c>
    </row>
    <row r="1909" spans="1:4" x14ac:dyDescent="0.25">
      <c r="A1909" t="s">
        <v>77</v>
      </c>
      <c r="B1909" s="48">
        <v>43980</v>
      </c>
      <c r="C1909" t="s">
        <v>52</v>
      </c>
      <c r="D1909" t="str">
        <f>IF(COUNTIFS(Verweise!$A$2:$A$4542,Übersicht!$C$7,Verweise!$B$2:$B$4542,B1909)=1,"Feiertag",IF(C1909="Samstag","",IF(C1909="Sonntag","",Übersicht!$C$8)))</f>
        <v>Feiertag</v>
      </c>
    </row>
    <row r="1910" spans="1:4" x14ac:dyDescent="0.25">
      <c r="A1910" t="s">
        <v>77</v>
      </c>
      <c r="B1910" s="48">
        <v>44106</v>
      </c>
      <c r="C1910" t="s">
        <v>53</v>
      </c>
      <c r="D1910" t="str">
        <f>IF(COUNTIFS(Verweise!$A$2:$A$4542,Übersicht!$C$7,Verweise!$B$2:$B$4542,B1910)=1,"Feiertag",IF(C1910="Samstag","",IF(C1910="Sonntag","",Übersicht!$C$8)))</f>
        <v>Feiertag</v>
      </c>
    </row>
    <row r="1911" spans="1:4" x14ac:dyDescent="0.25">
      <c r="A1911" t="s">
        <v>77</v>
      </c>
      <c r="B1911" s="48">
        <v>44134</v>
      </c>
      <c r="C1911" t="s">
        <v>62</v>
      </c>
      <c r="D1911" t="str">
        <f>IF(COUNTIFS(Verweise!$A$2:$A$4542,Übersicht!$C$7,Verweise!$B$2:$B$4542,B1911)=1,"Feiertag",IF(C1911="Samstag","",IF(C1911="Sonntag","",Übersicht!$C$8)))</f>
        <v>Büro</v>
      </c>
    </row>
    <row r="1912" spans="1:4" x14ac:dyDescent="0.25">
      <c r="A1912" t="s">
        <v>77</v>
      </c>
      <c r="B1912" s="48">
        <v>44189</v>
      </c>
      <c r="C1912" t="s">
        <v>55</v>
      </c>
      <c r="D1912" t="str">
        <f>IF(COUNTIFS(Verweise!$A$2:$A$4542,Übersicht!$C$7,Verweise!$B$2:$B$4542,B1912)=1,"Feiertag",IF(C1912="Samstag","",IF(C1912="Sonntag","",Übersicht!$C$8)))</f>
        <v>Feiertag</v>
      </c>
    </row>
    <row r="1913" spans="1:4" x14ac:dyDescent="0.25">
      <c r="A1913" t="s">
        <v>77</v>
      </c>
      <c r="B1913" s="48">
        <v>44190</v>
      </c>
      <c r="C1913" t="s">
        <v>56</v>
      </c>
      <c r="D1913" t="str">
        <f>IF(COUNTIFS(Verweise!$A$2:$A$4542,Übersicht!$C$7,Verweise!$B$2:$B$4542,B1913)=1,"Feiertag",IF(C1913="Samstag","",IF(C1913="Sonntag","",Übersicht!$C$8)))</f>
        <v>Feiertag</v>
      </c>
    </row>
    <row r="1914" spans="1:4" x14ac:dyDescent="0.25">
      <c r="A1914" t="s">
        <v>42</v>
      </c>
      <c r="B1914" s="48">
        <v>44196</v>
      </c>
      <c r="C1914" t="s">
        <v>43</v>
      </c>
      <c r="D1914" t="str">
        <f>IF(COUNTIFS(Verweise!$A$2:$A$4542,Übersicht!$C$7,Verweise!$B$2:$B$4542,B1914)=1,"Feiertag",IF(C1914="Samstag","",IF(C1914="Sonntag","",Übersicht!$C$8)))</f>
        <v>Feiertag</v>
      </c>
    </row>
    <row r="1915" spans="1:4" x14ac:dyDescent="0.25">
      <c r="A1915" t="s">
        <v>42</v>
      </c>
      <c r="B1915" s="48">
        <v>44201</v>
      </c>
      <c r="C1915" t="s">
        <v>44</v>
      </c>
      <c r="D1915" t="str">
        <f>IF(COUNTIFS(Verweise!$A$2:$A$4542,Übersicht!$C$7,Verweise!$B$2:$B$4542,B1915)=1,"Feiertag",IF(C1915="Samstag","",IF(C1915="Sonntag","",Übersicht!$C$8)))</f>
        <v>Büro</v>
      </c>
    </row>
    <row r="1916" spans="1:4" x14ac:dyDescent="0.25">
      <c r="A1916" t="s">
        <v>42</v>
      </c>
      <c r="B1916" s="48">
        <v>44303</v>
      </c>
      <c r="C1916" t="s">
        <v>45</v>
      </c>
      <c r="D1916" t="str">
        <f>IF(COUNTIFS(Verweise!$A$2:$A$4542,Übersicht!$C$7,Verweise!$B$2:$B$4542,B1916)=1,"Feiertag",IF(C1916="Samstag","",IF(C1916="Sonntag","",Übersicht!$C$8)))</f>
        <v>Feiertag</v>
      </c>
    </row>
    <row r="1917" spans="1:4" x14ac:dyDescent="0.25">
      <c r="A1917" t="s">
        <v>42</v>
      </c>
      <c r="B1917" s="48">
        <v>44305</v>
      </c>
      <c r="C1917" t="s">
        <v>46</v>
      </c>
      <c r="D1917" t="str">
        <f>IF(COUNTIFS(Verweise!$A$2:$A$4542,Übersicht!$C$7,Verweise!$B$2:$B$4542,B1917)=1,"Feiertag",IF(C1917="Samstag","",IF(C1917="Sonntag","",Übersicht!$C$8)))</f>
        <v>Feiertag</v>
      </c>
    </row>
    <row r="1918" spans="1:4" x14ac:dyDescent="0.25">
      <c r="A1918" t="s">
        <v>42</v>
      </c>
      <c r="B1918" s="48">
        <v>44306</v>
      </c>
      <c r="C1918" t="s">
        <v>47</v>
      </c>
      <c r="D1918" t="str">
        <f>IF(COUNTIFS(Verweise!$A$2:$A$4542,Übersicht!$C$7,Verweise!$B$2:$B$4542,B1918)=1,"Feiertag",IF(C1918="Samstag","",IF(C1918="Sonntag","",Übersicht!$C$8)))</f>
        <v>Feiertag</v>
      </c>
    </row>
    <row r="1919" spans="1:4" x14ac:dyDescent="0.25">
      <c r="A1919" t="s">
        <v>42</v>
      </c>
      <c r="B1919" s="48">
        <v>44316</v>
      </c>
      <c r="C1919" t="s">
        <v>48</v>
      </c>
      <c r="D1919" t="str">
        <f>IF(COUNTIFS(Verweise!$A$2:$A$4542,Übersicht!$C$7,Verweise!$B$2:$B$4542,B1919)=1,"Feiertag",IF(C1919="Samstag","",IF(C1919="Sonntag","",Übersicht!$C$8)))</f>
        <v>Feiertag</v>
      </c>
    </row>
    <row r="1920" spans="1:4" x14ac:dyDescent="0.25">
      <c r="A1920" t="s">
        <v>42</v>
      </c>
      <c r="B1920" s="48">
        <v>44344</v>
      </c>
      <c r="C1920" t="s">
        <v>49</v>
      </c>
      <c r="D1920" t="str">
        <f>IF(COUNTIFS(Verweise!$A$2:$A$4542,Übersicht!$C$7,Verweise!$B$2:$B$4542,B1920)=1,"Feiertag",IF(C1920="Samstag","",IF(C1920="Sonntag","",Übersicht!$C$8)))</f>
        <v>Feiertag</v>
      </c>
    </row>
    <row r="1921" spans="1:4" x14ac:dyDescent="0.25">
      <c r="A1921" t="s">
        <v>42</v>
      </c>
      <c r="B1921" s="48">
        <v>44354</v>
      </c>
      <c r="C1921" t="s">
        <v>50</v>
      </c>
      <c r="D1921" t="str">
        <f>IF(COUNTIFS(Verweise!$A$2:$A$4542,Übersicht!$C$7,Verweise!$B$2:$B$4542,B1921)=1,"Feiertag",IF(C1921="Samstag","",IF(C1921="Sonntag","",Übersicht!$C$8)))</f>
        <v>Feiertag</v>
      </c>
    </row>
    <row r="1922" spans="1:4" x14ac:dyDescent="0.25">
      <c r="A1922" t="s">
        <v>42</v>
      </c>
      <c r="B1922" s="48">
        <v>44355</v>
      </c>
      <c r="C1922" t="s">
        <v>51</v>
      </c>
      <c r="D1922" t="str">
        <f>IF(COUNTIFS(Verweise!$A$2:$A$4542,Übersicht!$C$7,Verweise!$B$2:$B$4542,B1922)=1,"Feiertag",IF(C1922="Samstag","",IF(C1922="Sonntag","",Übersicht!$C$8)))</f>
        <v>Feiertag</v>
      </c>
    </row>
    <row r="1923" spans="1:4" x14ac:dyDescent="0.25">
      <c r="A1923" t="s">
        <v>42</v>
      </c>
      <c r="B1923" s="48">
        <v>44365</v>
      </c>
      <c r="C1923" t="s">
        <v>52</v>
      </c>
      <c r="D1923" t="str">
        <f>IF(COUNTIFS(Verweise!$A$2:$A$4542,Übersicht!$C$7,Verweise!$B$2:$B$4542,B1923)=1,"Feiertag",IF(C1923="Samstag","",IF(C1923="Sonntag","",Übersicht!$C$8)))</f>
        <v>Feiertag</v>
      </c>
    </row>
    <row r="1924" spans="1:4" x14ac:dyDescent="0.25">
      <c r="A1924" t="s">
        <v>42</v>
      </c>
      <c r="B1924" s="48">
        <v>44471</v>
      </c>
      <c r="C1924" t="s">
        <v>53</v>
      </c>
      <c r="D1924" t="str">
        <f>IF(COUNTIFS(Verweise!$A$2:$A$4542,Übersicht!$C$7,Verweise!$B$2:$B$4542,B1924)=1,"Feiertag",IF(C1924="Samstag","",IF(C1924="Sonntag","",Übersicht!$C$8)))</f>
        <v>Feiertag</v>
      </c>
    </row>
    <row r="1925" spans="1:4" x14ac:dyDescent="0.25">
      <c r="A1925" t="s">
        <v>42</v>
      </c>
      <c r="B1925" s="48">
        <v>44500</v>
      </c>
      <c r="C1925" t="s">
        <v>54</v>
      </c>
      <c r="D1925" t="str">
        <f>IF(COUNTIFS(Verweise!$A$2:$A$4542,Übersicht!$C$7,Verweise!$B$2:$B$4542,B1925)=1,"Feiertag",IF(C1925="Samstag","",IF(C1925="Sonntag","",Übersicht!$C$8)))</f>
        <v>Feiertag</v>
      </c>
    </row>
    <row r="1926" spans="1:4" x14ac:dyDescent="0.25">
      <c r="A1926" t="s">
        <v>42</v>
      </c>
      <c r="B1926" s="48">
        <v>44554</v>
      </c>
      <c r="C1926" t="s">
        <v>55</v>
      </c>
      <c r="D1926" t="str">
        <f>IF(COUNTIFS(Verweise!$A$2:$A$4542,Übersicht!$C$7,Verweise!$B$2:$B$4542,B1926)=1,"Feiertag",IF(C1926="Samstag","",IF(C1926="Sonntag","",Übersicht!$C$8)))</f>
        <v>Feiertag</v>
      </c>
    </row>
    <row r="1927" spans="1:4" x14ac:dyDescent="0.25">
      <c r="A1927" t="s">
        <v>42</v>
      </c>
      <c r="B1927" s="48">
        <v>44555</v>
      </c>
      <c r="C1927" t="s">
        <v>56</v>
      </c>
      <c r="D1927" t="str">
        <f>IF(COUNTIFS(Verweise!$A$2:$A$4542,Übersicht!$C$7,Verweise!$B$2:$B$4542,B1927)=1,"Feiertag",IF(C1927="Samstag","",IF(C1927="Sonntag","",Übersicht!$C$8)))</f>
        <v>Feiertag</v>
      </c>
    </row>
    <row r="1928" spans="1:4" x14ac:dyDescent="0.25">
      <c r="A1928" t="s">
        <v>57</v>
      </c>
      <c r="B1928" s="48">
        <v>44196</v>
      </c>
      <c r="C1928" t="s">
        <v>43</v>
      </c>
      <c r="D1928" t="str">
        <f>IF(COUNTIFS(Verweise!$A$2:$A$4542,Übersicht!$C$7,Verweise!$B$2:$B$4542,B1928)=1,"Feiertag",IF(C1928="Samstag","",IF(C1928="Sonntag","",Übersicht!$C$8)))</f>
        <v>Feiertag</v>
      </c>
    </row>
    <row r="1929" spans="1:4" x14ac:dyDescent="0.25">
      <c r="A1929" t="s">
        <v>57</v>
      </c>
      <c r="B1929" s="48">
        <v>44201</v>
      </c>
      <c r="C1929" t="s">
        <v>44</v>
      </c>
      <c r="D1929" t="str">
        <f>IF(COUNTIFS(Verweise!$A$2:$A$4542,Übersicht!$C$7,Verweise!$B$2:$B$4542,B1929)=1,"Feiertag",IF(C1929="Samstag","",IF(C1929="Sonntag","",Übersicht!$C$8)))</f>
        <v>Büro</v>
      </c>
    </row>
    <row r="1930" spans="1:4" x14ac:dyDescent="0.25">
      <c r="A1930" t="s">
        <v>57</v>
      </c>
      <c r="B1930" s="48">
        <v>44303</v>
      </c>
      <c r="C1930" t="s">
        <v>45</v>
      </c>
      <c r="D1930" t="str">
        <f>IF(COUNTIFS(Verweise!$A$2:$A$4542,Übersicht!$C$7,Verweise!$B$2:$B$4542,B1930)=1,"Feiertag",IF(C1930="Samstag","",IF(C1930="Sonntag","",Übersicht!$C$8)))</f>
        <v>Feiertag</v>
      </c>
    </row>
    <row r="1931" spans="1:4" x14ac:dyDescent="0.25">
      <c r="A1931" t="s">
        <v>57</v>
      </c>
      <c r="B1931" s="48">
        <v>44305</v>
      </c>
      <c r="C1931" t="s">
        <v>46</v>
      </c>
      <c r="D1931" t="str">
        <f>IF(COUNTIFS(Verweise!$A$2:$A$4542,Übersicht!$C$7,Verweise!$B$2:$B$4542,B1931)=1,"Feiertag",IF(C1931="Samstag","",IF(C1931="Sonntag","",Übersicht!$C$8)))</f>
        <v>Feiertag</v>
      </c>
    </row>
    <row r="1932" spans="1:4" x14ac:dyDescent="0.25">
      <c r="A1932" t="s">
        <v>57</v>
      </c>
      <c r="B1932" s="48">
        <v>44306</v>
      </c>
      <c r="C1932" t="s">
        <v>47</v>
      </c>
      <c r="D1932" t="str">
        <f>IF(COUNTIFS(Verweise!$A$2:$A$4542,Übersicht!$C$7,Verweise!$B$2:$B$4542,B1932)=1,"Feiertag",IF(C1932="Samstag","",IF(C1932="Sonntag","",Übersicht!$C$8)))</f>
        <v>Feiertag</v>
      </c>
    </row>
    <row r="1933" spans="1:4" x14ac:dyDescent="0.25">
      <c r="A1933" t="s">
        <v>57</v>
      </c>
      <c r="B1933" s="48">
        <v>44316</v>
      </c>
      <c r="C1933" t="s">
        <v>48</v>
      </c>
      <c r="D1933" t="str">
        <f>IF(COUNTIFS(Verweise!$A$2:$A$4542,Übersicht!$C$7,Verweise!$B$2:$B$4542,B1933)=1,"Feiertag",IF(C1933="Samstag","",IF(C1933="Sonntag","",Übersicht!$C$8)))</f>
        <v>Feiertag</v>
      </c>
    </row>
    <row r="1934" spans="1:4" x14ac:dyDescent="0.25">
      <c r="A1934" t="s">
        <v>57</v>
      </c>
      <c r="B1934" s="48">
        <v>44344</v>
      </c>
      <c r="C1934" t="s">
        <v>49</v>
      </c>
      <c r="D1934" t="str">
        <f>IF(COUNTIFS(Verweise!$A$2:$A$4542,Übersicht!$C$7,Verweise!$B$2:$B$4542,B1934)=1,"Feiertag",IF(C1934="Samstag","",IF(C1934="Sonntag","",Übersicht!$C$8)))</f>
        <v>Feiertag</v>
      </c>
    </row>
    <row r="1935" spans="1:4" x14ac:dyDescent="0.25">
      <c r="A1935" t="s">
        <v>57</v>
      </c>
      <c r="B1935" s="48">
        <v>44354</v>
      </c>
      <c r="C1935" t="s">
        <v>50</v>
      </c>
      <c r="D1935" t="str">
        <f>IF(COUNTIFS(Verweise!$A$2:$A$4542,Übersicht!$C$7,Verweise!$B$2:$B$4542,B1935)=1,"Feiertag",IF(C1935="Samstag","",IF(C1935="Sonntag","",Übersicht!$C$8)))</f>
        <v>Feiertag</v>
      </c>
    </row>
    <row r="1936" spans="1:4" x14ac:dyDescent="0.25">
      <c r="A1936" t="s">
        <v>57</v>
      </c>
      <c r="B1936" s="48">
        <v>44355</v>
      </c>
      <c r="C1936" t="s">
        <v>51</v>
      </c>
      <c r="D1936" t="str">
        <f>IF(COUNTIFS(Verweise!$A$2:$A$4542,Übersicht!$C$7,Verweise!$B$2:$B$4542,B1936)=1,"Feiertag",IF(C1936="Samstag","",IF(C1936="Sonntag","",Übersicht!$C$8)))</f>
        <v>Feiertag</v>
      </c>
    </row>
    <row r="1937" spans="1:4" x14ac:dyDescent="0.25">
      <c r="A1937" t="s">
        <v>57</v>
      </c>
      <c r="B1937" s="48">
        <v>44365</v>
      </c>
      <c r="C1937" t="s">
        <v>52</v>
      </c>
      <c r="D1937" t="str">
        <f>IF(COUNTIFS(Verweise!$A$2:$A$4542,Übersicht!$C$7,Verweise!$B$2:$B$4542,B1937)=1,"Feiertag",IF(C1937="Samstag","",IF(C1937="Sonntag","",Übersicht!$C$8)))</f>
        <v>Feiertag</v>
      </c>
    </row>
    <row r="1938" spans="1:4" x14ac:dyDescent="0.25">
      <c r="A1938" t="s">
        <v>57</v>
      </c>
      <c r="B1938" s="48">
        <v>44471</v>
      </c>
      <c r="C1938" t="s">
        <v>53</v>
      </c>
      <c r="D1938" t="str">
        <f>IF(COUNTIFS(Verweise!$A$2:$A$4542,Übersicht!$C$7,Verweise!$B$2:$B$4542,B1938)=1,"Feiertag",IF(C1938="Samstag","",IF(C1938="Sonntag","",Übersicht!$C$8)))</f>
        <v>Feiertag</v>
      </c>
    </row>
    <row r="1939" spans="1:4" x14ac:dyDescent="0.25">
      <c r="A1939" t="s">
        <v>57</v>
      </c>
      <c r="B1939" s="48">
        <v>44500</v>
      </c>
      <c r="C1939" t="s">
        <v>54</v>
      </c>
      <c r="D1939" t="str">
        <f>IF(COUNTIFS(Verweise!$A$2:$A$4542,Übersicht!$C$7,Verweise!$B$2:$B$4542,B1939)=1,"Feiertag",IF(C1939="Samstag","",IF(C1939="Sonntag","",Übersicht!$C$8)))</f>
        <v>Feiertag</v>
      </c>
    </row>
    <row r="1940" spans="1:4" x14ac:dyDescent="0.25">
      <c r="A1940" t="s">
        <v>57</v>
      </c>
      <c r="B1940" s="48">
        <v>44554</v>
      </c>
      <c r="C1940" t="s">
        <v>55</v>
      </c>
      <c r="D1940" t="str">
        <f>IF(COUNTIFS(Verweise!$A$2:$A$4542,Übersicht!$C$7,Verweise!$B$2:$B$4542,B1940)=1,"Feiertag",IF(C1940="Samstag","",IF(C1940="Sonntag","",Übersicht!$C$8)))</f>
        <v>Feiertag</v>
      </c>
    </row>
    <row r="1941" spans="1:4" x14ac:dyDescent="0.25">
      <c r="A1941" t="s">
        <v>57</v>
      </c>
      <c r="B1941" s="48">
        <v>44555</v>
      </c>
      <c r="C1941" t="s">
        <v>56</v>
      </c>
      <c r="D1941" t="str">
        <f>IF(COUNTIFS(Verweise!$A$2:$A$4542,Übersicht!$C$7,Verweise!$B$2:$B$4542,B1941)=1,"Feiertag",IF(C1941="Samstag","",IF(C1941="Sonntag","",Übersicht!$C$8)))</f>
        <v>Feiertag</v>
      </c>
    </row>
    <row r="1942" spans="1:4" x14ac:dyDescent="0.25">
      <c r="A1942" t="s">
        <v>58</v>
      </c>
      <c r="B1942" s="48">
        <v>44196</v>
      </c>
      <c r="C1942" t="s">
        <v>43</v>
      </c>
      <c r="D1942" t="str">
        <f>IF(COUNTIFS(Verweise!$A$2:$A$4542,Übersicht!$C$7,Verweise!$B$2:$B$4542,B1942)=1,"Feiertag",IF(C1942="Samstag","",IF(C1942="Sonntag","",Übersicht!$C$8)))</f>
        <v>Feiertag</v>
      </c>
    </row>
    <row r="1943" spans="1:4" x14ac:dyDescent="0.25">
      <c r="A1943" t="s">
        <v>58</v>
      </c>
      <c r="B1943" s="48">
        <v>44201</v>
      </c>
      <c r="C1943" t="s">
        <v>44</v>
      </c>
      <c r="D1943" t="str">
        <f>IF(COUNTIFS(Verweise!$A$2:$A$4542,Übersicht!$C$7,Verweise!$B$2:$B$4542,B1943)=1,"Feiertag",IF(C1943="Samstag","",IF(C1943="Sonntag","",Übersicht!$C$8)))</f>
        <v>Büro</v>
      </c>
    </row>
    <row r="1944" spans="1:4" x14ac:dyDescent="0.25">
      <c r="A1944" t="s">
        <v>58</v>
      </c>
      <c r="B1944" s="48">
        <v>44303</v>
      </c>
      <c r="C1944" t="s">
        <v>45</v>
      </c>
      <c r="D1944" t="str">
        <f>IF(COUNTIFS(Verweise!$A$2:$A$4542,Übersicht!$C$7,Verweise!$B$2:$B$4542,B1944)=1,"Feiertag",IF(C1944="Samstag","",IF(C1944="Sonntag","",Übersicht!$C$8)))</f>
        <v>Feiertag</v>
      </c>
    </row>
    <row r="1945" spans="1:4" x14ac:dyDescent="0.25">
      <c r="A1945" t="s">
        <v>58</v>
      </c>
      <c r="B1945" s="48">
        <v>44305</v>
      </c>
      <c r="C1945" t="s">
        <v>46</v>
      </c>
      <c r="D1945" t="str">
        <f>IF(COUNTIFS(Verweise!$A$2:$A$4542,Übersicht!$C$7,Verweise!$B$2:$B$4542,B1945)=1,"Feiertag",IF(C1945="Samstag","",IF(C1945="Sonntag","",Übersicht!$C$8)))</f>
        <v>Feiertag</v>
      </c>
    </row>
    <row r="1946" spans="1:4" x14ac:dyDescent="0.25">
      <c r="A1946" t="s">
        <v>58</v>
      </c>
      <c r="B1946" s="48">
        <v>44306</v>
      </c>
      <c r="C1946" t="s">
        <v>47</v>
      </c>
      <c r="D1946" t="str">
        <f>IF(COUNTIFS(Verweise!$A$2:$A$4542,Übersicht!$C$7,Verweise!$B$2:$B$4542,B1946)=1,"Feiertag",IF(C1946="Samstag","",IF(C1946="Sonntag","",Übersicht!$C$8)))</f>
        <v>Feiertag</v>
      </c>
    </row>
    <row r="1947" spans="1:4" x14ac:dyDescent="0.25">
      <c r="A1947" t="s">
        <v>58</v>
      </c>
      <c r="B1947" s="48">
        <v>44316</v>
      </c>
      <c r="C1947" t="s">
        <v>48</v>
      </c>
      <c r="D1947" t="str">
        <f>IF(COUNTIFS(Verweise!$A$2:$A$4542,Übersicht!$C$7,Verweise!$B$2:$B$4542,B1947)=1,"Feiertag",IF(C1947="Samstag","",IF(C1947="Sonntag","",Übersicht!$C$8)))</f>
        <v>Feiertag</v>
      </c>
    </row>
    <row r="1948" spans="1:4" x14ac:dyDescent="0.25">
      <c r="A1948" t="s">
        <v>58</v>
      </c>
      <c r="B1948" s="48">
        <v>44344</v>
      </c>
      <c r="C1948" t="s">
        <v>49</v>
      </c>
      <c r="D1948" t="str">
        <f>IF(COUNTIFS(Verweise!$A$2:$A$4542,Übersicht!$C$7,Verweise!$B$2:$B$4542,B1948)=1,"Feiertag",IF(C1948="Samstag","",IF(C1948="Sonntag","",Übersicht!$C$8)))</f>
        <v>Feiertag</v>
      </c>
    </row>
    <row r="1949" spans="1:4" x14ac:dyDescent="0.25">
      <c r="A1949" t="s">
        <v>58</v>
      </c>
      <c r="B1949" s="48">
        <v>44354</v>
      </c>
      <c r="C1949" t="s">
        <v>50</v>
      </c>
      <c r="D1949" t="str">
        <f>IF(COUNTIFS(Verweise!$A$2:$A$4542,Übersicht!$C$7,Verweise!$B$2:$B$4542,B1949)=1,"Feiertag",IF(C1949="Samstag","",IF(C1949="Sonntag","",Übersicht!$C$8)))</f>
        <v>Feiertag</v>
      </c>
    </row>
    <row r="1950" spans="1:4" x14ac:dyDescent="0.25">
      <c r="A1950" t="s">
        <v>58</v>
      </c>
      <c r="B1950" s="48">
        <v>44355</v>
      </c>
      <c r="C1950" t="s">
        <v>51</v>
      </c>
      <c r="D1950" t="str">
        <f>IF(COUNTIFS(Verweise!$A$2:$A$4542,Übersicht!$C$7,Verweise!$B$2:$B$4542,B1950)=1,"Feiertag",IF(C1950="Samstag","",IF(C1950="Sonntag","",Übersicht!$C$8)))</f>
        <v>Feiertag</v>
      </c>
    </row>
    <row r="1951" spans="1:4" x14ac:dyDescent="0.25">
      <c r="A1951" t="s">
        <v>58</v>
      </c>
      <c r="B1951" s="48">
        <v>44365</v>
      </c>
      <c r="C1951" t="s">
        <v>52</v>
      </c>
      <c r="D1951" t="str">
        <f>IF(COUNTIFS(Verweise!$A$2:$A$4542,Übersicht!$C$7,Verweise!$B$2:$B$4542,B1951)=1,"Feiertag",IF(C1951="Samstag","",IF(C1951="Sonntag","",Übersicht!$C$8)))</f>
        <v>Feiertag</v>
      </c>
    </row>
    <row r="1952" spans="1:4" x14ac:dyDescent="0.25">
      <c r="A1952" t="s">
        <v>58</v>
      </c>
      <c r="B1952" s="48">
        <v>44422</v>
      </c>
      <c r="C1952" t="s">
        <v>59</v>
      </c>
      <c r="D1952" t="str">
        <f>IF(COUNTIFS(Verweise!$A$2:$A$4542,Übersicht!$C$7,Verweise!$B$2:$B$4542,B1952)=1,"Feiertag",IF(C1952="Samstag","",IF(C1952="Sonntag","",Übersicht!$C$8)))</f>
        <v>Büro</v>
      </c>
    </row>
    <row r="1953" spans="1:4" x14ac:dyDescent="0.25">
      <c r="A1953" t="s">
        <v>58</v>
      </c>
      <c r="B1953" s="48">
        <v>44471</v>
      </c>
      <c r="C1953" t="s">
        <v>53</v>
      </c>
      <c r="D1953" t="str">
        <f>IF(COUNTIFS(Verweise!$A$2:$A$4542,Übersicht!$C$7,Verweise!$B$2:$B$4542,B1953)=1,"Feiertag",IF(C1953="Samstag","",IF(C1953="Sonntag","",Übersicht!$C$8)))</f>
        <v>Feiertag</v>
      </c>
    </row>
    <row r="1954" spans="1:4" x14ac:dyDescent="0.25">
      <c r="A1954" t="s">
        <v>58</v>
      </c>
      <c r="B1954" s="48">
        <v>44500</v>
      </c>
      <c r="C1954" t="s">
        <v>54</v>
      </c>
      <c r="D1954" t="str">
        <f>IF(COUNTIFS(Verweise!$A$2:$A$4542,Übersicht!$C$7,Verweise!$B$2:$B$4542,B1954)=1,"Feiertag",IF(C1954="Samstag","",IF(C1954="Sonntag","",Übersicht!$C$8)))</f>
        <v>Feiertag</v>
      </c>
    </row>
    <row r="1955" spans="1:4" x14ac:dyDescent="0.25">
      <c r="A1955" t="s">
        <v>58</v>
      </c>
      <c r="B1955" s="48">
        <v>44554</v>
      </c>
      <c r="C1955" t="s">
        <v>55</v>
      </c>
      <c r="D1955" t="str">
        <f>IF(COUNTIFS(Verweise!$A$2:$A$4542,Übersicht!$C$7,Verweise!$B$2:$B$4542,B1955)=1,"Feiertag",IF(C1955="Samstag","",IF(C1955="Sonntag","",Übersicht!$C$8)))</f>
        <v>Feiertag</v>
      </c>
    </row>
    <row r="1956" spans="1:4" x14ac:dyDescent="0.25">
      <c r="A1956" t="s">
        <v>58</v>
      </c>
      <c r="B1956" s="48">
        <v>44555</v>
      </c>
      <c r="C1956" t="s">
        <v>56</v>
      </c>
      <c r="D1956" t="str">
        <f>IF(COUNTIFS(Verweise!$A$2:$A$4542,Übersicht!$C$7,Verweise!$B$2:$B$4542,B1956)=1,"Feiertag",IF(C1956="Samstag","",IF(C1956="Sonntag","",Übersicht!$C$8)))</f>
        <v>Feiertag</v>
      </c>
    </row>
    <row r="1957" spans="1:4" x14ac:dyDescent="0.25">
      <c r="A1957" t="s">
        <v>60</v>
      </c>
      <c r="B1957" s="48">
        <v>44196</v>
      </c>
      <c r="C1957" t="s">
        <v>43</v>
      </c>
      <c r="D1957" t="str">
        <f>IF(COUNTIFS(Verweise!$A$2:$A$4542,Übersicht!$C$7,Verweise!$B$2:$B$4542,B1957)=1,"Feiertag",IF(C1957="Samstag","",IF(C1957="Sonntag","",Übersicht!$C$8)))</f>
        <v>Feiertag</v>
      </c>
    </row>
    <row r="1958" spans="1:4" x14ac:dyDescent="0.25">
      <c r="A1958" t="s">
        <v>60</v>
      </c>
      <c r="B1958" s="48">
        <v>44303</v>
      </c>
      <c r="C1958" t="s">
        <v>45</v>
      </c>
      <c r="D1958" t="str">
        <f>IF(COUNTIFS(Verweise!$A$2:$A$4542,Übersicht!$C$7,Verweise!$B$2:$B$4542,B1958)=1,"Feiertag",IF(C1958="Samstag","",IF(C1958="Sonntag","",Übersicht!$C$8)))</f>
        <v>Feiertag</v>
      </c>
    </row>
    <row r="1959" spans="1:4" x14ac:dyDescent="0.25">
      <c r="A1959" t="s">
        <v>60</v>
      </c>
      <c r="B1959" s="48">
        <v>44305</v>
      </c>
      <c r="C1959" t="s">
        <v>46</v>
      </c>
      <c r="D1959" t="str">
        <f>IF(COUNTIFS(Verweise!$A$2:$A$4542,Übersicht!$C$7,Verweise!$B$2:$B$4542,B1959)=1,"Feiertag",IF(C1959="Samstag","",IF(C1959="Sonntag","",Übersicht!$C$8)))</f>
        <v>Feiertag</v>
      </c>
    </row>
    <row r="1960" spans="1:4" x14ac:dyDescent="0.25">
      <c r="A1960" t="s">
        <v>60</v>
      </c>
      <c r="B1960" s="48">
        <v>44306</v>
      </c>
      <c r="C1960" t="s">
        <v>47</v>
      </c>
      <c r="D1960" t="str">
        <f>IF(COUNTIFS(Verweise!$A$2:$A$4542,Übersicht!$C$7,Verweise!$B$2:$B$4542,B1960)=1,"Feiertag",IF(C1960="Samstag","",IF(C1960="Sonntag","",Übersicht!$C$8)))</f>
        <v>Feiertag</v>
      </c>
    </row>
    <row r="1961" spans="1:4" x14ac:dyDescent="0.25">
      <c r="A1961" t="s">
        <v>60</v>
      </c>
      <c r="B1961" s="48">
        <v>44316</v>
      </c>
      <c r="C1961" t="s">
        <v>48</v>
      </c>
      <c r="D1961" t="str">
        <f>IF(COUNTIFS(Verweise!$A$2:$A$4542,Übersicht!$C$7,Verweise!$B$2:$B$4542,B1961)=1,"Feiertag",IF(C1961="Samstag","",IF(C1961="Sonntag","",Übersicht!$C$8)))</f>
        <v>Feiertag</v>
      </c>
    </row>
    <row r="1962" spans="1:4" x14ac:dyDescent="0.25">
      <c r="A1962" t="s">
        <v>60</v>
      </c>
      <c r="B1962" s="48">
        <v>44344</v>
      </c>
      <c r="C1962" t="s">
        <v>49</v>
      </c>
      <c r="D1962" t="str">
        <f>IF(COUNTIFS(Verweise!$A$2:$A$4542,Übersicht!$C$7,Verweise!$B$2:$B$4542,B1962)=1,"Feiertag",IF(C1962="Samstag","",IF(C1962="Sonntag","",Übersicht!$C$8)))</f>
        <v>Feiertag</v>
      </c>
    </row>
    <row r="1963" spans="1:4" x14ac:dyDescent="0.25">
      <c r="A1963" t="s">
        <v>60</v>
      </c>
      <c r="B1963" s="48">
        <v>44354</v>
      </c>
      <c r="C1963" t="s">
        <v>50</v>
      </c>
      <c r="D1963" t="str">
        <f>IF(COUNTIFS(Verweise!$A$2:$A$4542,Übersicht!$C$7,Verweise!$B$2:$B$4542,B1963)=1,"Feiertag",IF(C1963="Samstag","",IF(C1963="Sonntag","",Übersicht!$C$8)))</f>
        <v>Feiertag</v>
      </c>
    </row>
    <row r="1964" spans="1:4" x14ac:dyDescent="0.25">
      <c r="A1964" t="s">
        <v>60</v>
      </c>
      <c r="B1964" s="48">
        <v>44355</v>
      </c>
      <c r="C1964" t="s">
        <v>51</v>
      </c>
      <c r="D1964" t="str">
        <f>IF(COUNTIFS(Verweise!$A$2:$A$4542,Übersicht!$C$7,Verweise!$B$2:$B$4542,B1964)=1,"Feiertag",IF(C1964="Samstag","",IF(C1964="Sonntag","",Übersicht!$C$8)))</f>
        <v>Feiertag</v>
      </c>
    </row>
    <row r="1965" spans="1:4" x14ac:dyDescent="0.25">
      <c r="A1965" t="s">
        <v>60</v>
      </c>
      <c r="B1965" s="48">
        <v>44471</v>
      </c>
      <c r="C1965" t="s">
        <v>53</v>
      </c>
      <c r="D1965" t="str">
        <f>IF(COUNTIFS(Verweise!$A$2:$A$4542,Übersicht!$C$7,Verweise!$B$2:$B$4542,B1965)=1,"Feiertag",IF(C1965="Samstag","",IF(C1965="Sonntag","",Übersicht!$C$8)))</f>
        <v>Feiertag</v>
      </c>
    </row>
    <row r="1966" spans="1:4" x14ac:dyDescent="0.25">
      <c r="A1966" t="s">
        <v>60</v>
      </c>
      <c r="B1966" s="48">
        <v>44554</v>
      </c>
      <c r="C1966" t="s">
        <v>55</v>
      </c>
      <c r="D1966" t="str">
        <f>IF(COUNTIFS(Verweise!$A$2:$A$4542,Übersicht!$C$7,Verweise!$B$2:$B$4542,B1966)=1,"Feiertag",IF(C1966="Samstag","",IF(C1966="Sonntag","",Übersicht!$C$8)))</f>
        <v>Feiertag</v>
      </c>
    </row>
    <row r="1967" spans="1:4" x14ac:dyDescent="0.25">
      <c r="A1967" t="s">
        <v>60</v>
      </c>
      <c r="B1967" s="48">
        <v>44555</v>
      </c>
      <c r="C1967" t="s">
        <v>56</v>
      </c>
      <c r="D1967" t="str">
        <f>IF(COUNTIFS(Verweise!$A$2:$A$4542,Übersicht!$C$7,Verweise!$B$2:$B$4542,B1967)=1,"Feiertag",IF(C1967="Samstag","",IF(C1967="Sonntag","",Übersicht!$C$8)))</f>
        <v>Feiertag</v>
      </c>
    </row>
    <row r="1968" spans="1:4" x14ac:dyDescent="0.25">
      <c r="A1968" t="s">
        <v>61</v>
      </c>
      <c r="B1968" s="48">
        <v>44196</v>
      </c>
      <c r="C1968" t="s">
        <v>43</v>
      </c>
      <c r="D1968" t="str">
        <f>IF(COUNTIFS(Verweise!$A$2:$A$4542,Übersicht!$C$7,Verweise!$B$2:$B$4542,B1968)=1,"Feiertag",IF(C1968="Samstag","",IF(C1968="Sonntag","",Übersicht!$C$8)))</f>
        <v>Feiertag</v>
      </c>
    </row>
    <row r="1969" spans="1:4" x14ac:dyDescent="0.25">
      <c r="A1969" t="s">
        <v>61</v>
      </c>
      <c r="B1969" s="48">
        <v>44303</v>
      </c>
      <c r="C1969" t="s">
        <v>45</v>
      </c>
      <c r="D1969" t="str">
        <f>IF(COUNTIFS(Verweise!$A$2:$A$4542,Übersicht!$C$7,Verweise!$B$2:$B$4542,B1969)=1,"Feiertag",IF(C1969="Samstag","",IF(C1969="Sonntag","",Übersicht!$C$8)))</f>
        <v>Feiertag</v>
      </c>
    </row>
    <row r="1970" spans="1:4" x14ac:dyDescent="0.25">
      <c r="A1970" t="s">
        <v>61</v>
      </c>
      <c r="B1970" s="48">
        <v>44305</v>
      </c>
      <c r="C1970" t="s">
        <v>46</v>
      </c>
      <c r="D1970" t="str">
        <f>IF(COUNTIFS(Verweise!$A$2:$A$4542,Übersicht!$C$7,Verweise!$B$2:$B$4542,B1970)=1,"Feiertag",IF(C1970="Samstag","",IF(C1970="Sonntag","",Übersicht!$C$8)))</f>
        <v>Feiertag</v>
      </c>
    </row>
    <row r="1971" spans="1:4" x14ac:dyDescent="0.25">
      <c r="A1971" t="s">
        <v>61</v>
      </c>
      <c r="B1971" s="48">
        <v>44306</v>
      </c>
      <c r="C1971" t="s">
        <v>47</v>
      </c>
      <c r="D1971" t="str">
        <f>IF(COUNTIFS(Verweise!$A$2:$A$4542,Übersicht!$C$7,Verweise!$B$2:$B$4542,B1971)=1,"Feiertag",IF(C1971="Samstag","",IF(C1971="Sonntag","",Übersicht!$C$8)))</f>
        <v>Feiertag</v>
      </c>
    </row>
    <row r="1972" spans="1:4" x14ac:dyDescent="0.25">
      <c r="A1972" t="s">
        <v>61</v>
      </c>
      <c r="B1972" s="48">
        <v>44316</v>
      </c>
      <c r="C1972" t="s">
        <v>48</v>
      </c>
      <c r="D1972" t="str">
        <f>IF(COUNTIFS(Verweise!$A$2:$A$4542,Übersicht!$C$7,Verweise!$B$2:$B$4542,B1972)=1,"Feiertag",IF(C1972="Samstag","",IF(C1972="Sonntag","",Übersicht!$C$8)))</f>
        <v>Feiertag</v>
      </c>
    </row>
    <row r="1973" spans="1:4" x14ac:dyDescent="0.25">
      <c r="A1973" t="s">
        <v>61</v>
      </c>
      <c r="B1973" s="48">
        <v>44344</v>
      </c>
      <c r="C1973" t="s">
        <v>49</v>
      </c>
      <c r="D1973" t="str">
        <f>IF(COUNTIFS(Verweise!$A$2:$A$4542,Übersicht!$C$7,Verweise!$B$2:$B$4542,B1973)=1,"Feiertag",IF(C1973="Samstag","",IF(C1973="Sonntag","",Übersicht!$C$8)))</f>
        <v>Feiertag</v>
      </c>
    </row>
    <row r="1974" spans="1:4" x14ac:dyDescent="0.25">
      <c r="A1974" t="s">
        <v>61</v>
      </c>
      <c r="B1974" s="48">
        <v>44354</v>
      </c>
      <c r="C1974" t="s">
        <v>50</v>
      </c>
      <c r="D1974" t="str">
        <f>IF(COUNTIFS(Verweise!$A$2:$A$4542,Übersicht!$C$7,Verweise!$B$2:$B$4542,B1974)=1,"Feiertag",IF(C1974="Samstag","",IF(C1974="Sonntag","",Übersicht!$C$8)))</f>
        <v>Feiertag</v>
      </c>
    </row>
    <row r="1975" spans="1:4" x14ac:dyDescent="0.25">
      <c r="A1975" t="s">
        <v>61</v>
      </c>
      <c r="B1975" s="48">
        <v>44355</v>
      </c>
      <c r="C1975" t="s">
        <v>51</v>
      </c>
      <c r="D1975" t="str">
        <f>IF(COUNTIFS(Verweise!$A$2:$A$4542,Übersicht!$C$7,Verweise!$B$2:$B$4542,B1975)=1,"Feiertag",IF(C1975="Samstag","",IF(C1975="Sonntag","",Übersicht!$C$8)))</f>
        <v>Feiertag</v>
      </c>
    </row>
    <row r="1976" spans="1:4" x14ac:dyDescent="0.25">
      <c r="A1976" t="s">
        <v>61</v>
      </c>
      <c r="B1976" s="48">
        <v>44471</v>
      </c>
      <c r="C1976" t="s">
        <v>53</v>
      </c>
      <c r="D1976" t="str">
        <f>IF(COUNTIFS(Verweise!$A$2:$A$4542,Übersicht!$C$7,Verweise!$B$2:$B$4542,B1976)=1,"Feiertag",IF(C1976="Samstag","",IF(C1976="Sonntag","",Übersicht!$C$8)))</f>
        <v>Feiertag</v>
      </c>
    </row>
    <row r="1977" spans="1:4" x14ac:dyDescent="0.25">
      <c r="A1977" t="s">
        <v>61</v>
      </c>
      <c r="B1977" s="48">
        <v>44499</v>
      </c>
      <c r="C1977" t="s">
        <v>62</v>
      </c>
      <c r="D1977" t="str">
        <f>IF(COUNTIFS(Verweise!$A$2:$A$4542,Übersicht!$C$7,Verweise!$B$2:$B$4542,B1977)=1,"Feiertag",IF(C1977="Samstag","",IF(C1977="Sonntag","",Übersicht!$C$8)))</f>
        <v>Büro</v>
      </c>
    </row>
    <row r="1978" spans="1:4" x14ac:dyDescent="0.25">
      <c r="A1978" t="s">
        <v>61</v>
      </c>
      <c r="B1978" s="48">
        <v>44554</v>
      </c>
      <c r="C1978" t="s">
        <v>55</v>
      </c>
      <c r="D1978" t="str">
        <f>IF(COUNTIFS(Verweise!$A$2:$A$4542,Übersicht!$C$7,Verweise!$B$2:$B$4542,B1978)=1,"Feiertag",IF(C1978="Samstag","",IF(C1978="Sonntag","",Übersicht!$C$8)))</f>
        <v>Feiertag</v>
      </c>
    </row>
    <row r="1979" spans="1:4" x14ac:dyDescent="0.25">
      <c r="A1979" t="s">
        <v>61</v>
      </c>
      <c r="B1979" s="48">
        <v>44555</v>
      </c>
      <c r="C1979" t="s">
        <v>56</v>
      </c>
      <c r="D1979" t="str">
        <f>IF(COUNTIFS(Verweise!$A$2:$A$4542,Übersicht!$C$7,Verweise!$B$2:$B$4542,B1979)=1,"Feiertag",IF(C1979="Samstag","",IF(C1979="Sonntag","",Übersicht!$C$8)))</f>
        <v>Feiertag</v>
      </c>
    </row>
    <row r="1980" spans="1:4" x14ac:dyDescent="0.25">
      <c r="A1980" t="s">
        <v>63</v>
      </c>
      <c r="B1980" s="48">
        <v>44196</v>
      </c>
      <c r="C1980" t="s">
        <v>43</v>
      </c>
      <c r="D1980" t="str">
        <f>IF(COUNTIFS(Verweise!$A$2:$A$4542,Übersicht!$C$7,Verweise!$B$2:$B$4542,B1980)=1,"Feiertag",IF(C1980="Samstag","",IF(C1980="Sonntag","",Übersicht!$C$8)))</f>
        <v>Feiertag</v>
      </c>
    </row>
    <row r="1981" spans="1:4" x14ac:dyDescent="0.25">
      <c r="A1981" t="s">
        <v>63</v>
      </c>
      <c r="B1981" s="48">
        <v>44303</v>
      </c>
      <c r="C1981" t="s">
        <v>45</v>
      </c>
      <c r="D1981" t="str">
        <f>IF(COUNTIFS(Verweise!$A$2:$A$4542,Übersicht!$C$7,Verweise!$B$2:$B$4542,B1981)=1,"Feiertag",IF(C1981="Samstag","",IF(C1981="Sonntag","",Übersicht!$C$8)))</f>
        <v>Feiertag</v>
      </c>
    </row>
    <row r="1982" spans="1:4" x14ac:dyDescent="0.25">
      <c r="A1982" t="s">
        <v>63</v>
      </c>
      <c r="B1982" s="48">
        <v>44305</v>
      </c>
      <c r="C1982" t="s">
        <v>46</v>
      </c>
      <c r="D1982" t="str">
        <f>IF(COUNTIFS(Verweise!$A$2:$A$4542,Übersicht!$C$7,Verweise!$B$2:$B$4542,B1982)=1,"Feiertag",IF(C1982="Samstag","",IF(C1982="Sonntag","",Übersicht!$C$8)))</f>
        <v>Feiertag</v>
      </c>
    </row>
    <row r="1983" spans="1:4" x14ac:dyDescent="0.25">
      <c r="A1983" t="s">
        <v>63</v>
      </c>
      <c r="B1983" s="48">
        <v>44306</v>
      </c>
      <c r="C1983" t="s">
        <v>47</v>
      </c>
      <c r="D1983" t="str">
        <f>IF(COUNTIFS(Verweise!$A$2:$A$4542,Übersicht!$C$7,Verweise!$B$2:$B$4542,B1983)=1,"Feiertag",IF(C1983="Samstag","",IF(C1983="Sonntag","",Übersicht!$C$8)))</f>
        <v>Feiertag</v>
      </c>
    </row>
    <row r="1984" spans="1:4" x14ac:dyDescent="0.25">
      <c r="A1984" t="s">
        <v>63</v>
      </c>
      <c r="B1984" s="48">
        <v>44316</v>
      </c>
      <c r="C1984" t="s">
        <v>48</v>
      </c>
      <c r="D1984" t="str">
        <f>IF(COUNTIFS(Verweise!$A$2:$A$4542,Übersicht!$C$7,Verweise!$B$2:$B$4542,B1984)=1,"Feiertag",IF(C1984="Samstag","",IF(C1984="Sonntag","",Übersicht!$C$8)))</f>
        <v>Feiertag</v>
      </c>
    </row>
    <row r="1985" spans="1:4" x14ac:dyDescent="0.25">
      <c r="A1985" t="s">
        <v>63</v>
      </c>
      <c r="B1985" s="48">
        <v>44344</v>
      </c>
      <c r="C1985" t="s">
        <v>49</v>
      </c>
      <c r="D1985" t="str">
        <f>IF(COUNTIFS(Verweise!$A$2:$A$4542,Übersicht!$C$7,Verweise!$B$2:$B$4542,B1985)=1,"Feiertag",IF(C1985="Samstag","",IF(C1985="Sonntag","",Übersicht!$C$8)))</f>
        <v>Feiertag</v>
      </c>
    </row>
    <row r="1986" spans="1:4" x14ac:dyDescent="0.25">
      <c r="A1986" t="s">
        <v>63</v>
      </c>
      <c r="B1986" s="48">
        <v>44354</v>
      </c>
      <c r="C1986" t="s">
        <v>50</v>
      </c>
      <c r="D1986" t="str">
        <f>IF(COUNTIFS(Verweise!$A$2:$A$4542,Übersicht!$C$7,Verweise!$B$2:$B$4542,B1986)=1,"Feiertag",IF(C1986="Samstag","",IF(C1986="Sonntag","",Übersicht!$C$8)))</f>
        <v>Feiertag</v>
      </c>
    </row>
    <row r="1987" spans="1:4" x14ac:dyDescent="0.25">
      <c r="A1987" t="s">
        <v>63</v>
      </c>
      <c r="B1987" s="48">
        <v>44355</v>
      </c>
      <c r="C1987" t="s">
        <v>51</v>
      </c>
      <c r="D1987" t="str">
        <f>IF(COUNTIFS(Verweise!$A$2:$A$4542,Übersicht!$C$7,Verweise!$B$2:$B$4542,B1987)=1,"Feiertag",IF(C1987="Samstag","",IF(C1987="Sonntag","",Übersicht!$C$8)))</f>
        <v>Feiertag</v>
      </c>
    </row>
    <row r="1988" spans="1:4" x14ac:dyDescent="0.25">
      <c r="A1988" t="s">
        <v>63</v>
      </c>
      <c r="B1988" s="48">
        <v>44471</v>
      </c>
      <c r="C1988" t="s">
        <v>53</v>
      </c>
      <c r="D1988" t="str">
        <f>IF(COUNTIFS(Verweise!$A$2:$A$4542,Übersicht!$C$7,Verweise!$B$2:$B$4542,B1988)=1,"Feiertag",IF(C1988="Samstag","",IF(C1988="Sonntag","",Übersicht!$C$8)))</f>
        <v>Feiertag</v>
      </c>
    </row>
    <row r="1989" spans="1:4" x14ac:dyDescent="0.25">
      <c r="A1989" t="s">
        <v>63</v>
      </c>
      <c r="B1989" s="48">
        <v>44554</v>
      </c>
      <c r="C1989" t="s">
        <v>55</v>
      </c>
      <c r="D1989" t="str">
        <f>IF(COUNTIFS(Verweise!$A$2:$A$4542,Übersicht!$C$7,Verweise!$B$2:$B$4542,B1989)=1,"Feiertag",IF(C1989="Samstag","",IF(C1989="Sonntag","",Übersicht!$C$8)))</f>
        <v>Feiertag</v>
      </c>
    </row>
    <row r="1990" spans="1:4" x14ac:dyDescent="0.25">
      <c r="A1990" t="s">
        <v>63</v>
      </c>
      <c r="B1990" s="48">
        <v>44555</v>
      </c>
      <c r="C1990" t="s">
        <v>56</v>
      </c>
      <c r="D1990" t="str">
        <f>IF(COUNTIFS(Verweise!$A$2:$A$4542,Übersicht!$C$7,Verweise!$B$2:$B$4542,B1990)=1,"Feiertag",IF(C1990="Samstag","",IF(C1990="Sonntag","",Übersicht!$C$8)))</f>
        <v>Feiertag</v>
      </c>
    </row>
    <row r="1991" spans="1:4" x14ac:dyDescent="0.25">
      <c r="A1991" t="s">
        <v>64</v>
      </c>
      <c r="B1991" s="48">
        <v>44196</v>
      </c>
      <c r="C1991" t="s">
        <v>43</v>
      </c>
      <c r="D1991" t="str">
        <f>IF(COUNTIFS(Verweise!$A$2:$A$4542,Übersicht!$C$7,Verweise!$B$2:$B$4542,B1991)=1,"Feiertag",IF(C1991="Samstag","",IF(C1991="Sonntag","",Übersicht!$C$8)))</f>
        <v>Feiertag</v>
      </c>
    </row>
    <row r="1992" spans="1:4" x14ac:dyDescent="0.25">
      <c r="A1992" t="s">
        <v>64</v>
      </c>
      <c r="B1992" s="48">
        <v>44303</v>
      </c>
      <c r="C1992" t="s">
        <v>45</v>
      </c>
      <c r="D1992" t="str">
        <f>IF(COUNTIFS(Verweise!$A$2:$A$4542,Übersicht!$C$7,Verweise!$B$2:$B$4542,B1992)=1,"Feiertag",IF(C1992="Samstag","",IF(C1992="Sonntag","",Übersicht!$C$8)))</f>
        <v>Feiertag</v>
      </c>
    </row>
    <row r="1993" spans="1:4" x14ac:dyDescent="0.25">
      <c r="A1993" t="s">
        <v>64</v>
      </c>
      <c r="B1993" s="48">
        <v>44305</v>
      </c>
      <c r="C1993" t="s">
        <v>46</v>
      </c>
      <c r="D1993" t="str">
        <f>IF(COUNTIFS(Verweise!$A$2:$A$4542,Übersicht!$C$7,Verweise!$B$2:$B$4542,B1993)=1,"Feiertag",IF(C1993="Samstag","",IF(C1993="Sonntag","",Übersicht!$C$8)))</f>
        <v>Feiertag</v>
      </c>
    </row>
    <row r="1994" spans="1:4" x14ac:dyDescent="0.25">
      <c r="A1994" t="s">
        <v>64</v>
      </c>
      <c r="B1994" s="48">
        <v>44306</v>
      </c>
      <c r="C1994" t="s">
        <v>47</v>
      </c>
      <c r="D1994" t="str">
        <f>IF(COUNTIFS(Verweise!$A$2:$A$4542,Übersicht!$C$7,Verweise!$B$2:$B$4542,B1994)=1,"Feiertag",IF(C1994="Samstag","",IF(C1994="Sonntag","",Übersicht!$C$8)))</f>
        <v>Feiertag</v>
      </c>
    </row>
    <row r="1995" spans="1:4" x14ac:dyDescent="0.25">
      <c r="A1995" t="s">
        <v>64</v>
      </c>
      <c r="B1995" s="48">
        <v>44316</v>
      </c>
      <c r="C1995" t="s">
        <v>48</v>
      </c>
      <c r="D1995" t="str">
        <f>IF(COUNTIFS(Verweise!$A$2:$A$4542,Übersicht!$C$7,Verweise!$B$2:$B$4542,B1995)=1,"Feiertag",IF(C1995="Samstag","",IF(C1995="Sonntag","",Übersicht!$C$8)))</f>
        <v>Feiertag</v>
      </c>
    </row>
    <row r="1996" spans="1:4" x14ac:dyDescent="0.25">
      <c r="A1996" t="s">
        <v>64</v>
      </c>
      <c r="B1996" s="48">
        <v>44344</v>
      </c>
      <c r="C1996" t="s">
        <v>49</v>
      </c>
      <c r="D1996" t="str">
        <f>IF(COUNTIFS(Verweise!$A$2:$A$4542,Übersicht!$C$7,Verweise!$B$2:$B$4542,B1996)=1,"Feiertag",IF(C1996="Samstag","",IF(C1996="Sonntag","",Übersicht!$C$8)))</f>
        <v>Feiertag</v>
      </c>
    </row>
    <row r="1997" spans="1:4" x14ac:dyDescent="0.25">
      <c r="A1997" t="s">
        <v>64</v>
      </c>
      <c r="B1997" s="48">
        <v>44354</v>
      </c>
      <c r="C1997" t="s">
        <v>50</v>
      </c>
      <c r="D1997" t="str">
        <f>IF(COUNTIFS(Verweise!$A$2:$A$4542,Übersicht!$C$7,Verweise!$B$2:$B$4542,B1997)=1,"Feiertag",IF(C1997="Samstag","",IF(C1997="Sonntag","",Übersicht!$C$8)))</f>
        <v>Feiertag</v>
      </c>
    </row>
    <row r="1998" spans="1:4" x14ac:dyDescent="0.25">
      <c r="A1998" t="s">
        <v>64</v>
      </c>
      <c r="B1998" s="48">
        <v>44355</v>
      </c>
      <c r="C1998" t="s">
        <v>51</v>
      </c>
      <c r="D1998" t="str">
        <f>IF(COUNTIFS(Verweise!$A$2:$A$4542,Übersicht!$C$7,Verweise!$B$2:$B$4542,B1998)=1,"Feiertag",IF(C1998="Samstag","",IF(C1998="Sonntag","",Übersicht!$C$8)))</f>
        <v>Feiertag</v>
      </c>
    </row>
    <row r="1999" spans="1:4" x14ac:dyDescent="0.25">
      <c r="A1999" t="s">
        <v>64</v>
      </c>
      <c r="B1999" s="48">
        <v>44471</v>
      </c>
      <c r="C1999" t="s">
        <v>53</v>
      </c>
      <c r="D1999" t="str">
        <f>IF(COUNTIFS(Verweise!$A$2:$A$4542,Übersicht!$C$7,Verweise!$B$2:$B$4542,B1999)=1,"Feiertag",IF(C1999="Samstag","",IF(C1999="Sonntag","",Übersicht!$C$8)))</f>
        <v>Feiertag</v>
      </c>
    </row>
    <row r="2000" spans="1:4" x14ac:dyDescent="0.25">
      <c r="A2000" t="s">
        <v>64</v>
      </c>
      <c r="B2000" s="48">
        <v>44554</v>
      </c>
      <c r="C2000" t="s">
        <v>55</v>
      </c>
      <c r="D2000" t="str">
        <f>IF(COUNTIFS(Verweise!$A$2:$A$4542,Übersicht!$C$7,Verweise!$B$2:$B$4542,B2000)=1,"Feiertag",IF(C2000="Samstag","",IF(C2000="Sonntag","",Übersicht!$C$8)))</f>
        <v>Feiertag</v>
      </c>
    </row>
    <row r="2001" spans="1:4" x14ac:dyDescent="0.25">
      <c r="A2001" t="s">
        <v>64</v>
      </c>
      <c r="B2001" s="48">
        <v>44555</v>
      </c>
      <c r="C2001" t="s">
        <v>56</v>
      </c>
      <c r="D2001" t="str">
        <f>IF(COUNTIFS(Verweise!$A$2:$A$4542,Übersicht!$C$7,Verweise!$B$2:$B$4542,B2001)=1,"Feiertag",IF(C2001="Samstag","",IF(C2001="Sonntag","",Übersicht!$C$8)))</f>
        <v>Feiertag</v>
      </c>
    </row>
    <row r="2002" spans="1:4" x14ac:dyDescent="0.25">
      <c r="A2002" t="s">
        <v>65</v>
      </c>
      <c r="B2002" s="48">
        <v>44196</v>
      </c>
      <c r="C2002" t="s">
        <v>43</v>
      </c>
      <c r="D2002" t="str">
        <f>IF(COUNTIFS(Verweise!$A$2:$A$4542,Übersicht!$C$7,Verweise!$B$2:$B$4542,B2002)=1,"Feiertag",IF(C2002="Samstag","",IF(C2002="Sonntag","",Übersicht!$C$8)))</f>
        <v>Feiertag</v>
      </c>
    </row>
    <row r="2003" spans="1:4" x14ac:dyDescent="0.25">
      <c r="A2003" t="s">
        <v>65</v>
      </c>
      <c r="B2003" s="48">
        <v>44303</v>
      </c>
      <c r="C2003" t="s">
        <v>45</v>
      </c>
      <c r="D2003" t="str">
        <f>IF(COUNTIFS(Verweise!$A$2:$A$4542,Übersicht!$C$7,Verweise!$B$2:$B$4542,B2003)=1,"Feiertag",IF(C2003="Samstag","",IF(C2003="Sonntag","",Übersicht!$C$8)))</f>
        <v>Feiertag</v>
      </c>
    </row>
    <row r="2004" spans="1:4" x14ac:dyDescent="0.25">
      <c r="A2004" t="s">
        <v>65</v>
      </c>
      <c r="B2004" s="48">
        <v>44305</v>
      </c>
      <c r="C2004" t="s">
        <v>46</v>
      </c>
      <c r="D2004" t="str">
        <f>IF(COUNTIFS(Verweise!$A$2:$A$4542,Übersicht!$C$7,Verweise!$B$2:$B$4542,B2004)=1,"Feiertag",IF(C2004="Samstag","",IF(C2004="Sonntag","",Übersicht!$C$8)))</f>
        <v>Feiertag</v>
      </c>
    </row>
    <row r="2005" spans="1:4" x14ac:dyDescent="0.25">
      <c r="A2005" t="s">
        <v>65</v>
      </c>
      <c r="B2005" s="48">
        <v>44306</v>
      </c>
      <c r="C2005" t="s">
        <v>47</v>
      </c>
      <c r="D2005" t="str">
        <f>IF(COUNTIFS(Verweise!$A$2:$A$4542,Übersicht!$C$7,Verweise!$B$2:$B$4542,B2005)=1,"Feiertag",IF(C2005="Samstag","",IF(C2005="Sonntag","",Übersicht!$C$8)))</f>
        <v>Feiertag</v>
      </c>
    </row>
    <row r="2006" spans="1:4" x14ac:dyDescent="0.25">
      <c r="A2006" t="s">
        <v>65</v>
      </c>
      <c r="B2006" s="48">
        <v>44316</v>
      </c>
      <c r="C2006" t="s">
        <v>48</v>
      </c>
      <c r="D2006" t="str">
        <f>IF(COUNTIFS(Verweise!$A$2:$A$4542,Übersicht!$C$7,Verweise!$B$2:$B$4542,B2006)=1,"Feiertag",IF(C2006="Samstag","",IF(C2006="Sonntag","",Übersicht!$C$8)))</f>
        <v>Feiertag</v>
      </c>
    </row>
    <row r="2007" spans="1:4" x14ac:dyDescent="0.25">
      <c r="A2007" t="s">
        <v>65</v>
      </c>
      <c r="B2007" s="48">
        <v>44344</v>
      </c>
      <c r="C2007" t="s">
        <v>49</v>
      </c>
      <c r="D2007" t="str">
        <f>IF(COUNTIFS(Verweise!$A$2:$A$4542,Übersicht!$C$7,Verweise!$B$2:$B$4542,B2007)=1,"Feiertag",IF(C2007="Samstag","",IF(C2007="Sonntag","",Übersicht!$C$8)))</f>
        <v>Feiertag</v>
      </c>
    </row>
    <row r="2008" spans="1:4" x14ac:dyDescent="0.25">
      <c r="A2008" t="s">
        <v>65</v>
      </c>
      <c r="B2008" s="48">
        <v>44354</v>
      </c>
      <c r="C2008" t="s">
        <v>50</v>
      </c>
      <c r="D2008" t="str">
        <f>IF(COUNTIFS(Verweise!$A$2:$A$4542,Übersicht!$C$7,Verweise!$B$2:$B$4542,B2008)=1,"Feiertag",IF(C2008="Samstag","",IF(C2008="Sonntag","",Übersicht!$C$8)))</f>
        <v>Feiertag</v>
      </c>
    </row>
    <row r="2009" spans="1:4" x14ac:dyDescent="0.25">
      <c r="A2009" t="s">
        <v>65</v>
      </c>
      <c r="B2009" s="48">
        <v>44355</v>
      </c>
      <c r="C2009" t="s">
        <v>51</v>
      </c>
      <c r="D2009" t="str">
        <f>IF(COUNTIFS(Verweise!$A$2:$A$4542,Übersicht!$C$7,Verweise!$B$2:$B$4542,B2009)=1,"Feiertag",IF(C2009="Samstag","",IF(C2009="Sonntag","",Übersicht!$C$8)))</f>
        <v>Feiertag</v>
      </c>
    </row>
    <row r="2010" spans="1:4" x14ac:dyDescent="0.25">
      <c r="A2010" t="s">
        <v>65</v>
      </c>
      <c r="B2010" s="48">
        <v>44365</v>
      </c>
      <c r="C2010" t="s">
        <v>52</v>
      </c>
      <c r="D2010" t="str">
        <f>IF(COUNTIFS(Verweise!$A$2:$A$4542,Übersicht!$C$7,Verweise!$B$2:$B$4542,B2010)=1,"Feiertag",IF(C2010="Samstag","",IF(C2010="Sonntag","",Übersicht!$C$8)))</f>
        <v>Feiertag</v>
      </c>
    </row>
    <row r="2011" spans="1:4" x14ac:dyDescent="0.25">
      <c r="A2011" t="s">
        <v>65</v>
      </c>
      <c r="B2011" s="48">
        <v>44471</v>
      </c>
      <c r="C2011" t="s">
        <v>53</v>
      </c>
      <c r="D2011" t="str">
        <f>IF(COUNTIFS(Verweise!$A$2:$A$4542,Übersicht!$C$7,Verweise!$B$2:$B$4542,B2011)=1,"Feiertag",IF(C2011="Samstag","",IF(C2011="Sonntag","",Übersicht!$C$8)))</f>
        <v>Feiertag</v>
      </c>
    </row>
    <row r="2012" spans="1:4" x14ac:dyDescent="0.25">
      <c r="A2012" t="s">
        <v>65</v>
      </c>
      <c r="B2012" s="48">
        <v>44554</v>
      </c>
      <c r="C2012" t="s">
        <v>55</v>
      </c>
      <c r="D2012" t="str">
        <f>IF(COUNTIFS(Verweise!$A$2:$A$4542,Übersicht!$C$7,Verweise!$B$2:$B$4542,B2012)=1,"Feiertag",IF(C2012="Samstag","",IF(C2012="Sonntag","",Übersicht!$C$8)))</f>
        <v>Feiertag</v>
      </c>
    </row>
    <row r="2013" spans="1:4" x14ac:dyDescent="0.25">
      <c r="A2013" t="s">
        <v>65</v>
      </c>
      <c r="B2013" s="48">
        <v>44555</v>
      </c>
      <c r="C2013" t="s">
        <v>56</v>
      </c>
      <c r="D2013" t="str">
        <f>IF(COUNTIFS(Verweise!$A$2:$A$4542,Übersicht!$C$7,Verweise!$B$2:$B$4542,B2013)=1,"Feiertag",IF(C2013="Samstag","",IF(C2013="Sonntag","",Übersicht!$C$8)))</f>
        <v>Feiertag</v>
      </c>
    </row>
    <row r="2014" spans="1:4" x14ac:dyDescent="0.25">
      <c r="A2014" t="s">
        <v>66</v>
      </c>
      <c r="B2014" s="48">
        <v>44196</v>
      </c>
      <c r="C2014" t="s">
        <v>43</v>
      </c>
      <c r="D2014" t="str">
        <f>IF(COUNTIFS(Verweise!$A$2:$A$4542,Übersicht!$C$7,Verweise!$B$2:$B$4542,B2014)=1,"Feiertag",IF(C2014="Samstag","",IF(C2014="Sonntag","",Übersicht!$C$8)))</f>
        <v>Feiertag</v>
      </c>
    </row>
    <row r="2015" spans="1:4" x14ac:dyDescent="0.25">
      <c r="A2015" t="s">
        <v>66</v>
      </c>
      <c r="B2015" s="48">
        <v>44303</v>
      </c>
      <c r="C2015" t="s">
        <v>45</v>
      </c>
      <c r="D2015" t="str">
        <f>IF(COUNTIFS(Verweise!$A$2:$A$4542,Übersicht!$C$7,Verweise!$B$2:$B$4542,B2015)=1,"Feiertag",IF(C2015="Samstag","",IF(C2015="Sonntag","",Übersicht!$C$8)))</f>
        <v>Feiertag</v>
      </c>
    </row>
    <row r="2016" spans="1:4" x14ac:dyDescent="0.25">
      <c r="A2016" t="s">
        <v>66</v>
      </c>
      <c r="B2016" s="48">
        <v>44305</v>
      </c>
      <c r="C2016" t="s">
        <v>46</v>
      </c>
      <c r="D2016" t="str">
        <f>IF(COUNTIFS(Verweise!$A$2:$A$4542,Übersicht!$C$7,Verweise!$B$2:$B$4542,B2016)=1,"Feiertag",IF(C2016="Samstag","",IF(C2016="Sonntag","",Übersicht!$C$8)))</f>
        <v>Feiertag</v>
      </c>
    </row>
    <row r="2017" spans="1:4" x14ac:dyDescent="0.25">
      <c r="A2017" t="s">
        <v>66</v>
      </c>
      <c r="B2017" s="48">
        <v>44306</v>
      </c>
      <c r="C2017" t="s">
        <v>47</v>
      </c>
      <c r="D2017" t="str">
        <f>IF(COUNTIFS(Verweise!$A$2:$A$4542,Übersicht!$C$7,Verweise!$B$2:$B$4542,B2017)=1,"Feiertag",IF(C2017="Samstag","",IF(C2017="Sonntag","",Übersicht!$C$8)))</f>
        <v>Feiertag</v>
      </c>
    </row>
    <row r="2018" spans="1:4" x14ac:dyDescent="0.25">
      <c r="A2018" t="s">
        <v>66</v>
      </c>
      <c r="B2018" s="48">
        <v>44316</v>
      </c>
      <c r="C2018" t="s">
        <v>48</v>
      </c>
      <c r="D2018" t="str">
        <f>IF(COUNTIFS(Verweise!$A$2:$A$4542,Übersicht!$C$7,Verweise!$B$2:$B$4542,B2018)=1,"Feiertag",IF(C2018="Samstag","",IF(C2018="Sonntag","",Übersicht!$C$8)))</f>
        <v>Feiertag</v>
      </c>
    </row>
    <row r="2019" spans="1:4" x14ac:dyDescent="0.25">
      <c r="A2019" t="s">
        <v>66</v>
      </c>
      <c r="B2019" s="48">
        <v>44344</v>
      </c>
      <c r="C2019" t="s">
        <v>49</v>
      </c>
      <c r="D2019" t="str">
        <f>IF(COUNTIFS(Verweise!$A$2:$A$4542,Übersicht!$C$7,Verweise!$B$2:$B$4542,B2019)=1,"Feiertag",IF(C2019="Samstag","",IF(C2019="Sonntag","",Übersicht!$C$8)))</f>
        <v>Feiertag</v>
      </c>
    </row>
    <row r="2020" spans="1:4" x14ac:dyDescent="0.25">
      <c r="A2020" t="s">
        <v>66</v>
      </c>
      <c r="B2020" s="48">
        <v>44354</v>
      </c>
      <c r="C2020" t="s">
        <v>50</v>
      </c>
      <c r="D2020" t="str">
        <f>IF(COUNTIFS(Verweise!$A$2:$A$4542,Übersicht!$C$7,Verweise!$B$2:$B$4542,B2020)=1,"Feiertag",IF(C2020="Samstag","",IF(C2020="Sonntag","",Übersicht!$C$8)))</f>
        <v>Feiertag</v>
      </c>
    </row>
    <row r="2021" spans="1:4" x14ac:dyDescent="0.25">
      <c r="A2021" t="s">
        <v>66</v>
      </c>
      <c r="B2021" s="48">
        <v>44355</v>
      </c>
      <c r="C2021" t="s">
        <v>51</v>
      </c>
      <c r="D2021" t="str">
        <f>IF(COUNTIFS(Verweise!$A$2:$A$4542,Übersicht!$C$7,Verweise!$B$2:$B$4542,B2021)=1,"Feiertag",IF(C2021="Samstag","",IF(C2021="Sonntag","",Übersicht!$C$8)))</f>
        <v>Feiertag</v>
      </c>
    </row>
    <row r="2022" spans="1:4" x14ac:dyDescent="0.25">
      <c r="A2022" t="s">
        <v>66</v>
      </c>
      <c r="B2022" s="48">
        <v>44471</v>
      </c>
      <c r="C2022" t="s">
        <v>53</v>
      </c>
      <c r="D2022" t="str">
        <f>IF(COUNTIFS(Verweise!$A$2:$A$4542,Übersicht!$C$7,Verweise!$B$2:$B$4542,B2022)=1,"Feiertag",IF(C2022="Samstag","",IF(C2022="Sonntag","",Übersicht!$C$8)))</f>
        <v>Feiertag</v>
      </c>
    </row>
    <row r="2023" spans="1:4" x14ac:dyDescent="0.25">
      <c r="A2023" t="s">
        <v>66</v>
      </c>
      <c r="B2023" s="48">
        <v>44499</v>
      </c>
      <c r="C2023" t="s">
        <v>62</v>
      </c>
      <c r="D2023" t="str">
        <f>IF(COUNTIFS(Verweise!$A$2:$A$4542,Übersicht!$C$7,Verweise!$B$2:$B$4542,B2023)=1,"Feiertag",IF(C2023="Samstag","",IF(C2023="Sonntag","",Übersicht!$C$8)))</f>
        <v>Büro</v>
      </c>
    </row>
    <row r="2024" spans="1:4" x14ac:dyDescent="0.25">
      <c r="A2024" t="s">
        <v>66</v>
      </c>
      <c r="B2024" s="48">
        <v>44554</v>
      </c>
      <c r="C2024" t="s">
        <v>55</v>
      </c>
      <c r="D2024" t="str">
        <f>IF(COUNTIFS(Verweise!$A$2:$A$4542,Übersicht!$C$7,Verweise!$B$2:$B$4542,B2024)=1,"Feiertag",IF(C2024="Samstag","",IF(C2024="Sonntag","",Übersicht!$C$8)))</f>
        <v>Feiertag</v>
      </c>
    </row>
    <row r="2025" spans="1:4" x14ac:dyDescent="0.25">
      <c r="A2025" t="s">
        <v>66</v>
      </c>
      <c r="B2025" s="48">
        <v>44555</v>
      </c>
      <c r="C2025" t="s">
        <v>56</v>
      </c>
      <c r="D2025" t="str">
        <f>IF(COUNTIFS(Verweise!$A$2:$A$4542,Übersicht!$C$7,Verweise!$B$2:$B$4542,B2025)=1,"Feiertag",IF(C2025="Samstag","",IF(C2025="Sonntag","",Übersicht!$C$8)))</f>
        <v>Feiertag</v>
      </c>
    </row>
    <row r="2026" spans="1:4" x14ac:dyDescent="0.25">
      <c r="A2026" t="s">
        <v>67</v>
      </c>
      <c r="B2026" s="48">
        <v>44196</v>
      </c>
      <c r="C2026" t="s">
        <v>43</v>
      </c>
      <c r="D2026" t="str">
        <f>IF(COUNTIFS(Verweise!$A$2:$A$4542,Übersicht!$C$7,Verweise!$B$2:$B$4542,B2026)=1,"Feiertag",IF(C2026="Samstag","",IF(C2026="Sonntag","",Übersicht!$C$8)))</f>
        <v>Feiertag</v>
      </c>
    </row>
    <row r="2027" spans="1:4" x14ac:dyDescent="0.25">
      <c r="A2027" t="s">
        <v>67</v>
      </c>
      <c r="B2027" s="48">
        <v>44303</v>
      </c>
      <c r="C2027" t="s">
        <v>45</v>
      </c>
      <c r="D2027" t="str">
        <f>IF(COUNTIFS(Verweise!$A$2:$A$4542,Übersicht!$C$7,Verweise!$B$2:$B$4542,B2027)=1,"Feiertag",IF(C2027="Samstag","",IF(C2027="Sonntag","",Übersicht!$C$8)))</f>
        <v>Feiertag</v>
      </c>
    </row>
    <row r="2028" spans="1:4" x14ac:dyDescent="0.25">
      <c r="A2028" t="s">
        <v>67</v>
      </c>
      <c r="B2028" s="48">
        <v>44305</v>
      </c>
      <c r="C2028" t="s">
        <v>46</v>
      </c>
      <c r="D2028" t="str">
        <f>IF(COUNTIFS(Verweise!$A$2:$A$4542,Übersicht!$C$7,Verweise!$B$2:$B$4542,B2028)=1,"Feiertag",IF(C2028="Samstag","",IF(C2028="Sonntag","",Übersicht!$C$8)))</f>
        <v>Feiertag</v>
      </c>
    </row>
    <row r="2029" spans="1:4" x14ac:dyDescent="0.25">
      <c r="A2029" t="s">
        <v>67</v>
      </c>
      <c r="B2029" s="48">
        <v>44306</v>
      </c>
      <c r="C2029" t="s">
        <v>47</v>
      </c>
      <c r="D2029" t="str">
        <f>IF(COUNTIFS(Verweise!$A$2:$A$4542,Übersicht!$C$7,Verweise!$B$2:$B$4542,B2029)=1,"Feiertag",IF(C2029="Samstag","",IF(C2029="Sonntag","",Übersicht!$C$8)))</f>
        <v>Feiertag</v>
      </c>
    </row>
    <row r="2030" spans="1:4" x14ac:dyDescent="0.25">
      <c r="A2030" t="s">
        <v>67</v>
      </c>
      <c r="B2030" s="48">
        <v>44316</v>
      </c>
      <c r="C2030" t="s">
        <v>48</v>
      </c>
      <c r="D2030" t="str">
        <f>IF(COUNTIFS(Verweise!$A$2:$A$4542,Übersicht!$C$7,Verweise!$B$2:$B$4542,B2030)=1,"Feiertag",IF(C2030="Samstag","",IF(C2030="Sonntag","",Übersicht!$C$8)))</f>
        <v>Feiertag</v>
      </c>
    </row>
    <row r="2031" spans="1:4" x14ac:dyDescent="0.25">
      <c r="A2031" t="s">
        <v>67</v>
      </c>
      <c r="B2031" s="48">
        <v>44344</v>
      </c>
      <c r="C2031" t="s">
        <v>49</v>
      </c>
      <c r="D2031" t="str">
        <f>IF(COUNTIFS(Verweise!$A$2:$A$4542,Übersicht!$C$7,Verweise!$B$2:$B$4542,B2031)=1,"Feiertag",IF(C2031="Samstag","",IF(C2031="Sonntag","",Übersicht!$C$8)))</f>
        <v>Feiertag</v>
      </c>
    </row>
    <row r="2032" spans="1:4" x14ac:dyDescent="0.25">
      <c r="A2032" t="s">
        <v>67</v>
      </c>
      <c r="B2032" s="48">
        <v>44354</v>
      </c>
      <c r="C2032" t="s">
        <v>50</v>
      </c>
      <c r="D2032" t="str">
        <f>IF(COUNTIFS(Verweise!$A$2:$A$4542,Übersicht!$C$7,Verweise!$B$2:$B$4542,B2032)=1,"Feiertag",IF(C2032="Samstag","",IF(C2032="Sonntag","",Übersicht!$C$8)))</f>
        <v>Feiertag</v>
      </c>
    </row>
    <row r="2033" spans="1:4" x14ac:dyDescent="0.25">
      <c r="A2033" t="s">
        <v>67</v>
      </c>
      <c r="B2033" s="48">
        <v>44355</v>
      </c>
      <c r="C2033" t="s">
        <v>51</v>
      </c>
      <c r="D2033" t="str">
        <f>IF(COUNTIFS(Verweise!$A$2:$A$4542,Übersicht!$C$7,Verweise!$B$2:$B$4542,B2033)=1,"Feiertag",IF(C2033="Samstag","",IF(C2033="Sonntag","",Übersicht!$C$8)))</f>
        <v>Feiertag</v>
      </c>
    </row>
    <row r="2034" spans="1:4" x14ac:dyDescent="0.25">
      <c r="A2034" t="s">
        <v>67</v>
      </c>
      <c r="B2034" s="48">
        <v>44471</v>
      </c>
      <c r="C2034" t="s">
        <v>53</v>
      </c>
      <c r="D2034" t="str">
        <f>IF(COUNTIFS(Verweise!$A$2:$A$4542,Übersicht!$C$7,Verweise!$B$2:$B$4542,B2034)=1,"Feiertag",IF(C2034="Samstag","",IF(C2034="Sonntag","",Übersicht!$C$8)))</f>
        <v>Feiertag</v>
      </c>
    </row>
    <row r="2035" spans="1:4" x14ac:dyDescent="0.25">
      <c r="A2035" t="s">
        <v>67</v>
      </c>
      <c r="B2035" s="48">
        <v>44554</v>
      </c>
      <c r="C2035" t="s">
        <v>55</v>
      </c>
      <c r="D2035" t="str">
        <f>IF(COUNTIFS(Verweise!$A$2:$A$4542,Übersicht!$C$7,Verweise!$B$2:$B$4542,B2035)=1,"Feiertag",IF(C2035="Samstag","",IF(C2035="Sonntag","",Übersicht!$C$8)))</f>
        <v>Feiertag</v>
      </c>
    </row>
    <row r="2036" spans="1:4" x14ac:dyDescent="0.25">
      <c r="A2036" t="s">
        <v>67</v>
      </c>
      <c r="B2036" s="48">
        <v>44555</v>
      </c>
      <c r="C2036" t="s">
        <v>56</v>
      </c>
      <c r="D2036" t="str">
        <f>IF(COUNTIFS(Verweise!$A$2:$A$4542,Übersicht!$C$7,Verweise!$B$2:$B$4542,B2036)=1,"Feiertag",IF(C2036="Samstag","",IF(C2036="Sonntag","",Übersicht!$C$8)))</f>
        <v>Feiertag</v>
      </c>
    </row>
    <row r="2037" spans="1:4" x14ac:dyDescent="0.25">
      <c r="A2037" t="s">
        <v>68</v>
      </c>
      <c r="B2037" s="48">
        <v>44196</v>
      </c>
      <c r="C2037" t="s">
        <v>43</v>
      </c>
      <c r="D2037" t="str">
        <f>IF(COUNTIFS(Verweise!$A$2:$A$4542,Übersicht!$C$7,Verweise!$B$2:$B$4542,B2037)=1,"Feiertag",IF(C2037="Samstag","",IF(C2037="Sonntag","",Übersicht!$C$8)))</f>
        <v>Feiertag</v>
      </c>
    </row>
    <row r="2038" spans="1:4" x14ac:dyDescent="0.25">
      <c r="A2038" t="s">
        <v>68</v>
      </c>
      <c r="B2038" s="48">
        <v>44303</v>
      </c>
      <c r="C2038" t="s">
        <v>45</v>
      </c>
      <c r="D2038" t="str">
        <f>IF(COUNTIFS(Verweise!$A$2:$A$4542,Übersicht!$C$7,Verweise!$B$2:$B$4542,B2038)=1,"Feiertag",IF(C2038="Samstag","",IF(C2038="Sonntag","",Übersicht!$C$8)))</f>
        <v>Feiertag</v>
      </c>
    </row>
    <row r="2039" spans="1:4" x14ac:dyDescent="0.25">
      <c r="A2039" t="s">
        <v>68</v>
      </c>
      <c r="B2039" s="48">
        <v>44305</v>
      </c>
      <c r="C2039" t="s">
        <v>46</v>
      </c>
      <c r="D2039" t="str">
        <f>IF(COUNTIFS(Verweise!$A$2:$A$4542,Übersicht!$C$7,Verweise!$B$2:$B$4542,B2039)=1,"Feiertag",IF(C2039="Samstag","",IF(C2039="Sonntag","",Übersicht!$C$8)))</f>
        <v>Feiertag</v>
      </c>
    </row>
    <row r="2040" spans="1:4" x14ac:dyDescent="0.25">
      <c r="A2040" t="s">
        <v>68</v>
      </c>
      <c r="B2040" s="48">
        <v>44306</v>
      </c>
      <c r="C2040" t="s">
        <v>47</v>
      </c>
      <c r="D2040" t="str">
        <f>IF(COUNTIFS(Verweise!$A$2:$A$4542,Übersicht!$C$7,Verweise!$B$2:$B$4542,B2040)=1,"Feiertag",IF(C2040="Samstag","",IF(C2040="Sonntag","",Übersicht!$C$8)))</f>
        <v>Feiertag</v>
      </c>
    </row>
    <row r="2041" spans="1:4" x14ac:dyDescent="0.25">
      <c r="A2041" t="s">
        <v>68</v>
      </c>
      <c r="B2041" s="48">
        <v>44316</v>
      </c>
      <c r="C2041" t="s">
        <v>48</v>
      </c>
      <c r="D2041" t="str">
        <f>IF(COUNTIFS(Verweise!$A$2:$A$4542,Übersicht!$C$7,Verweise!$B$2:$B$4542,B2041)=1,"Feiertag",IF(C2041="Samstag","",IF(C2041="Sonntag","",Übersicht!$C$8)))</f>
        <v>Feiertag</v>
      </c>
    </row>
    <row r="2042" spans="1:4" x14ac:dyDescent="0.25">
      <c r="A2042" t="s">
        <v>68</v>
      </c>
      <c r="B2042" s="48">
        <v>44344</v>
      </c>
      <c r="C2042" t="s">
        <v>49</v>
      </c>
      <c r="D2042" t="str">
        <f>IF(COUNTIFS(Verweise!$A$2:$A$4542,Übersicht!$C$7,Verweise!$B$2:$B$4542,B2042)=1,"Feiertag",IF(C2042="Samstag","",IF(C2042="Sonntag","",Übersicht!$C$8)))</f>
        <v>Feiertag</v>
      </c>
    </row>
    <row r="2043" spans="1:4" x14ac:dyDescent="0.25">
      <c r="A2043" t="s">
        <v>68</v>
      </c>
      <c r="B2043" s="48">
        <v>44354</v>
      </c>
      <c r="C2043" t="s">
        <v>50</v>
      </c>
      <c r="D2043" t="str">
        <f>IF(COUNTIFS(Verweise!$A$2:$A$4542,Übersicht!$C$7,Verweise!$B$2:$B$4542,B2043)=1,"Feiertag",IF(C2043="Samstag","",IF(C2043="Sonntag","",Übersicht!$C$8)))</f>
        <v>Feiertag</v>
      </c>
    </row>
    <row r="2044" spans="1:4" x14ac:dyDescent="0.25">
      <c r="A2044" t="s">
        <v>68</v>
      </c>
      <c r="B2044" s="48">
        <v>44355</v>
      </c>
      <c r="C2044" t="s">
        <v>51</v>
      </c>
      <c r="D2044" t="str">
        <f>IF(COUNTIFS(Verweise!$A$2:$A$4542,Übersicht!$C$7,Verweise!$B$2:$B$4542,B2044)=1,"Feiertag",IF(C2044="Samstag","",IF(C2044="Sonntag","",Übersicht!$C$8)))</f>
        <v>Feiertag</v>
      </c>
    </row>
    <row r="2045" spans="1:4" x14ac:dyDescent="0.25">
      <c r="A2045" t="s">
        <v>68</v>
      </c>
      <c r="B2045" s="48">
        <v>44365</v>
      </c>
      <c r="C2045" t="s">
        <v>52</v>
      </c>
      <c r="D2045" t="str">
        <f>IF(COUNTIFS(Verweise!$A$2:$A$4542,Übersicht!$C$7,Verweise!$B$2:$B$4542,B2045)=1,"Feiertag",IF(C2045="Samstag","",IF(C2045="Sonntag","",Übersicht!$C$8)))</f>
        <v>Feiertag</v>
      </c>
    </row>
    <row r="2046" spans="1:4" x14ac:dyDescent="0.25">
      <c r="A2046" t="s">
        <v>68</v>
      </c>
      <c r="B2046" s="48">
        <v>44471</v>
      </c>
      <c r="C2046" t="s">
        <v>53</v>
      </c>
      <c r="D2046" t="str">
        <f>IF(COUNTIFS(Verweise!$A$2:$A$4542,Übersicht!$C$7,Verweise!$B$2:$B$4542,B2046)=1,"Feiertag",IF(C2046="Samstag","",IF(C2046="Sonntag","",Übersicht!$C$8)))</f>
        <v>Feiertag</v>
      </c>
    </row>
    <row r="2047" spans="1:4" x14ac:dyDescent="0.25">
      <c r="A2047" t="s">
        <v>68</v>
      </c>
      <c r="B2047" s="48">
        <v>44500</v>
      </c>
      <c r="C2047" t="s">
        <v>54</v>
      </c>
      <c r="D2047" t="str">
        <f>IF(COUNTIFS(Verweise!$A$2:$A$4542,Übersicht!$C$7,Verweise!$B$2:$B$4542,B2047)=1,"Feiertag",IF(C2047="Samstag","",IF(C2047="Sonntag","",Übersicht!$C$8)))</f>
        <v>Feiertag</v>
      </c>
    </row>
    <row r="2048" spans="1:4" x14ac:dyDescent="0.25">
      <c r="A2048" t="s">
        <v>68</v>
      </c>
      <c r="B2048" s="48">
        <v>44554</v>
      </c>
      <c r="C2048" t="s">
        <v>55</v>
      </c>
      <c r="D2048" t="str">
        <f>IF(COUNTIFS(Verweise!$A$2:$A$4542,Übersicht!$C$7,Verweise!$B$2:$B$4542,B2048)=1,"Feiertag",IF(C2048="Samstag","",IF(C2048="Sonntag","",Übersicht!$C$8)))</f>
        <v>Feiertag</v>
      </c>
    </row>
    <row r="2049" spans="1:4" x14ac:dyDescent="0.25">
      <c r="A2049" t="s">
        <v>68</v>
      </c>
      <c r="B2049" s="48">
        <v>44555</v>
      </c>
      <c r="C2049" t="s">
        <v>56</v>
      </c>
      <c r="D2049" t="str">
        <f>IF(COUNTIFS(Verweise!$A$2:$A$4542,Übersicht!$C$7,Verweise!$B$2:$B$4542,B2049)=1,"Feiertag",IF(C2049="Samstag","",IF(C2049="Sonntag","",Übersicht!$C$8)))</f>
        <v>Feiertag</v>
      </c>
    </row>
    <row r="2050" spans="1:4" x14ac:dyDescent="0.25">
      <c r="A2050" t="s">
        <v>69</v>
      </c>
      <c r="B2050" s="48">
        <v>44196</v>
      </c>
      <c r="C2050" t="s">
        <v>43</v>
      </c>
      <c r="D2050" t="str">
        <f>IF(COUNTIFS(Verweise!$A$2:$A$4542,Übersicht!$C$7,Verweise!$B$2:$B$4542,B2050)=1,"Feiertag",IF(C2050="Samstag","",IF(C2050="Sonntag","",Übersicht!$C$8)))</f>
        <v>Feiertag</v>
      </c>
    </row>
    <row r="2051" spans="1:4" x14ac:dyDescent="0.25">
      <c r="A2051" t="s">
        <v>69</v>
      </c>
      <c r="B2051" s="48">
        <v>44303</v>
      </c>
      <c r="C2051" t="s">
        <v>45</v>
      </c>
      <c r="D2051" t="str">
        <f>IF(COUNTIFS(Verweise!$A$2:$A$4542,Übersicht!$C$7,Verweise!$B$2:$B$4542,B2051)=1,"Feiertag",IF(C2051="Samstag","",IF(C2051="Sonntag","",Übersicht!$C$8)))</f>
        <v>Feiertag</v>
      </c>
    </row>
    <row r="2052" spans="1:4" x14ac:dyDescent="0.25">
      <c r="A2052" t="s">
        <v>69</v>
      </c>
      <c r="B2052" s="48">
        <v>44305</v>
      </c>
      <c r="C2052" t="s">
        <v>46</v>
      </c>
      <c r="D2052" t="str">
        <f>IF(COUNTIFS(Verweise!$A$2:$A$4542,Übersicht!$C$7,Verweise!$B$2:$B$4542,B2052)=1,"Feiertag",IF(C2052="Samstag","",IF(C2052="Sonntag","",Übersicht!$C$8)))</f>
        <v>Feiertag</v>
      </c>
    </row>
    <row r="2053" spans="1:4" x14ac:dyDescent="0.25">
      <c r="A2053" t="s">
        <v>69</v>
      </c>
      <c r="B2053" s="48">
        <v>44306</v>
      </c>
      <c r="C2053" t="s">
        <v>47</v>
      </c>
      <c r="D2053" t="str">
        <f>IF(COUNTIFS(Verweise!$A$2:$A$4542,Übersicht!$C$7,Verweise!$B$2:$B$4542,B2053)=1,"Feiertag",IF(C2053="Samstag","",IF(C2053="Sonntag","",Übersicht!$C$8)))</f>
        <v>Feiertag</v>
      </c>
    </row>
    <row r="2054" spans="1:4" x14ac:dyDescent="0.25">
      <c r="A2054" t="s">
        <v>69</v>
      </c>
      <c r="B2054" s="48">
        <v>44316</v>
      </c>
      <c r="C2054" t="s">
        <v>48</v>
      </c>
      <c r="D2054" t="str">
        <f>IF(COUNTIFS(Verweise!$A$2:$A$4542,Übersicht!$C$7,Verweise!$B$2:$B$4542,B2054)=1,"Feiertag",IF(C2054="Samstag","",IF(C2054="Sonntag","",Übersicht!$C$8)))</f>
        <v>Feiertag</v>
      </c>
    </row>
    <row r="2055" spans="1:4" x14ac:dyDescent="0.25">
      <c r="A2055" t="s">
        <v>69</v>
      </c>
      <c r="B2055" s="48">
        <v>44344</v>
      </c>
      <c r="C2055" t="s">
        <v>49</v>
      </c>
      <c r="D2055" t="str">
        <f>IF(COUNTIFS(Verweise!$A$2:$A$4542,Übersicht!$C$7,Verweise!$B$2:$B$4542,B2055)=1,"Feiertag",IF(C2055="Samstag","",IF(C2055="Sonntag","",Übersicht!$C$8)))</f>
        <v>Feiertag</v>
      </c>
    </row>
    <row r="2056" spans="1:4" x14ac:dyDescent="0.25">
      <c r="A2056" t="s">
        <v>69</v>
      </c>
      <c r="B2056" s="48">
        <v>44354</v>
      </c>
      <c r="C2056" t="s">
        <v>50</v>
      </c>
      <c r="D2056" t="str">
        <f>IF(COUNTIFS(Verweise!$A$2:$A$4542,Übersicht!$C$7,Verweise!$B$2:$B$4542,B2056)=1,"Feiertag",IF(C2056="Samstag","",IF(C2056="Sonntag","",Übersicht!$C$8)))</f>
        <v>Feiertag</v>
      </c>
    </row>
    <row r="2057" spans="1:4" x14ac:dyDescent="0.25">
      <c r="A2057" t="s">
        <v>69</v>
      </c>
      <c r="B2057" s="48">
        <v>44355</v>
      </c>
      <c r="C2057" t="s">
        <v>51</v>
      </c>
      <c r="D2057" t="str">
        <f>IF(COUNTIFS(Verweise!$A$2:$A$4542,Übersicht!$C$7,Verweise!$B$2:$B$4542,B2057)=1,"Feiertag",IF(C2057="Samstag","",IF(C2057="Sonntag","",Übersicht!$C$8)))</f>
        <v>Feiertag</v>
      </c>
    </row>
    <row r="2058" spans="1:4" x14ac:dyDescent="0.25">
      <c r="A2058" t="s">
        <v>69</v>
      </c>
      <c r="B2058" s="48">
        <v>44365</v>
      </c>
      <c r="C2058" t="s">
        <v>52</v>
      </c>
      <c r="D2058" t="str">
        <f>IF(COUNTIFS(Verweise!$A$2:$A$4542,Übersicht!$C$7,Verweise!$B$2:$B$4542,B2058)=1,"Feiertag",IF(C2058="Samstag","",IF(C2058="Sonntag","",Übersicht!$C$8)))</f>
        <v>Feiertag</v>
      </c>
    </row>
    <row r="2059" spans="1:4" x14ac:dyDescent="0.25">
      <c r="A2059" t="s">
        <v>69</v>
      </c>
      <c r="B2059" s="48">
        <v>44471</v>
      </c>
      <c r="C2059" t="s">
        <v>53</v>
      </c>
      <c r="D2059" t="str">
        <f>IF(COUNTIFS(Verweise!$A$2:$A$4542,Übersicht!$C$7,Verweise!$B$2:$B$4542,B2059)=1,"Feiertag",IF(C2059="Samstag","",IF(C2059="Sonntag","",Übersicht!$C$8)))</f>
        <v>Feiertag</v>
      </c>
    </row>
    <row r="2060" spans="1:4" x14ac:dyDescent="0.25">
      <c r="A2060" t="s">
        <v>69</v>
      </c>
      <c r="B2060" s="48">
        <v>44500</v>
      </c>
      <c r="C2060" t="s">
        <v>54</v>
      </c>
      <c r="D2060" t="str">
        <f>IF(COUNTIFS(Verweise!$A$2:$A$4542,Übersicht!$C$7,Verweise!$B$2:$B$4542,B2060)=1,"Feiertag",IF(C2060="Samstag","",IF(C2060="Sonntag","",Übersicht!$C$8)))</f>
        <v>Feiertag</v>
      </c>
    </row>
    <row r="2061" spans="1:4" x14ac:dyDescent="0.25">
      <c r="A2061" t="s">
        <v>69</v>
      </c>
      <c r="B2061" s="48">
        <v>44554</v>
      </c>
      <c r="C2061" t="s">
        <v>55</v>
      </c>
      <c r="D2061" t="str">
        <f>IF(COUNTIFS(Verweise!$A$2:$A$4542,Übersicht!$C$7,Verweise!$B$2:$B$4542,B2061)=1,"Feiertag",IF(C2061="Samstag","",IF(C2061="Sonntag","",Übersicht!$C$8)))</f>
        <v>Feiertag</v>
      </c>
    </row>
    <row r="2062" spans="1:4" x14ac:dyDescent="0.25">
      <c r="A2062" t="s">
        <v>69</v>
      </c>
      <c r="B2062" s="48">
        <v>44555</v>
      </c>
      <c r="C2062" t="s">
        <v>56</v>
      </c>
      <c r="D2062" t="str">
        <f>IF(COUNTIFS(Verweise!$A$2:$A$4542,Übersicht!$C$7,Verweise!$B$2:$B$4542,B2062)=1,"Feiertag",IF(C2062="Samstag","",IF(C2062="Sonntag","",Übersicht!$C$8)))</f>
        <v>Feiertag</v>
      </c>
    </row>
    <row r="2063" spans="1:4" x14ac:dyDescent="0.25">
      <c r="A2063" t="s">
        <v>70</v>
      </c>
      <c r="B2063" s="48">
        <v>44196</v>
      </c>
      <c r="C2063" t="s">
        <v>43</v>
      </c>
      <c r="D2063" t="str">
        <f>IF(COUNTIFS(Verweise!$A$2:$A$4542,Übersicht!$C$7,Verweise!$B$2:$B$4542,B2063)=1,"Feiertag",IF(C2063="Samstag","",IF(C2063="Sonntag","",Übersicht!$C$8)))</f>
        <v>Feiertag</v>
      </c>
    </row>
    <row r="2064" spans="1:4" x14ac:dyDescent="0.25">
      <c r="A2064" t="s">
        <v>70</v>
      </c>
      <c r="B2064" s="48">
        <v>44303</v>
      </c>
      <c r="C2064" t="s">
        <v>45</v>
      </c>
      <c r="D2064" t="str">
        <f>IF(COUNTIFS(Verweise!$A$2:$A$4542,Übersicht!$C$7,Verweise!$B$2:$B$4542,B2064)=1,"Feiertag",IF(C2064="Samstag","",IF(C2064="Sonntag","",Übersicht!$C$8)))</f>
        <v>Feiertag</v>
      </c>
    </row>
    <row r="2065" spans="1:4" x14ac:dyDescent="0.25">
      <c r="A2065" t="s">
        <v>70</v>
      </c>
      <c r="B2065" s="48">
        <v>44305</v>
      </c>
      <c r="C2065" t="s">
        <v>46</v>
      </c>
      <c r="D2065" t="str">
        <f>IF(COUNTIFS(Verweise!$A$2:$A$4542,Übersicht!$C$7,Verweise!$B$2:$B$4542,B2065)=1,"Feiertag",IF(C2065="Samstag","",IF(C2065="Sonntag","",Übersicht!$C$8)))</f>
        <v>Feiertag</v>
      </c>
    </row>
    <row r="2066" spans="1:4" x14ac:dyDescent="0.25">
      <c r="A2066" t="s">
        <v>70</v>
      </c>
      <c r="B2066" s="48">
        <v>44306</v>
      </c>
      <c r="C2066" t="s">
        <v>47</v>
      </c>
      <c r="D2066" t="str">
        <f>IF(COUNTIFS(Verweise!$A$2:$A$4542,Übersicht!$C$7,Verweise!$B$2:$B$4542,B2066)=1,"Feiertag",IF(C2066="Samstag","",IF(C2066="Sonntag","",Übersicht!$C$8)))</f>
        <v>Feiertag</v>
      </c>
    </row>
    <row r="2067" spans="1:4" x14ac:dyDescent="0.25">
      <c r="A2067" t="s">
        <v>70</v>
      </c>
      <c r="B2067" s="48">
        <v>44316</v>
      </c>
      <c r="C2067" t="s">
        <v>48</v>
      </c>
      <c r="D2067" t="str">
        <f>IF(COUNTIFS(Verweise!$A$2:$A$4542,Übersicht!$C$7,Verweise!$B$2:$B$4542,B2067)=1,"Feiertag",IF(C2067="Samstag","",IF(C2067="Sonntag","",Übersicht!$C$8)))</f>
        <v>Feiertag</v>
      </c>
    </row>
    <row r="2068" spans="1:4" x14ac:dyDescent="0.25">
      <c r="A2068" t="s">
        <v>70</v>
      </c>
      <c r="B2068" s="48">
        <v>44344</v>
      </c>
      <c r="C2068" t="s">
        <v>49</v>
      </c>
      <c r="D2068" t="str">
        <f>IF(COUNTIFS(Verweise!$A$2:$A$4542,Übersicht!$C$7,Verweise!$B$2:$B$4542,B2068)=1,"Feiertag",IF(C2068="Samstag","",IF(C2068="Sonntag","",Übersicht!$C$8)))</f>
        <v>Feiertag</v>
      </c>
    </row>
    <row r="2069" spans="1:4" x14ac:dyDescent="0.25">
      <c r="A2069" t="s">
        <v>70</v>
      </c>
      <c r="B2069" s="48">
        <v>44354</v>
      </c>
      <c r="C2069" t="s">
        <v>50</v>
      </c>
      <c r="D2069" t="str">
        <f>IF(COUNTIFS(Verweise!$A$2:$A$4542,Übersicht!$C$7,Verweise!$B$2:$B$4542,B2069)=1,"Feiertag",IF(C2069="Samstag","",IF(C2069="Sonntag","",Übersicht!$C$8)))</f>
        <v>Feiertag</v>
      </c>
    </row>
    <row r="2070" spans="1:4" x14ac:dyDescent="0.25">
      <c r="A2070" t="s">
        <v>70</v>
      </c>
      <c r="B2070" s="48">
        <v>44355</v>
      </c>
      <c r="C2070" t="s">
        <v>51</v>
      </c>
      <c r="D2070" t="str">
        <f>IF(COUNTIFS(Verweise!$A$2:$A$4542,Übersicht!$C$7,Verweise!$B$2:$B$4542,B2070)=1,"Feiertag",IF(C2070="Samstag","",IF(C2070="Sonntag","",Übersicht!$C$8)))</f>
        <v>Feiertag</v>
      </c>
    </row>
    <row r="2071" spans="1:4" x14ac:dyDescent="0.25">
      <c r="A2071" t="s">
        <v>70</v>
      </c>
      <c r="B2071" s="48">
        <v>44365</v>
      </c>
      <c r="C2071" t="s">
        <v>52</v>
      </c>
      <c r="D2071" t="str">
        <f>IF(COUNTIFS(Verweise!$A$2:$A$4542,Übersicht!$C$7,Verweise!$B$2:$B$4542,B2071)=1,"Feiertag",IF(C2071="Samstag","",IF(C2071="Sonntag","",Übersicht!$C$8)))</f>
        <v>Feiertag</v>
      </c>
    </row>
    <row r="2072" spans="1:4" x14ac:dyDescent="0.25">
      <c r="A2072" t="s">
        <v>70</v>
      </c>
      <c r="B2072" s="48">
        <v>44422</v>
      </c>
      <c r="C2072" t="s">
        <v>59</v>
      </c>
      <c r="D2072" t="str">
        <f>IF(COUNTIFS(Verweise!$A$2:$A$4542,Übersicht!$C$7,Verweise!$B$2:$B$4542,B2072)=1,"Feiertag",IF(C2072="Samstag","",IF(C2072="Sonntag","",Übersicht!$C$8)))</f>
        <v>Büro</v>
      </c>
    </row>
    <row r="2073" spans="1:4" x14ac:dyDescent="0.25">
      <c r="A2073" t="s">
        <v>70</v>
      </c>
      <c r="B2073" s="48">
        <v>44471</v>
      </c>
      <c r="C2073" t="s">
        <v>53</v>
      </c>
      <c r="D2073" t="str">
        <f>IF(COUNTIFS(Verweise!$A$2:$A$4542,Übersicht!$C$7,Verweise!$B$2:$B$4542,B2073)=1,"Feiertag",IF(C2073="Samstag","",IF(C2073="Sonntag","",Übersicht!$C$8)))</f>
        <v>Feiertag</v>
      </c>
    </row>
    <row r="2074" spans="1:4" x14ac:dyDescent="0.25">
      <c r="A2074" t="s">
        <v>70</v>
      </c>
      <c r="B2074" s="48">
        <v>44500</v>
      </c>
      <c r="C2074" t="s">
        <v>54</v>
      </c>
      <c r="D2074" t="str">
        <f>IF(COUNTIFS(Verweise!$A$2:$A$4542,Übersicht!$C$7,Verweise!$B$2:$B$4542,B2074)=1,"Feiertag",IF(C2074="Samstag","",IF(C2074="Sonntag","",Übersicht!$C$8)))</f>
        <v>Feiertag</v>
      </c>
    </row>
    <row r="2075" spans="1:4" x14ac:dyDescent="0.25">
      <c r="A2075" t="s">
        <v>70</v>
      </c>
      <c r="B2075" s="48">
        <v>44554</v>
      </c>
      <c r="C2075" t="s">
        <v>55</v>
      </c>
      <c r="D2075" t="str">
        <f>IF(COUNTIFS(Verweise!$A$2:$A$4542,Übersicht!$C$7,Verweise!$B$2:$B$4542,B2075)=1,"Feiertag",IF(C2075="Samstag","",IF(C2075="Sonntag","",Übersicht!$C$8)))</f>
        <v>Feiertag</v>
      </c>
    </row>
    <row r="2076" spans="1:4" x14ac:dyDescent="0.25">
      <c r="A2076" t="s">
        <v>70</v>
      </c>
      <c r="B2076" s="48">
        <v>44555</v>
      </c>
      <c r="C2076" t="s">
        <v>56</v>
      </c>
      <c r="D2076" t="str">
        <f>IF(COUNTIFS(Verweise!$A$2:$A$4542,Übersicht!$C$7,Verweise!$B$2:$B$4542,B2076)=1,"Feiertag",IF(C2076="Samstag","",IF(C2076="Sonntag","",Übersicht!$C$8)))</f>
        <v>Feiertag</v>
      </c>
    </row>
    <row r="2077" spans="1:4" x14ac:dyDescent="0.25">
      <c r="A2077" t="s">
        <v>71</v>
      </c>
      <c r="B2077" s="48">
        <v>44196</v>
      </c>
      <c r="C2077" t="s">
        <v>43</v>
      </c>
      <c r="D2077" t="str">
        <f>IF(COUNTIFS(Verweise!$A$2:$A$4542,Übersicht!$C$7,Verweise!$B$2:$B$4542,B2077)=1,"Feiertag",IF(C2077="Samstag","",IF(C2077="Sonntag","",Übersicht!$C$8)))</f>
        <v>Feiertag</v>
      </c>
    </row>
    <row r="2078" spans="1:4" x14ac:dyDescent="0.25">
      <c r="A2078" t="s">
        <v>71</v>
      </c>
      <c r="B2078" s="48">
        <v>44303</v>
      </c>
      <c r="C2078" t="s">
        <v>45</v>
      </c>
      <c r="D2078" t="str">
        <f>IF(COUNTIFS(Verweise!$A$2:$A$4542,Übersicht!$C$7,Verweise!$B$2:$B$4542,B2078)=1,"Feiertag",IF(C2078="Samstag","",IF(C2078="Sonntag","",Übersicht!$C$8)))</f>
        <v>Feiertag</v>
      </c>
    </row>
    <row r="2079" spans="1:4" x14ac:dyDescent="0.25">
      <c r="A2079" t="s">
        <v>71</v>
      </c>
      <c r="B2079" s="48">
        <v>44305</v>
      </c>
      <c r="C2079" t="s">
        <v>46</v>
      </c>
      <c r="D2079" t="str">
        <f>IF(COUNTIFS(Verweise!$A$2:$A$4542,Übersicht!$C$7,Verweise!$B$2:$B$4542,B2079)=1,"Feiertag",IF(C2079="Samstag","",IF(C2079="Sonntag","",Übersicht!$C$8)))</f>
        <v>Feiertag</v>
      </c>
    </row>
    <row r="2080" spans="1:4" x14ac:dyDescent="0.25">
      <c r="A2080" t="s">
        <v>71</v>
      </c>
      <c r="B2080" s="48">
        <v>44306</v>
      </c>
      <c r="C2080" t="s">
        <v>47</v>
      </c>
      <c r="D2080" t="str">
        <f>IF(COUNTIFS(Verweise!$A$2:$A$4542,Übersicht!$C$7,Verweise!$B$2:$B$4542,B2080)=1,"Feiertag",IF(C2080="Samstag","",IF(C2080="Sonntag","",Übersicht!$C$8)))</f>
        <v>Feiertag</v>
      </c>
    </row>
    <row r="2081" spans="1:4" x14ac:dyDescent="0.25">
      <c r="A2081" t="s">
        <v>71</v>
      </c>
      <c r="B2081" s="48">
        <v>44316</v>
      </c>
      <c r="C2081" t="s">
        <v>48</v>
      </c>
      <c r="D2081" t="str">
        <f>IF(COUNTIFS(Verweise!$A$2:$A$4542,Übersicht!$C$7,Verweise!$B$2:$B$4542,B2081)=1,"Feiertag",IF(C2081="Samstag","",IF(C2081="Sonntag","",Übersicht!$C$8)))</f>
        <v>Feiertag</v>
      </c>
    </row>
    <row r="2082" spans="1:4" x14ac:dyDescent="0.25">
      <c r="A2082" t="s">
        <v>71</v>
      </c>
      <c r="B2082" s="48">
        <v>44344</v>
      </c>
      <c r="C2082" t="s">
        <v>49</v>
      </c>
      <c r="D2082" t="str">
        <f>IF(COUNTIFS(Verweise!$A$2:$A$4542,Übersicht!$C$7,Verweise!$B$2:$B$4542,B2082)=1,"Feiertag",IF(C2082="Samstag","",IF(C2082="Sonntag","",Übersicht!$C$8)))</f>
        <v>Feiertag</v>
      </c>
    </row>
    <row r="2083" spans="1:4" x14ac:dyDescent="0.25">
      <c r="A2083" t="s">
        <v>71</v>
      </c>
      <c r="B2083" s="48">
        <v>44354</v>
      </c>
      <c r="C2083" t="s">
        <v>50</v>
      </c>
      <c r="D2083" t="str">
        <f>IF(COUNTIFS(Verweise!$A$2:$A$4542,Übersicht!$C$7,Verweise!$B$2:$B$4542,B2083)=1,"Feiertag",IF(C2083="Samstag","",IF(C2083="Sonntag","",Übersicht!$C$8)))</f>
        <v>Feiertag</v>
      </c>
    </row>
    <row r="2084" spans="1:4" x14ac:dyDescent="0.25">
      <c r="A2084" t="s">
        <v>71</v>
      </c>
      <c r="B2084" s="48">
        <v>44355</v>
      </c>
      <c r="C2084" t="s">
        <v>51</v>
      </c>
      <c r="D2084" t="str">
        <f>IF(COUNTIFS(Verweise!$A$2:$A$4542,Übersicht!$C$7,Verweise!$B$2:$B$4542,B2084)=1,"Feiertag",IF(C2084="Samstag","",IF(C2084="Sonntag","",Übersicht!$C$8)))</f>
        <v>Feiertag</v>
      </c>
    </row>
    <row r="2085" spans="1:4" x14ac:dyDescent="0.25">
      <c r="A2085" t="s">
        <v>71</v>
      </c>
      <c r="B2085" s="48">
        <v>44471</v>
      </c>
      <c r="C2085" t="s">
        <v>53</v>
      </c>
      <c r="D2085" t="str">
        <f>IF(COUNTIFS(Verweise!$A$2:$A$4542,Übersicht!$C$7,Verweise!$B$2:$B$4542,B2085)=1,"Feiertag",IF(C2085="Samstag","",IF(C2085="Sonntag","",Übersicht!$C$8)))</f>
        <v>Feiertag</v>
      </c>
    </row>
    <row r="2086" spans="1:4" x14ac:dyDescent="0.25">
      <c r="A2086" t="s">
        <v>71</v>
      </c>
      <c r="B2086" s="48">
        <v>44499</v>
      </c>
      <c r="C2086" t="s">
        <v>62</v>
      </c>
      <c r="D2086" t="str">
        <f>IF(COUNTIFS(Verweise!$A$2:$A$4542,Übersicht!$C$7,Verweise!$B$2:$B$4542,B2086)=1,"Feiertag",IF(C2086="Samstag","",IF(C2086="Sonntag","",Übersicht!$C$8)))</f>
        <v>Büro</v>
      </c>
    </row>
    <row r="2087" spans="1:4" x14ac:dyDescent="0.25">
      <c r="A2087" t="s">
        <v>71</v>
      </c>
      <c r="B2087" s="48">
        <v>44518</v>
      </c>
      <c r="C2087" t="s">
        <v>72</v>
      </c>
      <c r="D2087" t="str">
        <f>IF(COUNTIFS(Verweise!$A$2:$A$4542,Übersicht!$C$7,Verweise!$B$2:$B$4542,B2087)=1,"Feiertag",IF(C2087="Samstag","",IF(C2087="Sonntag","",Übersicht!$C$8)))</f>
        <v>Büro</v>
      </c>
    </row>
    <row r="2088" spans="1:4" x14ac:dyDescent="0.25">
      <c r="A2088" t="s">
        <v>71</v>
      </c>
      <c r="B2088" s="48">
        <v>44554</v>
      </c>
      <c r="C2088" t="s">
        <v>55</v>
      </c>
      <c r="D2088" t="str">
        <f>IF(COUNTIFS(Verweise!$A$2:$A$4542,Übersicht!$C$7,Verweise!$B$2:$B$4542,B2088)=1,"Feiertag",IF(C2088="Samstag","",IF(C2088="Sonntag","",Übersicht!$C$8)))</f>
        <v>Feiertag</v>
      </c>
    </row>
    <row r="2089" spans="1:4" x14ac:dyDescent="0.25">
      <c r="A2089" t="s">
        <v>71</v>
      </c>
      <c r="B2089" s="48">
        <v>44555</v>
      </c>
      <c r="C2089" t="s">
        <v>56</v>
      </c>
      <c r="D2089" t="str">
        <f>IF(COUNTIFS(Verweise!$A$2:$A$4542,Übersicht!$C$7,Verweise!$B$2:$B$4542,B2089)=1,"Feiertag",IF(C2089="Samstag","",IF(C2089="Sonntag","",Übersicht!$C$8)))</f>
        <v>Feiertag</v>
      </c>
    </row>
    <row r="2090" spans="1:4" x14ac:dyDescent="0.25">
      <c r="A2090" t="s">
        <v>73</v>
      </c>
      <c r="B2090" s="48">
        <v>44196</v>
      </c>
      <c r="C2090" t="s">
        <v>43</v>
      </c>
      <c r="D2090" t="str">
        <f>IF(COUNTIFS(Verweise!$A$2:$A$4542,Übersicht!$C$7,Verweise!$B$2:$B$4542,B2090)=1,"Feiertag",IF(C2090="Samstag","",IF(C2090="Sonntag","",Übersicht!$C$8)))</f>
        <v>Feiertag</v>
      </c>
    </row>
    <row r="2091" spans="1:4" x14ac:dyDescent="0.25">
      <c r="A2091" t="s">
        <v>73</v>
      </c>
      <c r="B2091" s="48">
        <v>44303</v>
      </c>
      <c r="C2091" t="s">
        <v>45</v>
      </c>
      <c r="D2091" t="str">
        <f>IF(COUNTIFS(Verweise!$A$2:$A$4542,Übersicht!$C$7,Verweise!$B$2:$B$4542,B2091)=1,"Feiertag",IF(C2091="Samstag","",IF(C2091="Sonntag","",Übersicht!$C$8)))</f>
        <v>Feiertag</v>
      </c>
    </row>
    <row r="2092" spans="1:4" x14ac:dyDescent="0.25">
      <c r="A2092" t="s">
        <v>73</v>
      </c>
      <c r="B2092" s="48">
        <v>44305</v>
      </c>
      <c r="C2092" t="s">
        <v>46</v>
      </c>
      <c r="D2092" t="str">
        <f>IF(COUNTIFS(Verweise!$A$2:$A$4542,Übersicht!$C$7,Verweise!$B$2:$B$4542,B2092)=1,"Feiertag",IF(C2092="Samstag","",IF(C2092="Sonntag","",Übersicht!$C$8)))</f>
        <v>Feiertag</v>
      </c>
    </row>
    <row r="2093" spans="1:4" x14ac:dyDescent="0.25">
      <c r="A2093" t="s">
        <v>73</v>
      </c>
      <c r="B2093" s="48">
        <v>44306</v>
      </c>
      <c r="C2093" t="s">
        <v>47</v>
      </c>
      <c r="D2093" t="str">
        <f>IF(COUNTIFS(Verweise!$A$2:$A$4542,Übersicht!$C$7,Verweise!$B$2:$B$4542,B2093)=1,"Feiertag",IF(C2093="Samstag","",IF(C2093="Sonntag","",Übersicht!$C$8)))</f>
        <v>Feiertag</v>
      </c>
    </row>
    <row r="2094" spans="1:4" x14ac:dyDescent="0.25">
      <c r="A2094" t="s">
        <v>73</v>
      </c>
      <c r="B2094" s="48">
        <v>44316</v>
      </c>
      <c r="C2094" t="s">
        <v>48</v>
      </c>
      <c r="D2094" t="str">
        <f>IF(COUNTIFS(Verweise!$A$2:$A$4542,Übersicht!$C$7,Verweise!$B$2:$B$4542,B2094)=1,"Feiertag",IF(C2094="Samstag","",IF(C2094="Sonntag","",Übersicht!$C$8)))</f>
        <v>Feiertag</v>
      </c>
    </row>
    <row r="2095" spans="1:4" x14ac:dyDescent="0.25">
      <c r="A2095" t="s">
        <v>73</v>
      </c>
      <c r="B2095" s="48">
        <v>44344</v>
      </c>
      <c r="C2095" t="s">
        <v>49</v>
      </c>
      <c r="D2095" t="str">
        <f>IF(COUNTIFS(Verweise!$A$2:$A$4542,Übersicht!$C$7,Verweise!$B$2:$B$4542,B2095)=1,"Feiertag",IF(C2095="Samstag","",IF(C2095="Sonntag","",Übersicht!$C$8)))</f>
        <v>Feiertag</v>
      </c>
    </row>
    <row r="2096" spans="1:4" x14ac:dyDescent="0.25">
      <c r="A2096" t="s">
        <v>73</v>
      </c>
      <c r="B2096" s="48">
        <v>44354</v>
      </c>
      <c r="C2096" t="s">
        <v>50</v>
      </c>
      <c r="D2096" t="str">
        <f>IF(COUNTIFS(Verweise!$A$2:$A$4542,Übersicht!$C$7,Verweise!$B$2:$B$4542,B2096)=1,"Feiertag",IF(C2096="Samstag","",IF(C2096="Sonntag","",Übersicht!$C$8)))</f>
        <v>Feiertag</v>
      </c>
    </row>
    <row r="2097" spans="1:4" x14ac:dyDescent="0.25">
      <c r="A2097" t="s">
        <v>73</v>
      </c>
      <c r="B2097" s="48">
        <v>44355</v>
      </c>
      <c r="C2097" t="s">
        <v>51</v>
      </c>
      <c r="D2097" t="str">
        <f>IF(COUNTIFS(Verweise!$A$2:$A$4542,Übersicht!$C$7,Verweise!$B$2:$B$4542,B2097)=1,"Feiertag",IF(C2097="Samstag","",IF(C2097="Sonntag","",Übersicht!$C$8)))</f>
        <v>Feiertag</v>
      </c>
    </row>
    <row r="2098" spans="1:4" x14ac:dyDescent="0.25">
      <c r="A2098" t="s">
        <v>73</v>
      </c>
      <c r="B2098" s="48">
        <v>44365</v>
      </c>
      <c r="C2098" t="s">
        <v>52</v>
      </c>
      <c r="D2098" t="str">
        <f>IF(COUNTIFS(Verweise!$A$2:$A$4542,Übersicht!$C$7,Verweise!$B$2:$B$4542,B2098)=1,"Feiertag",IF(C2098="Samstag","",IF(C2098="Sonntag","",Übersicht!$C$8)))</f>
        <v>Feiertag</v>
      </c>
    </row>
    <row r="2099" spans="1:4" x14ac:dyDescent="0.25">
      <c r="A2099" t="s">
        <v>73</v>
      </c>
      <c r="B2099" s="48">
        <v>44471</v>
      </c>
      <c r="C2099" t="s">
        <v>53</v>
      </c>
      <c r="D2099" t="str">
        <f>IF(COUNTIFS(Verweise!$A$2:$A$4542,Übersicht!$C$7,Verweise!$B$2:$B$4542,B2099)=1,"Feiertag",IF(C2099="Samstag","",IF(C2099="Sonntag","",Übersicht!$C$8)))</f>
        <v>Feiertag</v>
      </c>
    </row>
    <row r="2100" spans="1:4" x14ac:dyDescent="0.25">
      <c r="A2100" t="s">
        <v>73</v>
      </c>
      <c r="B2100" s="48">
        <v>44499</v>
      </c>
      <c r="C2100" t="s">
        <v>62</v>
      </c>
      <c r="D2100" t="str">
        <f>IF(COUNTIFS(Verweise!$A$2:$A$4542,Übersicht!$C$7,Verweise!$B$2:$B$4542,B2100)=1,"Feiertag",IF(C2100="Samstag","",IF(C2100="Sonntag","",Übersicht!$C$8)))</f>
        <v>Büro</v>
      </c>
    </row>
    <row r="2101" spans="1:4" x14ac:dyDescent="0.25">
      <c r="A2101" t="s">
        <v>73</v>
      </c>
      <c r="B2101" s="48">
        <v>44518</v>
      </c>
      <c r="C2101" t="s">
        <v>72</v>
      </c>
      <c r="D2101" t="str">
        <f>IF(COUNTIFS(Verweise!$A$2:$A$4542,Übersicht!$C$7,Verweise!$B$2:$B$4542,B2101)=1,"Feiertag",IF(C2101="Samstag","",IF(C2101="Sonntag","",Übersicht!$C$8)))</f>
        <v>Büro</v>
      </c>
    </row>
    <row r="2102" spans="1:4" x14ac:dyDescent="0.25">
      <c r="A2102" t="s">
        <v>73</v>
      </c>
      <c r="B2102" s="48">
        <v>44554</v>
      </c>
      <c r="C2102" t="s">
        <v>55</v>
      </c>
      <c r="D2102" t="str">
        <f>IF(COUNTIFS(Verweise!$A$2:$A$4542,Übersicht!$C$7,Verweise!$B$2:$B$4542,B2102)=1,"Feiertag",IF(C2102="Samstag","",IF(C2102="Sonntag","",Übersicht!$C$8)))</f>
        <v>Feiertag</v>
      </c>
    </row>
    <row r="2103" spans="1:4" x14ac:dyDescent="0.25">
      <c r="A2103" t="s">
        <v>73</v>
      </c>
      <c r="B2103" s="48">
        <v>44555</v>
      </c>
      <c r="C2103" t="s">
        <v>56</v>
      </c>
      <c r="D2103" t="str">
        <f>IF(COUNTIFS(Verweise!$A$2:$A$4542,Übersicht!$C$7,Verweise!$B$2:$B$4542,B2103)=1,"Feiertag",IF(C2103="Samstag","",IF(C2103="Sonntag","",Übersicht!$C$8)))</f>
        <v>Feiertag</v>
      </c>
    </row>
    <row r="2104" spans="1:4" x14ac:dyDescent="0.25">
      <c r="A2104" t="s">
        <v>74</v>
      </c>
      <c r="B2104" s="48">
        <v>44196</v>
      </c>
      <c r="C2104" t="s">
        <v>43</v>
      </c>
      <c r="D2104" t="str">
        <f>IF(COUNTIFS(Verweise!$A$2:$A$4542,Übersicht!$C$7,Verweise!$B$2:$B$4542,B2104)=1,"Feiertag",IF(C2104="Samstag","",IF(C2104="Sonntag","",Übersicht!$C$8)))</f>
        <v>Feiertag</v>
      </c>
    </row>
    <row r="2105" spans="1:4" x14ac:dyDescent="0.25">
      <c r="A2105" t="s">
        <v>74</v>
      </c>
      <c r="B2105" s="48">
        <v>44201</v>
      </c>
      <c r="C2105" t="s">
        <v>44</v>
      </c>
      <c r="D2105" t="str">
        <f>IF(COUNTIFS(Verweise!$A$2:$A$4542,Übersicht!$C$7,Verweise!$B$2:$B$4542,B2105)=1,"Feiertag",IF(C2105="Samstag","",IF(C2105="Sonntag","",Übersicht!$C$8)))</f>
        <v>Büro</v>
      </c>
    </row>
    <row r="2106" spans="1:4" x14ac:dyDescent="0.25">
      <c r="A2106" t="s">
        <v>74</v>
      </c>
      <c r="B2106" s="48">
        <v>44303</v>
      </c>
      <c r="C2106" t="s">
        <v>45</v>
      </c>
      <c r="D2106" t="str">
        <f>IF(COUNTIFS(Verweise!$A$2:$A$4542,Übersicht!$C$7,Verweise!$B$2:$B$4542,B2106)=1,"Feiertag",IF(C2106="Samstag","",IF(C2106="Sonntag","",Übersicht!$C$8)))</f>
        <v>Feiertag</v>
      </c>
    </row>
    <row r="2107" spans="1:4" x14ac:dyDescent="0.25">
      <c r="A2107" t="s">
        <v>74</v>
      </c>
      <c r="B2107" s="48">
        <v>44305</v>
      </c>
      <c r="C2107" t="s">
        <v>46</v>
      </c>
      <c r="D2107" t="str">
        <f>IF(COUNTIFS(Verweise!$A$2:$A$4542,Übersicht!$C$7,Verweise!$B$2:$B$4542,B2107)=1,"Feiertag",IF(C2107="Samstag","",IF(C2107="Sonntag","",Übersicht!$C$8)))</f>
        <v>Feiertag</v>
      </c>
    </row>
    <row r="2108" spans="1:4" x14ac:dyDescent="0.25">
      <c r="A2108" t="s">
        <v>74</v>
      </c>
      <c r="B2108" s="48">
        <v>44306</v>
      </c>
      <c r="C2108" t="s">
        <v>47</v>
      </c>
      <c r="D2108" t="str">
        <f>IF(COUNTIFS(Verweise!$A$2:$A$4542,Übersicht!$C$7,Verweise!$B$2:$B$4542,B2108)=1,"Feiertag",IF(C2108="Samstag","",IF(C2108="Sonntag","",Übersicht!$C$8)))</f>
        <v>Feiertag</v>
      </c>
    </row>
    <row r="2109" spans="1:4" x14ac:dyDescent="0.25">
      <c r="A2109" t="s">
        <v>74</v>
      </c>
      <c r="B2109" s="48">
        <v>44316</v>
      </c>
      <c r="C2109" t="s">
        <v>48</v>
      </c>
      <c r="D2109" t="str">
        <f>IF(COUNTIFS(Verweise!$A$2:$A$4542,Übersicht!$C$7,Verweise!$B$2:$B$4542,B2109)=1,"Feiertag",IF(C2109="Samstag","",IF(C2109="Sonntag","",Übersicht!$C$8)))</f>
        <v>Feiertag</v>
      </c>
    </row>
    <row r="2110" spans="1:4" x14ac:dyDescent="0.25">
      <c r="A2110" t="s">
        <v>74</v>
      </c>
      <c r="B2110" s="48">
        <v>44344</v>
      </c>
      <c r="C2110" t="s">
        <v>49</v>
      </c>
      <c r="D2110" t="str">
        <f>IF(COUNTIFS(Verweise!$A$2:$A$4542,Übersicht!$C$7,Verweise!$B$2:$B$4542,B2110)=1,"Feiertag",IF(C2110="Samstag","",IF(C2110="Sonntag","",Übersicht!$C$8)))</f>
        <v>Feiertag</v>
      </c>
    </row>
    <row r="2111" spans="1:4" x14ac:dyDescent="0.25">
      <c r="A2111" t="s">
        <v>74</v>
      </c>
      <c r="B2111" s="48">
        <v>44354</v>
      </c>
      <c r="C2111" t="s">
        <v>50</v>
      </c>
      <c r="D2111" t="str">
        <f>IF(COUNTIFS(Verweise!$A$2:$A$4542,Übersicht!$C$7,Verweise!$B$2:$B$4542,B2111)=1,"Feiertag",IF(C2111="Samstag","",IF(C2111="Sonntag","",Übersicht!$C$8)))</f>
        <v>Feiertag</v>
      </c>
    </row>
    <row r="2112" spans="1:4" x14ac:dyDescent="0.25">
      <c r="A2112" t="s">
        <v>74</v>
      </c>
      <c r="B2112" s="48">
        <v>44355</v>
      </c>
      <c r="C2112" t="s">
        <v>51</v>
      </c>
      <c r="D2112" t="str">
        <f>IF(COUNTIFS(Verweise!$A$2:$A$4542,Übersicht!$C$7,Verweise!$B$2:$B$4542,B2112)=1,"Feiertag",IF(C2112="Samstag","",IF(C2112="Sonntag","",Übersicht!$C$8)))</f>
        <v>Feiertag</v>
      </c>
    </row>
    <row r="2113" spans="1:4" x14ac:dyDescent="0.25">
      <c r="A2113" t="s">
        <v>74</v>
      </c>
      <c r="B2113" s="48">
        <v>44471</v>
      </c>
      <c r="C2113" t="s">
        <v>53</v>
      </c>
      <c r="D2113" t="str">
        <f>IF(COUNTIFS(Verweise!$A$2:$A$4542,Übersicht!$C$7,Verweise!$B$2:$B$4542,B2113)=1,"Feiertag",IF(C2113="Samstag","",IF(C2113="Sonntag","",Übersicht!$C$8)))</f>
        <v>Feiertag</v>
      </c>
    </row>
    <row r="2114" spans="1:4" x14ac:dyDescent="0.25">
      <c r="A2114" t="s">
        <v>74</v>
      </c>
      <c r="B2114" s="48">
        <v>44499</v>
      </c>
      <c r="C2114" t="s">
        <v>62</v>
      </c>
      <c r="D2114" t="str">
        <f>IF(COUNTIFS(Verweise!$A$2:$A$4542,Übersicht!$C$7,Verweise!$B$2:$B$4542,B2114)=1,"Feiertag",IF(C2114="Samstag","",IF(C2114="Sonntag","",Übersicht!$C$8)))</f>
        <v>Büro</v>
      </c>
    </row>
    <row r="2115" spans="1:4" x14ac:dyDescent="0.25">
      <c r="A2115" t="s">
        <v>74</v>
      </c>
      <c r="B2115" s="48">
        <v>44554</v>
      </c>
      <c r="C2115" t="s">
        <v>55</v>
      </c>
      <c r="D2115" t="str">
        <f>IF(COUNTIFS(Verweise!$A$2:$A$4542,Übersicht!$C$7,Verweise!$B$2:$B$4542,B2115)=1,"Feiertag",IF(C2115="Samstag","",IF(C2115="Sonntag","",Übersicht!$C$8)))</f>
        <v>Feiertag</v>
      </c>
    </row>
    <row r="2116" spans="1:4" x14ac:dyDescent="0.25">
      <c r="A2116" t="s">
        <v>74</v>
      </c>
      <c r="B2116" s="48">
        <v>44555</v>
      </c>
      <c r="C2116" t="s">
        <v>56</v>
      </c>
      <c r="D2116" t="str">
        <f>IF(COUNTIFS(Verweise!$A$2:$A$4542,Übersicht!$C$7,Verweise!$B$2:$B$4542,B2116)=1,"Feiertag",IF(C2116="Samstag","",IF(C2116="Sonntag","",Übersicht!$C$8)))</f>
        <v>Feiertag</v>
      </c>
    </row>
    <row r="2117" spans="1:4" x14ac:dyDescent="0.25">
      <c r="A2117" t="s">
        <v>75</v>
      </c>
      <c r="B2117" s="48">
        <v>44196</v>
      </c>
      <c r="C2117" t="s">
        <v>43</v>
      </c>
      <c r="D2117" t="str">
        <f>IF(COUNTIFS(Verweise!$A$2:$A$4542,Übersicht!$C$7,Verweise!$B$2:$B$4542,B2117)=1,"Feiertag",IF(C2117="Samstag","",IF(C2117="Sonntag","",Übersicht!$C$8)))</f>
        <v>Feiertag</v>
      </c>
    </row>
    <row r="2118" spans="1:4" x14ac:dyDescent="0.25">
      <c r="A2118" t="s">
        <v>75</v>
      </c>
      <c r="B2118" s="48">
        <v>44303</v>
      </c>
      <c r="C2118" t="s">
        <v>45</v>
      </c>
      <c r="D2118" t="str">
        <f>IF(COUNTIFS(Verweise!$A$2:$A$4542,Übersicht!$C$7,Verweise!$B$2:$B$4542,B2118)=1,"Feiertag",IF(C2118="Samstag","",IF(C2118="Sonntag","",Übersicht!$C$8)))</f>
        <v>Feiertag</v>
      </c>
    </row>
    <row r="2119" spans="1:4" x14ac:dyDescent="0.25">
      <c r="A2119" t="s">
        <v>75</v>
      </c>
      <c r="B2119" s="48">
        <v>44305</v>
      </c>
      <c r="C2119" t="s">
        <v>46</v>
      </c>
      <c r="D2119" t="str">
        <f>IF(COUNTIFS(Verweise!$A$2:$A$4542,Übersicht!$C$7,Verweise!$B$2:$B$4542,B2119)=1,"Feiertag",IF(C2119="Samstag","",IF(C2119="Sonntag","",Übersicht!$C$8)))</f>
        <v>Feiertag</v>
      </c>
    </row>
    <row r="2120" spans="1:4" x14ac:dyDescent="0.25">
      <c r="A2120" t="s">
        <v>75</v>
      </c>
      <c r="B2120" s="48">
        <v>44306</v>
      </c>
      <c r="C2120" t="s">
        <v>47</v>
      </c>
      <c r="D2120" t="str">
        <f>IF(COUNTIFS(Verweise!$A$2:$A$4542,Übersicht!$C$7,Verweise!$B$2:$B$4542,B2120)=1,"Feiertag",IF(C2120="Samstag","",IF(C2120="Sonntag","",Übersicht!$C$8)))</f>
        <v>Feiertag</v>
      </c>
    </row>
    <row r="2121" spans="1:4" x14ac:dyDescent="0.25">
      <c r="A2121" t="s">
        <v>75</v>
      </c>
      <c r="B2121" s="48">
        <v>44316</v>
      </c>
      <c r="C2121" t="s">
        <v>48</v>
      </c>
      <c r="D2121" t="str">
        <f>IF(COUNTIFS(Verweise!$A$2:$A$4542,Übersicht!$C$7,Verweise!$B$2:$B$4542,B2121)=1,"Feiertag",IF(C2121="Samstag","",IF(C2121="Sonntag","",Übersicht!$C$8)))</f>
        <v>Feiertag</v>
      </c>
    </row>
    <row r="2122" spans="1:4" x14ac:dyDescent="0.25">
      <c r="A2122" t="s">
        <v>75</v>
      </c>
      <c r="B2122" s="48">
        <v>44344</v>
      </c>
      <c r="C2122" t="s">
        <v>49</v>
      </c>
      <c r="D2122" t="str">
        <f>IF(COUNTIFS(Verweise!$A$2:$A$4542,Übersicht!$C$7,Verweise!$B$2:$B$4542,B2122)=1,"Feiertag",IF(C2122="Samstag","",IF(C2122="Sonntag","",Übersicht!$C$8)))</f>
        <v>Feiertag</v>
      </c>
    </row>
    <row r="2123" spans="1:4" x14ac:dyDescent="0.25">
      <c r="A2123" t="s">
        <v>75</v>
      </c>
      <c r="B2123" s="48">
        <v>44354</v>
      </c>
      <c r="C2123" t="s">
        <v>50</v>
      </c>
      <c r="D2123" t="str">
        <f>IF(COUNTIFS(Verweise!$A$2:$A$4542,Übersicht!$C$7,Verweise!$B$2:$B$4542,B2123)=1,"Feiertag",IF(C2123="Samstag","",IF(C2123="Sonntag","",Übersicht!$C$8)))</f>
        <v>Feiertag</v>
      </c>
    </row>
    <row r="2124" spans="1:4" x14ac:dyDescent="0.25">
      <c r="A2124" t="s">
        <v>75</v>
      </c>
      <c r="B2124" s="48">
        <v>44355</v>
      </c>
      <c r="C2124" t="s">
        <v>51</v>
      </c>
      <c r="D2124" t="str">
        <f>IF(COUNTIFS(Verweise!$A$2:$A$4542,Übersicht!$C$7,Verweise!$B$2:$B$4542,B2124)=1,"Feiertag",IF(C2124="Samstag","",IF(C2124="Sonntag","",Übersicht!$C$8)))</f>
        <v>Feiertag</v>
      </c>
    </row>
    <row r="2125" spans="1:4" x14ac:dyDescent="0.25">
      <c r="A2125" t="s">
        <v>75</v>
      </c>
      <c r="B2125" s="48">
        <v>44471</v>
      </c>
      <c r="C2125" t="s">
        <v>53</v>
      </c>
      <c r="D2125" t="str">
        <f>IF(COUNTIFS(Verweise!$A$2:$A$4542,Übersicht!$C$7,Verweise!$B$2:$B$4542,B2125)=1,"Feiertag",IF(C2125="Samstag","",IF(C2125="Sonntag","",Übersicht!$C$8)))</f>
        <v>Feiertag</v>
      </c>
    </row>
    <row r="2126" spans="1:4" x14ac:dyDescent="0.25">
      <c r="A2126" t="s">
        <v>75</v>
      </c>
      <c r="B2126" s="48">
        <v>44554</v>
      </c>
      <c r="C2126" t="s">
        <v>55</v>
      </c>
      <c r="D2126" t="str">
        <f>IF(COUNTIFS(Verweise!$A$2:$A$4542,Übersicht!$C$7,Verweise!$B$2:$B$4542,B2126)=1,"Feiertag",IF(C2126="Samstag","",IF(C2126="Sonntag","",Übersicht!$C$8)))</f>
        <v>Feiertag</v>
      </c>
    </row>
    <row r="2127" spans="1:4" x14ac:dyDescent="0.25">
      <c r="A2127" t="s">
        <v>75</v>
      </c>
      <c r="B2127" s="48">
        <v>44555</v>
      </c>
      <c r="C2127" t="s">
        <v>56</v>
      </c>
      <c r="D2127" t="str">
        <f>IF(COUNTIFS(Verweise!$A$2:$A$4542,Übersicht!$C$7,Verweise!$B$2:$B$4542,B2127)=1,"Feiertag",IF(C2127="Samstag","",IF(C2127="Sonntag","",Übersicht!$C$8)))</f>
        <v>Feiertag</v>
      </c>
    </row>
    <row r="2128" spans="1:4" x14ac:dyDescent="0.25">
      <c r="A2128" t="s">
        <v>76</v>
      </c>
      <c r="B2128" s="48">
        <v>44196</v>
      </c>
      <c r="C2128" t="s">
        <v>43</v>
      </c>
      <c r="D2128" t="str">
        <f>IF(COUNTIFS(Verweise!$A$2:$A$4542,Übersicht!$C$7,Verweise!$B$2:$B$4542,B2128)=1,"Feiertag",IF(C2128="Samstag","",IF(C2128="Sonntag","",Übersicht!$C$8)))</f>
        <v>Feiertag</v>
      </c>
    </row>
    <row r="2129" spans="1:4" x14ac:dyDescent="0.25">
      <c r="A2129" t="s">
        <v>76</v>
      </c>
      <c r="B2129" s="48">
        <v>44303</v>
      </c>
      <c r="C2129" t="s">
        <v>45</v>
      </c>
      <c r="D2129" t="str">
        <f>IF(COUNTIFS(Verweise!$A$2:$A$4542,Übersicht!$C$7,Verweise!$B$2:$B$4542,B2129)=1,"Feiertag",IF(C2129="Samstag","",IF(C2129="Sonntag","",Übersicht!$C$8)))</f>
        <v>Feiertag</v>
      </c>
    </row>
    <row r="2130" spans="1:4" x14ac:dyDescent="0.25">
      <c r="A2130" t="s">
        <v>76</v>
      </c>
      <c r="B2130" s="48">
        <v>44305</v>
      </c>
      <c r="C2130" t="s">
        <v>46</v>
      </c>
      <c r="D2130" t="str">
        <f>IF(COUNTIFS(Verweise!$A$2:$A$4542,Übersicht!$C$7,Verweise!$B$2:$B$4542,B2130)=1,"Feiertag",IF(C2130="Samstag","",IF(C2130="Sonntag","",Übersicht!$C$8)))</f>
        <v>Feiertag</v>
      </c>
    </row>
    <row r="2131" spans="1:4" x14ac:dyDescent="0.25">
      <c r="A2131" t="s">
        <v>76</v>
      </c>
      <c r="B2131" s="48">
        <v>44306</v>
      </c>
      <c r="C2131" t="s">
        <v>47</v>
      </c>
      <c r="D2131" t="str">
        <f>IF(COUNTIFS(Verweise!$A$2:$A$4542,Übersicht!$C$7,Verweise!$B$2:$B$4542,B2131)=1,"Feiertag",IF(C2131="Samstag","",IF(C2131="Sonntag","",Übersicht!$C$8)))</f>
        <v>Feiertag</v>
      </c>
    </row>
    <row r="2132" spans="1:4" x14ac:dyDescent="0.25">
      <c r="A2132" t="s">
        <v>76</v>
      </c>
      <c r="B2132" s="48">
        <v>44316</v>
      </c>
      <c r="C2132" t="s">
        <v>48</v>
      </c>
      <c r="D2132" t="str">
        <f>IF(COUNTIFS(Verweise!$A$2:$A$4542,Übersicht!$C$7,Verweise!$B$2:$B$4542,B2132)=1,"Feiertag",IF(C2132="Samstag","",IF(C2132="Sonntag","",Übersicht!$C$8)))</f>
        <v>Feiertag</v>
      </c>
    </row>
    <row r="2133" spans="1:4" x14ac:dyDescent="0.25">
      <c r="A2133" t="s">
        <v>76</v>
      </c>
      <c r="B2133" s="48">
        <v>44344</v>
      </c>
      <c r="C2133" t="s">
        <v>49</v>
      </c>
      <c r="D2133" t="str">
        <f>IF(COUNTIFS(Verweise!$A$2:$A$4542,Übersicht!$C$7,Verweise!$B$2:$B$4542,B2133)=1,"Feiertag",IF(C2133="Samstag","",IF(C2133="Sonntag","",Übersicht!$C$8)))</f>
        <v>Feiertag</v>
      </c>
    </row>
    <row r="2134" spans="1:4" x14ac:dyDescent="0.25">
      <c r="A2134" t="s">
        <v>76</v>
      </c>
      <c r="B2134" s="48">
        <v>44354</v>
      </c>
      <c r="C2134" t="s">
        <v>50</v>
      </c>
      <c r="D2134" t="str">
        <f>IF(COUNTIFS(Verweise!$A$2:$A$4542,Übersicht!$C$7,Verweise!$B$2:$B$4542,B2134)=1,"Feiertag",IF(C2134="Samstag","",IF(C2134="Sonntag","",Übersicht!$C$8)))</f>
        <v>Feiertag</v>
      </c>
    </row>
    <row r="2135" spans="1:4" x14ac:dyDescent="0.25">
      <c r="A2135" t="s">
        <v>76</v>
      </c>
      <c r="B2135" s="48">
        <v>44355</v>
      </c>
      <c r="C2135" t="s">
        <v>51</v>
      </c>
      <c r="D2135" t="str">
        <f>IF(COUNTIFS(Verweise!$A$2:$A$4542,Übersicht!$C$7,Verweise!$B$2:$B$4542,B2135)=1,"Feiertag",IF(C2135="Samstag","",IF(C2135="Sonntag","",Übersicht!$C$8)))</f>
        <v>Feiertag</v>
      </c>
    </row>
    <row r="2136" spans="1:4" x14ac:dyDescent="0.25">
      <c r="A2136" t="s">
        <v>76</v>
      </c>
      <c r="B2136" s="48">
        <v>44471</v>
      </c>
      <c r="C2136" t="s">
        <v>53</v>
      </c>
      <c r="D2136" t="str">
        <f>IF(COUNTIFS(Verweise!$A$2:$A$4542,Übersicht!$C$7,Verweise!$B$2:$B$4542,B2136)=1,"Feiertag",IF(C2136="Samstag","",IF(C2136="Sonntag","",Übersicht!$C$8)))</f>
        <v>Feiertag</v>
      </c>
    </row>
    <row r="2137" spans="1:4" x14ac:dyDescent="0.25">
      <c r="A2137" t="s">
        <v>76</v>
      </c>
      <c r="B2137" s="48">
        <v>44499</v>
      </c>
      <c r="C2137" t="s">
        <v>62</v>
      </c>
      <c r="D2137" t="str">
        <f>IF(COUNTIFS(Verweise!$A$2:$A$4542,Übersicht!$C$7,Verweise!$B$2:$B$4542,B2137)=1,"Feiertag",IF(C2137="Samstag","",IF(C2137="Sonntag","",Übersicht!$C$8)))</f>
        <v>Büro</v>
      </c>
    </row>
    <row r="2138" spans="1:4" x14ac:dyDescent="0.25">
      <c r="A2138" t="s">
        <v>76</v>
      </c>
      <c r="B2138" s="48">
        <v>44554</v>
      </c>
      <c r="C2138" t="s">
        <v>55</v>
      </c>
      <c r="D2138" t="str">
        <f>IF(COUNTIFS(Verweise!$A$2:$A$4542,Übersicht!$C$7,Verweise!$B$2:$B$4542,B2138)=1,"Feiertag",IF(C2138="Samstag","",IF(C2138="Sonntag","",Übersicht!$C$8)))</f>
        <v>Feiertag</v>
      </c>
    </row>
    <row r="2139" spans="1:4" x14ac:dyDescent="0.25">
      <c r="A2139" t="s">
        <v>76</v>
      </c>
      <c r="B2139" s="48">
        <v>44555</v>
      </c>
      <c r="C2139" t="s">
        <v>56</v>
      </c>
      <c r="D2139" t="str">
        <f>IF(COUNTIFS(Verweise!$A$2:$A$4542,Übersicht!$C$7,Verweise!$B$2:$B$4542,B2139)=1,"Feiertag",IF(C2139="Samstag","",IF(C2139="Sonntag","",Übersicht!$C$8)))</f>
        <v>Feiertag</v>
      </c>
    </row>
    <row r="2140" spans="1:4" x14ac:dyDescent="0.25">
      <c r="A2140" t="s">
        <v>77</v>
      </c>
      <c r="B2140" s="48">
        <v>44196</v>
      </c>
      <c r="C2140" t="s">
        <v>43</v>
      </c>
      <c r="D2140" t="str">
        <f>IF(COUNTIFS(Verweise!$A$2:$A$4542,Übersicht!$C$7,Verweise!$B$2:$B$4542,B2140)=1,"Feiertag",IF(C2140="Samstag","",IF(C2140="Sonntag","",Übersicht!$C$8)))</f>
        <v>Feiertag</v>
      </c>
    </row>
    <row r="2141" spans="1:4" x14ac:dyDescent="0.25">
      <c r="A2141" t="s">
        <v>77</v>
      </c>
      <c r="B2141" s="48">
        <v>44303</v>
      </c>
      <c r="C2141" t="s">
        <v>45</v>
      </c>
      <c r="D2141" t="str">
        <f>IF(COUNTIFS(Verweise!$A$2:$A$4542,Übersicht!$C$7,Verweise!$B$2:$B$4542,B2141)=1,"Feiertag",IF(C2141="Samstag","",IF(C2141="Sonntag","",Übersicht!$C$8)))</f>
        <v>Feiertag</v>
      </c>
    </row>
    <row r="2142" spans="1:4" x14ac:dyDescent="0.25">
      <c r="A2142" t="s">
        <v>77</v>
      </c>
      <c r="B2142" s="48">
        <v>44305</v>
      </c>
      <c r="C2142" t="s">
        <v>46</v>
      </c>
      <c r="D2142" t="str">
        <f>IF(COUNTIFS(Verweise!$A$2:$A$4542,Übersicht!$C$7,Verweise!$B$2:$B$4542,B2142)=1,"Feiertag",IF(C2142="Samstag","",IF(C2142="Sonntag","",Übersicht!$C$8)))</f>
        <v>Feiertag</v>
      </c>
    </row>
    <row r="2143" spans="1:4" x14ac:dyDescent="0.25">
      <c r="A2143" t="s">
        <v>77</v>
      </c>
      <c r="B2143" s="48">
        <v>44306</v>
      </c>
      <c r="C2143" t="s">
        <v>47</v>
      </c>
      <c r="D2143" t="str">
        <f>IF(COUNTIFS(Verweise!$A$2:$A$4542,Übersicht!$C$7,Verweise!$B$2:$B$4542,B2143)=1,"Feiertag",IF(C2143="Samstag","",IF(C2143="Sonntag","",Übersicht!$C$8)))</f>
        <v>Feiertag</v>
      </c>
    </row>
    <row r="2144" spans="1:4" x14ac:dyDescent="0.25">
      <c r="A2144" t="s">
        <v>77</v>
      </c>
      <c r="B2144" s="48">
        <v>44316</v>
      </c>
      <c r="C2144" t="s">
        <v>48</v>
      </c>
      <c r="D2144" t="str">
        <f>IF(COUNTIFS(Verweise!$A$2:$A$4542,Übersicht!$C$7,Verweise!$B$2:$B$4542,B2144)=1,"Feiertag",IF(C2144="Samstag","",IF(C2144="Sonntag","",Übersicht!$C$8)))</f>
        <v>Feiertag</v>
      </c>
    </row>
    <row r="2145" spans="1:4" x14ac:dyDescent="0.25">
      <c r="A2145" t="s">
        <v>77</v>
      </c>
      <c r="B2145" s="48">
        <v>44344</v>
      </c>
      <c r="C2145" t="s">
        <v>49</v>
      </c>
      <c r="D2145" t="str">
        <f>IF(COUNTIFS(Verweise!$A$2:$A$4542,Übersicht!$C$7,Verweise!$B$2:$B$4542,B2145)=1,"Feiertag",IF(C2145="Samstag","",IF(C2145="Sonntag","",Übersicht!$C$8)))</f>
        <v>Feiertag</v>
      </c>
    </row>
    <row r="2146" spans="1:4" x14ac:dyDescent="0.25">
      <c r="A2146" t="s">
        <v>77</v>
      </c>
      <c r="B2146" s="48">
        <v>44354</v>
      </c>
      <c r="C2146" t="s">
        <v>50</v>
      </c>
      <c r="D2146" t="str">
        <f>IF(COUNTIFS(Verweise!$A$2:$A$4542,Übersicht!$C$7,Verweise!$B$2:$B$4542,B2146)=1,"Feiertag",IF(C2146="Samstag","",IF(C2146="Sonntag","",Übersicht!$C$8)))</f>
        <v>Feiertag</v>
      </c>
    </row>
    <row r="2147" spans="1:4" x14ac:dyDescent="0.25">
      <c r="A2147" t="s">
        <v>77</v>
      </c>
      <c r="B2147" s="48">
        <v>44355</v>
      </c>
      <c r="C2147" t="s">
        <v>51</v>
      </c>
      <c r="D2147" t="str">
        <f>IF(COUNTIFS(Verweise!$A$2:$A$4542,Übersicht!$C$7,Verweise!$B$2:$B$4542,B2147)=1,"Feiertag",IF(C2147="Samstag","",IF(C2147="Sonntag","",Übersicht!$C$8)))</f>
        <v>Feiertag</v>
      </c>
    </row>
    <row r="2148" spans="1:4" x14ac:dyDescent="0.25">
      <c r="A2148" t="s">
        <v>77</v>
      </c>
      <c r="B2148" s="48">
        <v>44365</v>
      </c>
      <c r="C2148" t="s">
        <v>52</v>
      </c>
      <c r="D2148" t="str">
        <f>IF(COUNTIFS(Verweise!$A$2:$A$4542,Übersicht!$C$7,Verweise!$B$2:$B$4542,B2148)=1,"Feiertag",IF(C2148="Samstag","",IF(C2148="Sonntag","",Übersicht!$C$8)))</f>
        <v>Feiertag</v>
      </c>
    </row>
    <row r="2149" spans="1:4" x14ac:dyDescent="0.25">
      <c r="A2149" t="s">
        <v>77</v>
      </c>
      <c r="B2149" s="48">
        <v>44471</v>
      </c>
      <c r="C2149" t="s">
        <v>53</v>
      </c>
      <c r="D2149" t="str">
        <f>IF(COUNTIFS(Verweise!$A$2:$A$4542,Übersicht!$C$7,Verweise!$B$2:$B$4542,B2149)=1,"Feiertag",IF(C2149="Samstag","",IF(C2149="Sonntag","",Übersicht!$C$8)))</f>
        <v>Feiertag</v>
      </c>
    </row>
    <row r="2150" spans="1:4" x14ac:dyDescent="0.25">
      <c r="A2150" t="s">
        <v>77</v>
      </c>
      <c r="B2150" s="48">
        <v>44499</v>
      </c>
      <c r="C2150" t="s">
        <v>62</v>
      </c>
      <c r="D2150" t="str">
        <f>IF(COUNTIFS(Verweise!$A$2:$A$4542,Übersicht!$C$7,Verweise!$B$2:$B$4542,B2150)=1,"Feiertag",IF(C2150="Samstag","",IF(C2150="Sonntag","",Übersicht!$C$8)))</f>
        <v>Büro</v>
      </c>
    </row>
    <row r="2151" spans="1:4" x14ac:dyDescent="0.25">
      <c r="A2151" t="s">
        <v>77</v>
      </c>
      <c r="B2151" s="48">
        <v>44554</v>
      </c>
      <c r="C2151" t="s">
        <v>55</v>
      </c>
      <c r="D2151" t="str">
        <f>IF(COUNTIFS(Verweise!$A$2:$A$4542,Übersicht!$C$7,Verweise!$B$2:$B$4542,B2151)=1,"Feiertag",IF(C2151="Samstag","",IF(C2151="Sonntag","",Übersicht!$C$8)))</f>
        <v>Feiertag</v>
      </c>
    </row>
    <row r="2152" spans="1:4" x14ac:dyDescent="0.25">
      <c r="A2152" t="s">
        <v>77</v>
      </c>
      <c r="B2152" s="48">
        <v>44555</v>
      </c>
      <c r="C2152" t="s">
        <v>56</v>
      </c>
      <c r="D2152" t="str">
        <f>IF(COUNTIFS(Verweise!$A$2:$A$4542,Übersicht!$C$7,Verweise!$B$2:$B$4542,B2152)=1,"Feiertag",IF(C2152="Samstag","",IF(C2152="Sonntag","",Übersicht!$C$8)))</f>
        <v>Feiertag</v>
      </c>
    </row>
    <row r="2153" spans="1:4" x14ac:dyDescent="0.25">
      <c r="A2153" t="s">
        <v>42</v>
      </c>
      <c r="B2153" s="48">
        <v>44561</v>
      </c>
      <c r="C2153" t="s">
        <v>43</v>
      </c>
      <c r="D2153" t="str">
        <f>IF(COUNTIFS(Verweise!$A$2:$A$4542,Übersicht!$C$7,Verweise!$B$2:$B$4542,B2153)=1,"Feiertag",IF(C2153="Samstag","",IF(C2153="Sonntag","",Übersicht!$C$8)))</f>
        <v>Feiertag</v>
      </c>
    </row>
    <row r="2154" spans="1:4" x14ac:dyDescent="0.25">
      <c r="A2154" t="s">
        <v>42</v>
      </c>
      <c r="B2154" s="48">
        <v>44566</v>
      </c>
      <c r="C2154" t="s">
        <v>44</v>
      </c>
      <c r="D2154" t="str">
        <f>IF(COUNTIFS(Verweise!$A$2:$A$4542,Übersicht!$C$7,Verweise!$B$2:$B$4542,B2154)=1,"Feiertag",IF(C2154="Samstag","",IF(C2154="Sonntag","",Übersicht!$C$8)))</f>
        <v>Büro</v>
      </c>
    </row>
    <row r="2155" spans="1:4" x14ac:dyDescent="0.25">
      <c r="A2155" t="s">
        <v>42</v>
      </c>
      <c r="B2155" s="48">
        <v>44653</v>
      </c>
      <c r="C2155" t="s">
        <v>45</v>
      </c>
      <c r="D2155" t="str">
        <f>IF(COUNTIFS(Verweise!$A$2:$A$4542,Übersicht!$C$7,Verweise!$B$2:$B$4542,B2155)=1,"Feiertag",IF(C2155="Samstag","",IF(C2155="Sonntag","",Übersicht!$C$8)))</f>
        <v>Feiertag</v>
      </c>
    </row>
    <row r="2156" spans="1:4" x14ac:dyDescent="0.25">
      <c r="A2156" t="s">
        <v>42</v>
      </c>
      <c r="B2156" s="48">
        <v>44655</v>
      </c>
      <c r="C2156" t="s">
        <v>46</v>
      </c>
      <c r="D2156" t="str">
        <f>IF(COUNTIFS(Verweise!$A$2:$A$4542,Übersicht!$C$7,Verweise!$B$2:$B$4542,B2156)=1,"Feiertag",IF(C2156="Samstag","",IF(C2156="Sonntag","",Übersicht!$C$8)))</f>
        <v>Feiertag</v>
      </c>
    </row>
    <row r="2157" spans="1:4" x14ac:dyDescent="0.25">
      <c r="A2157" t="s">
        <v>42</v>
      </c>
      <c r="B2157" s="48">
        <v>44656</v>
      </c>
      <c r="C2157" t="s">
        <v>47</v>
      </c>
      <c r="D2157" t="str">
        <f>IF(COUNTIFS(Verweise!$A$2:$A$4542,Übersicht!$C$7,Verweise!$B$2:$B$4542,B2157)=1,"Feiertag",IF(C2157="Samstag","",IF(C2157="Sonntag","",Übersicht!$C$8)))</f>
        <v>Feiertag</v>
      </c>
    </row>
    <row r="2158" spans="1:4" x14ac:dyDescent="0.25">
      <c r="A2158" t="s">
        <v>42</v>
      </c>
      <c r="B2158" s="48">
        <v>44681</v>
      </c>
      <c r="C2158" t="s">
        <v>48</v>
      </c>
      <c r="D2158" t="str">
        <f>IF(COUNTIFS(Verweise!$A$2:$A$4542,Übersicht!$C$7,Verweise!$B$2:$B$4542,B2158)=1,"Feiertag",IF(C2158="Samstag","",IF(C2158="Sonntag","",Übersicht!$C$8)))</f>
        <v>Feiertag</v>
      </c>
    </row>
    <row r="2159" spans="1:4" x14ac:dyDescent="0.25">
      <c r="A2159" t="s">
        <v>42</v>
      </c>
      <c r="B2159" s="48">
        <v>44694</v>
      </c>
      <c r="C2159" t="s">
        <v>49</v>
      </c>
      <c r="D2159" t="str">
        <f>IF(COUNTIFS(Verweise!$A$2:$A$4542,Übersicht!$C$7,Verweise!$B$2:$B$4542,B2159)=1,"Feiertag",IF(C2159="Samstag","",IF(C2159="Sonntag","",Übersicht!$C$8)))</f>
        <v>Feiertag</v>
      </c>
    </row>
    <row r="2160" spans="1:4" x14ac:dyDescent="0.25">
      <c r="A2160" t="s">
        <v>42</v>
      </c>
      <c r="B2160" s="48">
        <v>44704</v>
      </c>
      <c r="C2160" t="s">
        <v>50</v>
      </c>
      <c r="D2160" t="str">
        <f>IF(COUNTIFS(Verweise!$A$2:$A$4542,Übersicht!$C$7,Verweise!$B$2:$B$4542,B2160)=1,"Feiertag",IF(C2160="Samstag","",IF(C2160="Sonntag","",Übersicht!$C$8)))</f>
        <v>Feiertag</v>
      </c>
    </row>
    <row r="2161" spans="1:4" x14ac:dyDescent="0.25">
      <c r="A2161" t="s">
        <v>42</v>
      </c>
      <c r="B2161" s="48">
        <v>44705</v>
      </c>
      <c r="C2161" t="s">
        <v>51</v>
      </c>
      <c r="D2161" t="str">
        <f>IF(COUNTIFS(Verweise!$A$2:$A$4542,Übersicht!$C$7,Verweise!$B$2:$B$4542,B2161)=1,"Feiertag",IF(C2161="Samstag","",IF(C2161="Sonntag","",Übersicht!$C$8)))</f>
        <v>Feiertag</v>
      </c>
    </row>
    <row r="2162" spans="1:4" x14ac:dyDescent="0.25">
      <c r="A2162" t="s">
        <v>42</v>
      </c>
      <c r="B2162" s="48">
        <v>44715</v>
      </c>
      <c r="C2162" t="s">
        <v>52</v>
      </c>
      <c r="D2162" t="str">
        <f>IF(COUNTIFS(Verweise!$A$2:$A$4542,Übersicht!$C$7,Verweise!$B$2:$B$4542,B2162)=1,"Feiertag",IF(C2162="Samstag","",IF(C2162="Sonntag","",Übersicht!$C$8)))</f>
        <v>Feiertag</v>
      </c>
    </row>
    <row r="2163" spans="1:4" x14ac:dyDescent="0.25">
      <c r="A2163" t="s">
        <v>42</v>
      </c>
      <c r="B2163" s="48">
        <v>44836</v>
      </c>
      <c r="C2163" t="s">
        <v>53</v>
      </c>
      <c r="D2163" t="str">
        <f>IF(COUNTIFS(Verweise!$A$2:$A$4542,Übersicht!$C$7,Verweise!$B$2:$B$4542,B2163)=1,"Feiertag",IF(C2163="Samstag","",IF(C2163="Sonntag","",Übersicht!$C$8)))</f>
        <v>Feiertag</v>
      </c>
    </row>
    <row r="2164" spans="1:4" x14ac:dyDescent="0.25">
      <c r="A2164" t="s">
        <v>42</v>
      </c>
      <c r="B2164" s="48">
        <v>44865</v>
      </c>
      <c r="C2164" t="s">
        <v>54</v>
      </c>
      <c r="D2164" t="str">
        <f>IF(COUNTIFS(Verweise!$A$2:$A$4542,Übersicht!$C$7,Verweise!$B$2:$B$4542,B2164)=1,"Feiertag",IF(C2164="Samstag","",IF(C2164="Sonntag","",Übersicht!$C$8)))</f>
        <v>Feiertag</v>
      </c>
    </row>
    <row r="2165" spans="1:4" x14ac:dyDescent="0.25">
      <c r="A2165" t="s">
        <v>42</v>
      </c>
      <c r="B2165" s="48">
        <v>44919</v>
      </c>
      <c r="C2165" t="s">
        <v>55</v>
      </c>
      <c r="D2165" t="str">
        <f>IF(COUNTIFS(Verweise!$A$2:$A$4542,Übersicht!$C$7,Verweise!$B$2:$B$4542,B2165)=1,"Feiertag",IF(C2165="Samstag","",IF(C2165="Sonntag","",Übersicht!$C$8)))</f>
        <v>Feiertag</v>
      </c>
    </row>
    <row r="2166" spans="1:4" x14ac:dyDescent="0.25">
      <c r="A2166" t="s">
        <v>42</v>
      </c>
      <c r="B2166" s="48">
        <v>44920</v>
      </c>
      <c r="C2166" t="s">
        <v>56</v>
      </c>
      <c r="D2166" t="str">
        <f>IF(COUNTIFS(Verweise!$A$2:$A$4542,Übersicht!$C$7,Verweise!$B$2:$B$4542,B2166)=1,"Feiertag",IF(C2166="Samstag","",IF(C2166="Sonntag","",Übersicht!$C$8)))</f>
        <v>Feiertag</v>
      </c>
    </row>
    <row r="2167" spans="1:4" x14ac:dyDescent="0.25">
      <c r="A2167" t="s">
        <v>57</v>
      </c>
      <c r="B2167" s="48">
        <v>44561</v>
      </c>
      <c r="C2167" t="s">
        <v>43</v>
      </c>
      <c r="D2167" t="str">
        <f>IF(COUNTIFS(Verweise!$A$2:$A$4542,Übersicht!$C$7,Verweise!$B$2:$B$4542,B2167)=1,"Feiertag",IF(C2167="Samstag","",IF(C2167="Sonntag","",Übersicht!$C$8)))</f>
        <v>Feiertag</v>
      </c>
    </row>
    <row r="2168" spans="1:4" x14ac:dyDescent="0.25">
      <c r="A2168" t="s">
        <v>57</v>
      </c>
      <c r="B2168" s="48">
        <v>44566</v>
      </c>
      <c r="C2168" t="s">
        <v>44</v>
      </c>
      <c r="D2168" t="str">
        <f>IF(COUNTIFS(Verweise!$A$2:$A$4542,Übersicht!$C$7,Verweise!$B$2:$B$4542,B2168)=1,"Feiertag",IF(C2168="Samstag","",IF(C2168="Sonntag","",Übersicht!$C$8)))</f>
        <v>Büro</v>
      </c>
    </row>
    <row r="2169" spans="1:4" x14ac:dyDescent="0.25">
      <c r="A2169" t="s">
        <v>57</v>
      </c>
      <c r="B2169" s="48">
        <v>44653</v>
      </c>
      <c r="C2169" t="s">
        <v>45</v>
      </c>
      <c r="D2169" t="str">
        <f>IF(COUNTIFS(Verweise!$A$2:$A$4542,Übersicht!$C$7,Verweise!$B$2:$B$4542,B2169)=1,"Feiertag",IF(C2169="Samstag","",IF(C2169="Sonntag","",Übersicht!$C$8)))</f>
        <v>Feiertag</v>
      </c>
    </row>
    <row r="2170" spans="1:4" x14ac:dyDescent="0.25">
      <c r="A2170" t="s">
        <v>57</v>
      </c>
      <c r="B2170" s="48">
        <v>44655</v>
      </c>
      <c r="C2170" t="s">
        <v>46</v>
      </c>
      <c r="D2170" t="str">
        <f>IF(COUNTIFS(Verweise!$A$2:$A$4542,Übersicht!$C$7,Verweise!$B$2:$B$4542,B2170)=1,"Feiertag",IF(C2170="Samstag","",IF(C2170="Sonntag","",Übersicht!$C$8)))</f>
        <v>Feiertag</v>
      </c>
    </row>
    <row r="2171" spans="1:4" x14ac:dyDescent="0.25">
      <c r="A2171" t="s">
        <v>57</v>
      </c>
      <c r="B2171" s="48">
        <v>44656</v>
      </c>
      <c r="C2171" t="s">
        <v>47</v>
      </c>
      <c r="D2171" t="str">
        <f>IF(COUNTIFS(Verweise!$A$2:$A$4542,Übersicht!$C$7,Verweise!$B$2:$B$4542,B2171)=1,"Feiertag",IF(C2171="Samstag","",IF(C2171="Sonntag","",Übersicht!$C$8)))</f>
        <v>Feiertag</v>
      </c>
    </row>
    <row r="2172" spans="1:4" x14ac:dyDescent="0.25">
      <c r="A2172" t="s">
        <v>57</v>
      </c>
      <c r="B2172" s="48">
        <v>44681</v>
      </c>
      <c r="C2172" t="s">
        <v>48</v>
      </c>
      <c r="D2172" t="str">
        <f>IF(COUNTIFS(Verweise!$A$2:$A$4542,Übersicht!$C$7,Verweise!$B$2:$B$4542,B2172)=1,"Feiertag",IF(C2172="Samstag","",IF(C2172="Sonntag","",Übersicht!$C$8)))</f>
        <v>Feiertag</v>
      </c>
    </row>
    <row r="2173" spans="1:4" x14ac:dyDescent="0.25">
      <c r="A2173" t="s">
        <v>57</v>
      </c>
      <c r="B2173" s="48">
        <v>44694</v>
      </c>
      <c r="C2173" t="s">
        <v>49</v>
      </c>
      <c r="D2173" t="str">
        <f>IF(COUNTIFS(Verweise!$A$2:$A$4542,Übersicht!$C$7,Verweise!$B$2:$B$4542,B2173)=1,"Feiertag",IF(C2173="Samstag","",IF(C2173="Sonntag","",Übersicht!$C$8)))</f>
        <v>Feiertag</v>
      </c>
    </row>
    <row r="2174" spans="1:4" x14ac:dyDescent="0.25">
      <c r="A2174" t="s">
        <v>57</v>
      </c>
      <c r="B2174" s="48">
        <v>44704</v>
      </c>
      <c r="C2174" t="s">
        <v>50</v>
      </c>
      <c r="D2174" t="str">
        <f>IF(COUNTIFS(Verweise!$A$2:$A$4542,Übersicht!$C$7,Verweise!$B$2:$B$4542,B2174)=1,"Feiertag",IF(C2174="Samstag","",IF(C2174="Sonntag","",Übersicht!$C$8)))</f>
        <v>Feiertag</v>
      </c>
    </row>
    <row r="2175" spans="1:4" x14ac:dyDescent="0.25">
      <c r="A2175" t="s">
        <v>57</v>
      </c>
      <c r="B2175" s="48">
        <v>44705</v>
      </c>
      <c r="C2175" t="s">
        <v>51</v>
      </c>
      <c r="D2175" t="str">
        <f>IF(COUNTIFS(Verweise!$A$2:$A$4542,Übersicht!$C$7,Verweise!$B$2:$B$4542,B2175)=1,"Feiertag",IF(C2175="Samstag","",IF(C2175="Sonntag","",Übersicht!$C$8)))</f>
        <v>Feiertag</v>
      </c>
    </row>
    <row r="2176" spans="1:4" x14ac:dyDescent="0.25">
      <c r="A2176" t="s">
        <v>57</v>
      </c>
      <c r="B2176" s="48">
        <v>44715</v>
      </c>
      <c r="C2176" t="s">
        <v>52</v>
      </c>
      <c r="D2176" t="str">
        <f>IF(COUNTIFS(Verweise!$A$2:$A$4542,Übersicht!$C$7,Verweise!$B$2:$B$4542,B2176)=1,"Feiertag",IF(C2176="Samstag","",IF(C2176="Sonntag","",Übersicht!$C$8)))</f>
        <v>Feiertag</v>
      </c>
    </row>
    <row r="2177" spans="1:4" x14ac:dyDescent="0.25">
      <c r="A2177" t="s">
        <v>57</v>
      </c>
      <c r="B2177" s="48">
        <v>44836</v>
      </c>
      <c r="C2177" t="s">
        <v>53</v>
      </c>
      <c r="D2177" t="str">
        <f>IF(COUNTIFS(Verweise!$A$2:$A$4542,Übersicht!$C$7,Verweise!$B$2:$B$4542,B2177)=1,"Feiertag",IF(C2177="Samstag","",IF(C2177="Sonntag","",Übersicht!$C$8)))</f>
        <v>Feiertag</v>
      </c>
    </row>
    <row r="2178" spans="1:4" x14ac:dyDescent="0.25">
      <c r="A2178" t="s">
        <v>57</v>
      </c>
      <c r="B2178" s="48">
        <v>44865</v>
      </c>
      <c r="C2178" t="s">
        <v>54</v>
      </c>
      <c r="D2178" t="str">
        <f>IF(COUNTIFS(Verweise!$A$2:$A$4542,Übersicht!$C$7,Verweise!$B$2:$B$4542,B2178)=1,"Feiertag",IF(C2178="Samstag","",IF(C2178="Sonntag","",Übersicht!$C$8)))</f>
        <v>Feiertag</v>
      </c>
    </row>
    <row r="2179" spans="1:4" x14ac:dyDescent="0.25">
      <c r="A2179" t="s">
        <v>57</v>
      </c>
      <c r="B2179" s="48">
        <v>44919</v>
      </c>
      <c r="C2179" t="s">
        <v>55</v>
      </c>
      <c r="D2179" t="str">
        <f>IF(COUNTIFS(Verweise!$A$2:$A$4542,Übersicht!$C$7,Verweise!$B$2:$B$4542,B2179)=1,"Feiertag",IF(C2179="Samstag","",IF(C2179="Sonntag","",Übersicht!$C$8)))</f>
        <v>Feiertag</v>
      </c>
    </row>
    <row r="2180" spans="1:4" x14ac:dyDescent="0.25">
      <c r="A2180" t="s">
        <v>57</v>
      </c>
      <c r="B2180" s="48">
        <v>44920</v>
      </c>
      <c r="C2180" t="s">
        <v>56</v>
      </c>
      <c r="D2180" t="str">
        <f>IF(COUNTIFS(Verweise!$A$2:$A$4542,Übersicht!$C$7,Verweise!$B$2:$B$4542,B2180)=1,"Feiertag",IF(C2180="Samstag","",IF(C2180="Sonntag","",Übersicht!$C$8)))</f>
        <v>Feiertag</v>
      </c>
    </row>
    <row r="2181" spans="1:4" x14ac:dyDescent="0.25">
      <c r="A2181" t="s">
        <v>58</v>
      </c>
      <c r="B2181" s="48">
        <v>44561</v>
      </c>
      <c r="C2181" t="s">
        <v>43</v>
      </c>
      <c r="D2181" t="str">
        <f>IF(COUNTIFS(Verweise!$A$2:$A$4542,Übersicht!$C$7,Verweise!$B$2:$B$4542,B2181)=1,"Feiertag",IF(C2181="Samstag","",IF(C2181="Sonntag","",Übersicht!$C$8)))</f>
        <v>Feiertag</v>
      </c>
    </row>
    <row r="2182" spans="1:4" x14ac:dyDescent="0.25">
      <c r="A2182" t="s">
        <v>58</v>
      </c>
      <c r="B2182" s="48">
        <v>44566</v>
      </c>
      <c r="C2182" t="s">
        <v>44</v>
      </c>
      <c r="D2182" t="str">
        <f>IF(COUNTIFS(Verweise!$A$2:$A$4542,Übersicht!$C$7,Verweise!$B$2:$B$4542,B2182)=1,"Feiertag",IF(C2182="Samstag","",IF(C2182="Sonntag","",Übersicht!$C$8)))</f>
        <v>Büro</v>
      </c>
    </row>
    <row r="2183" spans="1:4" x14ac:dyDescent="0.25">
      <c r="A2183" t="s">
        <v>58</v>
      </c>
      <c r="B2183" s="48">
        <v>44653</v>
      </c>
      <c r="C2183" t="s">
        <v>45</v>
      </c>
      <c r="D2183" t="str">
        <f>IF(COUNTIFS(Verweise!$A$2:$A$4542,Übersicht!$C$7,Verweise!$B$2:$B$4542,B2183)=1,"Feiertag",IF(C2183="Samstag","",IF(C2183="Sonntag","",Übersicht!$C$8)))</f>
        <v>Feiertag</v>
      </c>
    </row>
    <row r="2184" spans="1:4" x14ac:dyDescent="0.25">
      <c r="A2184" t="s">
        <v>58</v>
      </c>
      <c r="B2184" s="48">
        <v>44655</v>
      </c>
      <c r="C2184" t="s">
        <v>46</v>
      </c>
      <c r="D2184" t="str">
        <f>IF(COUNTIFS(Verweise!$A$2:$A$4542,Übersicht!$C$7,Verweise!$B$2:$B$4542,B2184)=1,"Feiertag",IF(C2184="Samstag","",IF(C2184="Sonntag","",Übersicht!$C$8)))</f>
        <v>Feiertag</v>
      </c>
    </row>
    <row r="2185" spans="1:4" x14ac:dyDescent="0.25">
      <c r="A2185" t="s">
        <v>58</v>
      </c>
      <c r="B2185" s="48">
        <v>44656</v>
      </c>
      <c r="C2185" t="s">
        <v>47</v>
      </c>
      <c r="D2185" t="str">
        <f>IF(COUNTIFS(Verweise!$A$2:$A$4542,Übersicht!$C$7,Verweise!$B$2:$B$4542,B2185)=1,"Feiertag",IF(C2185="Samstag","",IF(C2185="Sonntag","",Übersicht!$C$8)))</f>
        <v>Feiertag</v>
      </c>
    </row>
    <row r="2186" spans="1:4" x14ac:dyDescent="0.25">
      <c r="A2186" t="s">
        <v>58</v>
      </c>
      <c r="B2186" s="48">
        <v>44681</v>
      </c>
      <c r="C2186" t="s">
        <v>48</v>
      </c>
      <c r="D2186" t="str">
        <f>IF(COUNTIFS(Verweise!$A$2:$A$4542,Übersicht!$C$7,Verweise!$B$2:$B$4542,B2186)=1,"Feiertag",IF(C2186="Samstag","",IF(C2186="Sonntag","",Übersicht!$C$8)))</f>
        <v>Feiertag</v>
      </c>
    </row>
    <row r="2187" spans="1:4" x14ac:dyDescent="0.25">
      <c r="A2187" t="s">
        <v>58</v>
      </c>
      <c r="B2187" s="48">
        <v>44694</v>
      </c>
      <c r="C2187" t="s">
        <v>49</v>
      </c>
      <c r="D2187" t="str">
        <f>IF(COUNTIFS(Verweise!$A$2:$A$4542,Übersicht!$C$7,Verweise!$B$2:$B$4542,B2187)=1,"Feiertag",IF(C2187="Samstag","",IF(C2187="Sonntag","",Übersicht!$C$8)))</f>
        <v>Feiertag</v>
      </c>
    </row>
    <row r="2188" spans="1:4" x14ac:dyDescent="0.25">
      <c r="A2188" t="s">
        <v>58</v>
      </c>
      <c r="B2188" s="48">
        <v>44704</v>
      </c>
      <c r="C2188" t="s">
        <v>50</v>
      </c>
      <c r="D2188" t="str">
        <f>IF(COUNTIFS(Verweise!$A$2:$A$4542,Übersicht!$C$7,Verweise!$B$2:$B$4542,B2188)=1,"Feiertag",IF(C2188="Samstag","",IF(C2188="Sonntag","",Übersicht!$C$8)))</f>
        <v>Feiertag</v>
      </c>
    </row>
    <row r="2189" spans="1:4" x14ac:dyDescent="0.25">
      <c r="A2189" t="s">
        <v>58</v>
      </c>
      <c r="B2189" s="48">
        <v>44705</v>
      </c>
      <c r="C2189" t="s">
        <v>51</v>
      </c>
      <c r="D2189" t="str">
        <f>IF(COUNTIFS(Verweise!$A$2:$A$4542,Übersicht!$C$7,Verweise!$B$2:$B$4542,B2189)=1,"Feiertag",IF(C2189="Samstag","",IF(C2189="Sonntag","",Übersicht!$C$8)))</f>
        <v>Feiertag</v>
      </c>
    </row>
    <row r="2190" spans="1:4" x14ac:dyDescent="0.25">
      <c r="A2190" t="s">
        <v>58</v>
      </c>
      <c r="B2190" s="48">
        <v>44715</v>
      </c>
      <c r="C2190" t="s">
        <v>52</v>
      </c>
      <c r="D2190" t="str">
        <f>IF(COUNTIFS(Verweise!$A$2:$A$4542,Übersicht!$C$7,Verweise!$B$2:$B$4542,B2190)=1,"Feiertag",IF(C2190="Samstag","",IF(C2190="Sonntag","",Übersicht!$C$8)))</f>
        <v>Feiertag</v>
      </c>
    </row>
    <row r="2191" spans="1:4" x14ac:dyDescent="0.25">
      <c r="A2191" t="s">
        <v>58</v>
      </c>
      <c r="B2191" s="48">
        <v>44787</v>
      </c>
      <c r="C2191" t="s">
        <v>59</v>
      </c>
      <c r="D2191" t="str">
        <f>IF(COUNTIFS(Verweise!$A$2:$A$4542,Übersicht!$C$7,Verweise!$B$2:$B$4542,B2191)=1,"Feiertag",IF(C2191="Samstag","",IF(C2191="Sonntag","",Übersicht!$C$8)))</f>
        <v>Büro</v>
      </c>
    </row>
    <row r="2192" spans="1:4" x14ac:dyDescent="0.25">
      <c r="A2192" t="s">
        <v>58</v>
      </c>
      <c r="B2192" s="48">
        <v>44836</v>
      </c>
      <c r="C2192" t="s">
        <v>53</v>
      </c>
      <c r="D2192" t="str">
        <f>IF(COUNTIFS(Verweise!$A$2:$A$4542,Übersicht!$C$7,Verweise!$B$2:$B$4542,B2192)=1,"Feiertag",IF(C2192="Samstag","",IF(C2192="Sonntag","",Übersicht!$C$8)))</f>
        <v>Feiertag</v>
      </c>
    </row>
    <row r="2193" spans="1:4" x14ac:dyDescent="0.25">
      <c r="A2193" t="s">
        <v>58</v>
      </c>
      <c r="B2193" s="48">
        <v>44865</v>
      </c>
      <c r="C2193" t="s">
        <v>54</v>
      </c>
      <c r="D2193" t="str">
        <f>IF(COUNTIFS(Verweise!$A$2:$A$4542,Übersicht!$C$7,Verweise!$B$2:$B$4542,B2193)=1,"Feiertag",IF(C2193="Samstag","",IF(C2193="Sonntag","",Übersicht!$C$8)))</f>
        <v>Feiertag</v>
      </c>
    </row>
    <row r="2194" spans="1:4" x14ac:dyDescent="0.25">
      <c r="A2194" t="s">
        <v>58</v>
      </c>
      <c r="B2194" s="48">
        <v>44919</v>
      </c>
      <c r="C2194" t="s">
        <v>55</v>
      </c>
      <c r="D2194" t="str">
        <f>IF(COUNTIFS(Verweise!$A$2:$A$4542,Übersicht!$C$7,Verweise!$B$2:$B$4542,B2194)=1,"Feiertag",IF(C2194="Samstag","",IF(C2194="Sonntag","",Übersicht!$C$8)))</f>
        <v>Feiertag</v>
      </c>
    </row>
    <row r="2195" spans="1:4" x14ac:dyDescent="0.25">
      <c r="A2195" t="s">
        <v>58</v>
      </c>
      <c r="B2195" s="48">
        <v>44920</v>
      </c>
      <c r="C2195" t="s">
        <v>56</v>
      </c>
      <c r="D2195" t="str">
        <f>IF(COUNTIFS(Verweise!$A$2:$A$4542,Übersicht!$C$7,Verweise!$B$2:$B$4542,B2195)=1,"Feiertag",IF(C2195="Samstag","",IF(C2195="Sonntag","",Übersicht!$C$8)))</f>
        <v>Feiertag</v>
      </c>
    </row>
    <row r="2196" spans="1:4" x14ac:dyDescent="0.25">
      <c r="A2196" t="s">
        <v>60</v>
      </c>
      <c r="B2196" s="48">
        <v>44561</v>
      </c>
      <c r="C2196" t="s">
        <v>43</v>
      </c>
      <c r="D2196" t="str">
        <f>IF(COUNTIFS(Verweise!$A$2:$A$4542,Übersicht!$C$7,Verweise!$B$2:$B$4542,B2196)=1,"Feiertag",IF(C2196="Samstag","",IF(C2196="Sonntag","",Übersicht!$C$8)))</f>
        <v>Feiertag</v>
      </c>
    </row>
    <row r="2197" spans="1:4" x14ac:dyDescent="0.25">
      <c r="A2197" t="s">
        <v>60</v>
      </c>
      <c r="B2197" s="48">
        <v>44653</v>
      </c>
      <c r="C2197" t="s">
        <v>45</v>
      </c>
      <c r="D2197" t="str">
        <f>IF(COUNTIFS(Verweise!$A$2:$A$4542,Übersicht!$C$7,Verweise!$B$2:$B$4542,B2197)=1,"Feiertag",IF(C2197="Samstag","",IF(C2197="Sonntag","",Übersicht!$C$8)))</f>
        <v>Feiertag</v>
      </c>
    </row>
    <row r="2198" spans="1:4" x14ac:dyDescent="0.25">
      <c r="A2198" t="s">
        <v>60</v>
      </c>
      <c r="B2198" s="48">
        <v>44655</v>
      </c>
      <c r="C2198" t="s">
        <v>46</v>
      </c>
      <c r="D2198" t="str">
        <f>IF(COUNTIFS(Verweise!$A$2:$A$4542,Übersicht!$C$7,Verweise!$B$2:$B$4542,B2198)=1,"Feiertag",IF(C2198="Samstag","",IF(C2198="Sonntag","",Übersicht!$C$8)))</f>
        <v>Feiertag</v>
      </c>
    </row>
    <row r="2199" spans="1:4" x14ac:dyDescent="0.25">
      <c r="A2199" t="s">
        <v>60</v>
      </c>
      <c r="B2199" s="48">
        <v>44656</v>
      </c>
      <c r="C2199" t="s">
        <v>47</v>
      </c>
      <c r="D2199" t="str">
        <f>IF(COUNTIFS(Verweise!$A$2:$A$4542,Übersicht!$C$7,Verweise!$B$2:$B$4542,B2199)=1,"Feiertag",IF(C2199="Samstag","",IF(C2199="Sonntag","",Übersicht!$C$8)))</f>
        <v>Feiertag</v>
      </c>
    </row>
    <row r="2200" spans="1:4" x14ac:dyDescent="0.25">
      <c r="A2200" t="s">
        <v>60</v>
      </c>
      <c r="B2200" s="48">
        <v>44681</v>
      </c>
      <c r="C2200" t="s">
        <v>48</v>
      </c>
      <c r="D2200" t="str">
        <f>IF(COUNTIFS(Verweise!$A$2:$A$4542,Übersicht!$C$7,Verweise!$B$2:$B$4542,B2200)=1,"Feiertag",IF(C2200="Samstag","",IF(C2200="Sonntag","",Übersicht!$C$8)))</f>
        <v>Feiertag</v>
      </c>
    </row>
    <row r="2201" spans="1:4" x14ac:dyDescent="0.25">
      <c r="A2201" t="s">
        <v>60</v>
      </c>
      <c r="B2201" s="48">
        <v>44694</v>
      </c>
      <c r="C2201" t="s">
        <v>49</v>
      </c>
      <c r="D2201" t="str">
        <f>IF(COUNTIFS(Verweise!$A$2:$A$4542,Übersicht!$C$7,Verweise!$B$2:$B$4542,B2201)=1,"Feiertag",IF(C2201="Samstag","",IF(C2201="Sonntag","",Übersicht!$C$8)))</f>
        <v>Feiertag</v>
      </c>
    </row>
    <row r="2202" spans="1:4" x14ac:dyDescent="0.25">
      <c r="A2202" t="s">
        <v>60</v>
      </c>
      <c r="B2202" s="48">
        <v>44704</v>
      </c>
      <c r="C2202" t="s">
        <v>50</v>
      </c>
      <c r="D2202" t="str">
        <f>IF(COUNTIFS(Verweise!$A$2:$A$4542,Übersicht!$C$7,Verweise!$B$2:$B$4542,B2202)=1,"Feiertag",IF(C2202="Samstag","",IF(C2202="Sonntag","",Übersicht!$C$8)))</f>
        <v>Feiertag</v>
      </c>
    </row>
    <row r="2203" spans="1:4" x14ac:dyDescent="0.25">
      <c r="A2203" t="s">
        <v>60</v>
      </c>
      <c r="B2203" s="48">
        <v>44705</v>
      </c>
      <c r="C2203" t="s">
        <v>51</v>
      </c>
      <c r="D2203" t="str">
        <f>IF(COUNTIFS(Verweise!$A$2:$A$4542,Übersicht!$C$7,Verweise!$B$2:$B$4542,B2203)=1,"Feiertag",IF(C2203="Samstag","",IF(C2203="Sonntag","",Übersicht!$C$8)))</f>
        <v>Feiertag</v>
      </c>
    </row>
    <row r="2204" spans="1:4" x14ac:dyDescent="0.25">
      <c r="A2204" t="s">
        <v>60</v>
      </c>
      <c r="B2204" s="48">
        <v>44836</v>
      </c>
      <c r="C2204" t="s">
        <v>53</v>
      </c>
      <c r="D2204" t="str">
        <f>IF(COUNTIFS(Verweise!$A$2:$A$4542,Übersicht!$C$7,Verweise!$B$2:$B$4542,B2204)=1,"Feiertag",IF(C2204="Samstag","",IF(C2204="Sonntag","",Übersicht!$C$8)))</f>
        <v>Feiertag</v>
      </c>
    </row>
    <row r="2205" spans="1:4" x14ac:dyDescent="0.25">
      <c r="A2205" t="s">
        <v>60</v>
      </c>
      <c r="B2205" s="48">
        <v>44919</v>
      </c>
      <c r="C2205" t="s">
        <v>55</v>
      </c>
      <c r="D2205" t="str">
        <f>IF(COUNTIFS(Verweise!$A$2:$A$4542,Übersicht!$C$7,Verweise!$B$2:$B$4542,B2205)=1,"Feiertag",IF(C2205="Samstag","",IF(C2205="Sonntag","",Übersicht!$C$8)))</f>
        <v>Feiertag</v>
      </c>
    </row>
    <row r="2206" spans="1:4" x14ac:dyDescent="0.25">
      <c r="A2206" t="s">
        <v>60</v>
      </c>
      <c r="B2206" s="48">
        <v>44920</v>
      </c>
      <c r="C2206" t="s">
        <v>56</v>
      </c>
      <c r="D2206" t="str">
        <f>IF(COUNTIFS(Verweise!$A$2:$A$4542,Übersicht!$C$7,Verweise!$B$2:$B$4542,B2206)=1,"Feiertag",IF(C2206="Samstag","",IF(C2206="Sonntag","",Übersicht!$C$8)))</f>
        <v>Feiertag</v>
      </c>
    </row>
    <row r="2207" spans="1:4" x14ac:dyDescent="0.25">
      <c r="A2207" t="s">
        <v>61</v>
      </c>
      <c r="B2207" s="48">
        <v>44561</v>
      </c>
      <c r="C2207" t="s">
        <v>43</v>
      </c>
      <c r="D2207" t="str">
        <f>IF(COUNTIFS(Verweise!$A$2:$A$4542,Übersicht!$C$7,Verweise!$B$2:$B$4542,B2207)=1,"Feiertag",IF(C2207="Samstag","",IF(C2207="Sonntag","",Übersicht!$C$8)))</f>
        <v>Feiertag</v>
      </c>
    </row>
    <row r="2208" spans="1:4" x14ac:dyDescent="0.25">
      <c r="A2208" t="s">
        <v>61</v>
      </c>
      <c r="B2208" s="48">
        <v>44653</v>
      </c>
      <c r="C2208" t="s">
        <v>45</v>
      </c>
      <c r="D2208" t="str">
        <f>IF(COUNTIFS(Verweise!$A$2:$A$4542,Übersicht!$C$7,Verweise!$B$2:$B$4542,B2208)=1,"Feiertag",IF(C2208="Samstag","",IF(C2208="Sonntag","",Übersicht!$C$8)))</f>
        <v>Feiertag</v>
      </c>
    </row>
    <row r="2209" spans="1:4" x14ac:dyDescent="0.25">
      <c r="A2209" t="s">
        <v>61</v>
      </c>
      <c r="B2209" s="48">
        <v>44655</v>
      </c>
      <c r="C2209" t="s">
        <v>46</v>
      </c>
      <c r="D2209" t="str">
        <f>IF(COUNTIFS(Verweise!$A$2:$A$4542,Übersicht!$C$7,Verweise!$B$2:$B$4542,B2209)=1,"Feiertag",IF(C2209="Samstag","",IF(C2209="Sonntag","",Übersicht!$C$8)))</f>
        <v>Feiertag</v>
      </c>
    </row>
    <row r="2210" spans="1:4" x14ac:dyDescent="0.25">
      <c r="A2210" t="s">
        <v>61</v>
      </c>
      <c r="B2210" s="48">
        <v>44656</v>
      </c>
      <c r="C2210" t="s">
        <v>47</v>
      </c>
      <c r="D2210" t="str">
        <f>IF(COUNTIFS(Verweise!$A$2:$A$4542,Übersicht!$C$7,Verweise!$B$2:$B$4542,B2210)=1,"Feiertag",IF(C2210="Samstag","",IF(C2210="Sonntag","",Übersicht!$C$8)))</f>
        <v>Feiertag</v>
      </c>
    </row>
    <row r="2211" spans="1:4" x14ac:dyDescent="0.25">
      <c r="A2211" t="s">
        <v>61</v>
      </c>
      <c r="B2211" s="48">
        <v>44681</v>
      </c>
      <c r="C2211" t="s">
        <v>48</v>
      </c>
      <c r="D2211" t="str">
        <f>IF(COUNTIFS(Verweise!$A$2:$A$4542,Übersicht!$C$7,Verweise!$B$2:$B$4542,B2211)=1,"Feiertag",IF(C2211="Samstag","",IF(C2211="Sonntag","",Übersicht!$C$8)))</f>
        <v>Feiertag</v>
      </c>
    </row>
    <row r="2212" spans="1:4" x14ac:dyDescent="0.25">
      <c r="A2212" t="s">
        <v>61</v>
      </c>
      <c r="B2212" s="48">
        <v>44694</v>
      </c>
      <c r="C2212" t="s">
        <v>49</v>
      </c>
      <c r="D2212" t="str">
        <f>IF(COUNTIFS(Verweise!$A$2:$A$4542,Übersicht!$C$7,Verweise!$B$2:$B$4542,B2212)=1,"Feiertag",IF(C2212="Samstag","",IF(C2212="Sonntag","",Übersicht!$C$8)))</f>
        <v>Feiertag</v>
      </c>
    </row>
    <row r="2213" spans="1:4" x14ac:dyDescent="0.25">
      <c r="A2213" t="s">
        <v>61</v>
      </c>
      <c r="B2213" s="48">
        <v>44704</v>
      </c>
      <c r="C2213" t="s">
        <v>50</v>
      </c>
      <c r="D2213" t="str">
        <f>IF(COUNTIFS(Verweise!$A$2:$A$4542,Übersicht!$C$7,Verweise!$B$2:$B$4542,B2213)=1,"Feiertag",IF(C2213="Samstag","",IF(C2213="Sonntag","",Übersicht!$C$8)))</f>
        <v>Feiertag</v>
      </c>
    </row>
    <row r="2214" spans="1:4" x14ac:dyDescent="0.25">
      <c r="A2214" t="s">
        <v>61</v>
      </c>
      <c r="B2214" s="48">
        <v>44705</v>
      </c>
      <c r="C2214" t="s">
        <v>51</v>
      </c>
      <c r="D2214" t="str">
        <f>IF(COUNTIFS(Verweise!$A$2:$A$4542,Übersicht!$C$7,Verweise!$B$2:$B$4542,B2214)=1,"Feiertag",IF(C2214="Samstag","",IF(C2214="Sonntag","",Übersicht!$C$8)))</f>
        <v>Feiertag</v>
      </c>
    </row>
    <row r="2215" spans="1:4" x14ac:dyDescent="0.25">
      <c r="A2215" t="s">
        <v>61</v>
      </c>
      <c r="B2215" s="48">
        <v>44836</v>
      </c>
      <c r="C2215" t="s">
        <v>53</v>
      </c>
      <c r="D2215" t="str">
        <f>IF(COUNTIFS(Verweise!$A$2:$A$4542,Übersicht!$C$7,Verweise!$B$2:$B$4542,B2215)=1,"Feiertag",IF(C2215="Samstag","",IF(C2215="Sonntag","",Übersicht!$C$8)))</f>
        <v>Feiertag</v>
      </c>
    </row>
    <row r="2216" spans="1:4" x14ac:dyDescent="0.25">
      <c r="A2216" t="s">
        <v>61</v>
      </c>
      <c r="B2216" s="48">
        <v>44864</v>
      </c>
      <c r="C2216" t="s">
        <v>62</v>
      </c>
      <c r="D2216" t="str">
        <f>IF(COUNTIFS(Verweise!$A$2:$A$4542,Übersicht!$C$7,Verweise!$B$2:$B$4542,B2216)=1,"Feiertag",IF(C2216="Samstag","",IF(C2216="Sonntag","",Übersicht!$C$8)))</f>
        <v>Büro</v>
      </c>
    </row>
    <row r="2217" spans="1:4" x14ac:dyDescent="0.25">
      <c r="A2217" t="s">
        <v>61</v>
      </c>
      <c r="B2217" s="48">
        <v>44919</v>
      </c>
      <c r="C2217" t="s">
        <v>55</v>
      </c>
      <c r="D2217" t="str">
        <f>IF(COUNTIFS(Verweise!$A$2:$A$4542,Übersicht!$C$7,Verweise!$B$2:$B$4542,B2217)=1,"Feiertag",IF(C2217="Samstag","",IF(C2217="Sonntag","",Übersicht!$C$8)))</f>
        <v>Feiertag</v>
      </c>
    </row>
    <row r="2218" spans="1:4" x14ac:dyDescent="0.25">
      <c r="A2218" t="s">
        <v>61</v>
      </c>
      <c r="B2218" s="48">
        <v>44920</v>
      </c>
      <c r="C2218" t="s">
        <v>56</v>
      </c>
      <c r="D2218" t="str">
        <f>IF(COUNTIFS(Verweise!$A$2:$A$4542,Übersicht!$C$7,Verweise!$B$2:$B$4542,B2218)=1,"Feiertag",IF(C2218="Samstag","",IF(C2218="Sonntag","",Übersicht!$C$8)))</f>
        <v>Feiertag</v>
      </c>
    </row>
    <row r="2219" spans="1:4" x14ac:dyDescent="0.25">
      <c r="A2219" t="s">
        <v>63</v>
      </c>
      <c r="B2219" s="48">
        <v>44561</v>
      </c>
      <c r="C2219" t="s">
        <v>43</v>
      </c>
      <c r="D2219" t="str">
        <f>IF(COUNTIFS(Verweise!$A$2:$A$4542,Übersicht!$C$7,Verweise!$B$2:$B$4542,B2219)=1,"Feiertag",IF(C2219="Samstag","",IF(C2219="Sonntag","",Übersicht!$C$8)))</f>
        <v>Feiertag</v>
      </c>
    </row>
    <row r="2220" spans="1:4" x14ac:dyDescent="0.25">
      <c r="A2220" t="s">
        <v>63</v>
      </c>
      <c r="B2220" s="48">
        <v>44653</v>
      </c>
      <c r="C2220" t="s">
        <v>45</v>
      </c>
      <c r="D2220" t="str">
        <f>IF(COUNTIFS(Verweise!$A$2:$A$4542,Übersicht!$C$7,Verweise!$B$2:$B$4542,B2220)=1,"Feiertag",IF(C2220="Samstag","",IF(C2220="Sonntag","",Übersicht!$C$8)))</f>
        <v>Feiertag</v>
      </c>
    </row>
    <row r="2221" spans="1:4" x14ac:dyDescent="0.25">
      <c r="A2221" t="s">
        <v>63</v>
      </c>
      <c r="B2221" s="48">
        <v>44655</v>
      </c>
      <c r="C2221" t="s">
        <v>46</v>
      </c>
      <c r="D2221" t="str">
        <f>IF(COUNTIFS(Verweise!$A$2:$A$4542,Übersicht!$C$7,Verweise!$B$2:$B$4542,B2221)=1,"Feiertag",IF(C2221="Samstag","",IF(C2221="Sonntag","",Übersicht!$C$8)))</f>
        <v>Feiertag</v>
      </c>
    </row>
    <row r="2222" spans="1:4" x14ac:dyDescent="0.25">
      <c r="A2222" t="s">
        <v>63</v>
      </c>
      <c r="B2222" s="48">
        <v>44656</v>
      </c>
      <c r="C2222" t="s">
        <v>47</v>
      </c>
      <c r="D2222" t="str">
        <f>IF(COUNTIFS(Verweise!$A$2:$A$4542,Übersicht!$C$7,Verweise!$B$2:$B$4542,B2222)=1,"Feiertag",IF(C2222="Samstag","",IF(C2222="Sonntag","",Übersicht!$C$8)))</f>
        <v>Feiertag</v>
      </c>
    </row>
    <row r="2223" spans="1:4" x14ac:dyDescent="0.25">
      <c r="A2223" t="s">
        <v>63</v>
      </c>
      <c r="B2223" s="48">
        <v>44681</v>
      </c>
      <c r="C2223" t="s">
        <v>48</v>
      </c>
      <c r="D2223" t="str">
        <f>IF(COUNTIFS(Verweise!$A$2:$A$4542,Übersicht!$C$7,Verweise!$B$2:$B$4542,B2223)=1,"Feiertag",IF(C2223="Samstag","",IF(C2223="Sonntag","",Übersicht!$C$8)))</f>
        <v>Feiertag</v>
      </c>
    </row>
    <row r="2224" spans="1:4" x14ac:dyDescent="0.25">
      <c r="A2224" t="s">
        <v>63</v>
      </c>
      <c r="B2224" s="48">
        <v>44694</v>
      </c>
      <c r="C2224" t="s">
        <v>49</v>
      </c>
      <c r="D2224" t="str">
        <f>IF(COUNTIFS(Verweise!$A$2:$A$4542,Übersicht!$C$7,Verweise!$B$2:$B$4542,B2224)=1,"Feiertag",IF(C2224="Samstag","",IF(C2224="Sonntag","",Übersicht!$C$8)))</f>
        <v>Feiertag</v>
      </c>
    </row>
    <row r="2225" spans="1:4" x14ac:dyDescent="0.25">
      <c r="A2225" t="s">
        <v>63</v>
      </c>
      <c r="B2225" s="48">
        <v>44704</v>
      </c>
      <c r="C2225" t="s">
        <v>50</v>
      </c>
      <c r="D2225" t="str">
        <f>IF(COUNTIFS(Verweise!$A$2:$A$4542,Übersicht!$C$7,Verweise!$B$2:$B$4542,B2225)=1,"Feiertag",IF(C2225="Samstag","",IF(C2225="Sonntag","",Übersicht!$C$8)))</f>
        <v>Feiertag</v>
      </c>
    </row>
    <row r="2226" spans="1:4" x14ac:dyDescent="0.25">
      <c r="A2226" t="s">
        <v>63</v>
      </c>
      <c r="B2226" s="48">
        <v>44705</v>
      </c>
      <c r="C2226" t="s">
        <v>51</v>
      </c>
      <c r="D2226" t="str">
        <f>IF(COUNTIFS(Verweise!$A$2:$A$4542,Übersicht!$C$7,Verweise!$B$2:$B$4542,B2226)=1,"Feiertag",IF(C2226="Samstag","",IF(C2226="Sonntag","",Übersicht!$C$8)))</f>
        <v>Feiertag</v>
      </c>
    </row>
    <row r="2227" spans="1:4" x14ac:dyDescent="0.25">
      <c r="A2227" t="s">
        <v>63</v>
      </c>
      <c r="B2227" s="48">
        <v>44836</v>
      </c>
      <c r="C2227" t="s">
        <v>53</v>
      </c>
      <c r="D2227" t="str">
        <f>IF(COUNTIFS(Verweise!$A$2:$A$4542,Übersicht!$C$7,Verweise!$B$2:$B$4542,B2227)=1,"Feiertag",IF(C2227="Samstag","",IF(C2227="Sonntag","",Übersicht!$C$8)))</f>
        <v>Feiertag</v>
      </c>
    </row>
    <row r="2228" spans="1:4" x14ac:dyDescent="0.25">
      <c r="A2228" t="s">
        <v>63</v>
      </c>
      <c r="B2228" s="48">
        <v>44919</v>
      </c>
      <c r="C2228" t="s">
        <v>55</v>
      </c>
      <c r="D2228" t="str">
        <f>IF(COUNTIFS(Verweise!$A$2:$A$4542,Übersicht!$C$7,Verweise!$B$2:$B$4542,B2228)=1,"Feiertag",IF(C2228="Samstag","",IF(C2228="Sonntag","",Übersicht!$C$8)))</f>
        <v>Feiertag</v>
      </c>
    </row>
    <row r="2229" spans="1:4" x14ac:dyDescent="0.25">
      <c r="A2229" t="s">
        <v>63</v>
      </c>
      <c r="B2229" s="48">
        <v>44920</v>
      </c>
      <c r="C2229" t="s">
        <v>56</v>
      </c>
      <c r="D2229" t="str">
        <f>IF(COUNTIFS(Verweise!$A$2:$A$4542,Übersicht!$C$7,Verweise!$B$2:$B$4542,B2229)=1,"Feiertag",IF(C2229="Samstag","",IF(C2229="Sonntag","",Übersicht!$C$8)))</f>
        <v>Feiertag</v>
      </c>
    </row>
    <row r="2230" spans="1:4" x14ac:dyDescent="0.25">
      <c r="A2230" t="s">
        <v>64</v>
      </c>
      <c r="B2230" s="48">
        <v>44561</v>
      </c>
      <c r="C2230" t="s">
        <v>43</v>
      </c>
      <c r="D2230" t="str">
        <f>IF(COUNTIFS(Verweise!$A$2:$A$4542,Übersicht!$C$7,Verweise!$B$2:$B$4542,B2230)=1,"Feiertag",IF(C2230="Samstag","",IF(C2230="Sonntag","",Übersicht!$C$8)))</f>
        <v>Feiertag</v>
      </c>
    </row>
    <row r="2231" spans="1:4" x14ac:dyDescent="0.25">
      <c r="A2231" t="s">
        <v>64</v>
      </c>
      <c r="B2231" s="48">
        <v>44653</v>
      </c>
      <c r="C2231" t="s">
        <v>45</v>
      </c>
      <c r="D2231" t="str">
        <f>IF(COUNTIFS(Verweise!$A$2:$A$4542,Übersicht!$C$7,Verweise!$B$2:$B$4542,B2231)=1,"Feiertag",IF(C2231="Samstag","",IF(C2231="Sonntag","",Übersicht!$C$8)))</f>
        <v>Feiertag</v>
      </c>
    </row>
    <row r="2232" spans="1:4" x14ac:dyDescent="0.25">
      <c r="A2232" t="s">
        <v>64</v>
      </c>
      <c r="B2232" s="48">
        <v>44655</v>
      </c>
      <c r="C2232" t="s">
        <v>46</v>
      </c>
      <c r="D2232" t="str">
        <f>IF(COUNTIFS(Verweise!$A$2:$A$4542,Übersicht!$C$7,Verweise!$B$2:$B$4542,B2232)=1,"Feiertag",IF(C2232="Samstag","",IF(C2232="Sonntag","",Übersicht!$C$8)))</f>
        <v>Feiertag</v>
      </c>
    </row>
    <row r="2233" spans="1:4" x14ac:dyDescent="0.25">
      <c r="A2233" t="s">
        <v>64</v>
      </c>
      <c r="B2233" s="48">
        <v>44656</v>
      </c>
      <c r="C2233" t="s">
        <v>47</v>
      </c>
      <c r="D2233" t="str">
        <f>IF(COUNTIFS(Verweise!$A$2:$A$4542,Übersicht!$C$7,Verweise!$B$2:$B$4542,B2233)=1,"Feiertag",IF(C2233="Samstag","",IF(C2233="Sonntag","",Übersicht!$C$8)))</f>
        <v>Feiertag</v>
      </c>
    </row>
    <row r="2234" spans="1:4" x14ac:dyDescent="0.25">
      <c r="A2234" t="s">
        <v>64</v>
      </c>
      <c r="B2234" s="48">
        <v>44681</v>
      </c>
      <c r="C2234" t="s">
        <v>48</v>
      </c>
      <c r="D2234" t="str">
        <f>IF(COUNTIFS(Verweise!$A$2:$A$4542,Übersicht!$C$7,Verweise!$B$2:$B$4542,B2234)=1,"Feiertag",IF(C2234="Samstag","",IF(C2234="Sonntag","",Übersicht!$C$8)))</f>
        <v>Feiertag</v>
      </c>
    </row>
    <row r="2235" spans="1:4" x14ac:dyDescent="0.25">
      <c r="A2235" t="s">
        <v>64</v>
      </c>
      <c r="B2235" s="48">
        <v>44694</v>
      </c>
      <c r="C2235" t="s">
        <v>49</v>
      </c>
      <c r="D2235" t="str">
        <f>IF(COUNTIFS(Verweise!$A$2:$A$4542,Übersicht!$C$7,Verweise!$B$2:$B$4542,B2235)=1,"Feiertag",IF(C2235="Samstag","",IF(C2235="Sonntag","",Übersicht!$C$8)))</f>
        <v>Feiertag</v>
      </c>
    </row>
    <row r="2236" spans="1:4" x14ac:dyDescent="0.25">
      <c r="A2236" t="s">
        <v>64</v>
      </c>
      <c r="B2236" s="48">
        <v>44704</v>
      </c>
      <c r="C2236" t="s">
        <v>50</v>
      </c>
      <c r="D2236" t="str">
        <f>IF(COUNTIFS(Verweise!$A$2:$A$4542,Übersicht!$C$7,Verweise!$B$2:$B$4542,B2236)=1,"Feiertag",IF(C2236="Samstag","",IF(C2236="Sonntag","",Übersicht!$C$8)))</f>
        <v>Feiertag</v>
      </c>
    </row>
    <row r="2237" spans="1:4" x14ac:dyDescent="0.25">
      <c r="A2237" t="s">
        <v>64</v>
      </c>
      <c r="B2237" s="48">
        <v>44705</v>
      </c>
      <c r="C2237" t="s">
        <v>51</v>
      </c>
      <c r="D2237" t="str">
        <f>IF(COUNTIFS(Verweise!$A$2:$A$4542,Übersicht!$C$7,Verweise!$B$2:$B$4542,B2237)=1,"Feiertag",IF(C2237="Samstag","",IF(C2237="Sonntag","",Übersicht!$C$8)))</f>
        <v>Feiertag</v>
      </c>
    </row>
    <row r="2238" spans="1:4" x14ac:dyDescent="0.25">
      <c r="A2238" t="s">
        <v>64</v>
      </c>
      <c r="B2238" s="48">
        <v>44836</v>
      </c>
      <c r="C2238" t="s">
        <v>53</v>
      </c>
      <c r="D2238" t="str">
        <f>IF(COUNTIFS(Verweise!$A$2:$A$4542,Übersicht!$C$7,Verweise!$B$2:$B$4542,B2238)=1,"Feiertag",IF(C2238="Samstag","",IF(C2238="Sonntag","",Übersicht!$C$8)))</f>
        <v>Feiertag</v>
      </c>
    </row>
    <row r="2239" spans="1:4" x14ac:dyDescent="0.25">
      <c r="A2239" t="s">
        <v>64</v>
      </c>
      <c r="B2239" s="48">
        <v>44919</v>
      </c>
      <c r="C2239" t="s">
        <v>55</v>
      </c>
      <c r="D2239" t="str">
        <f>IF(COUNTIFS(Verweise!$A$2:$A$4542,Übersicht!$C$7,Verweise!$B$2:$B$4542,B2239)=1,"Feiertag",IF(C2239="Samstag","",IF(C2239="Sonntag","",Übersicht!$C$8)))</f>
        <v>Feiertag</v>
      </c>
    </row>
    <row r="2240" spans="1:4" x14ac:dyDescent="0.25">
      <c r="A2240" t="s">
        <v>64</v>
      </c>
      <c r="B2240" s="48">
        <v>44920</v>
      </c>
      <c r="C2240" t="s">
        <v>56</v>
      </c>
      <c r="D2240" t="str">
        <f>IF(COUNTIFS(Verweise!$A$2:$A$4542,Übersicht!$C$7,Verweise!$B$2:$B$4542,B2240)=1,"Feiertag",IF(C2240="Samstag","",IF(C2240="Sonntag","",Übersicht!$C$8)))</f>
        <v>Feiertag</v>
      </c>
    </row>
    <row r="2241" spans="1:4" x14ac:dyDescent="0.25">
      <c r="A2241" t="s">
        <v>65</v>
      </c>
      <c r="B2241" s="48">
        <v>44561</v>
      </c>
      <c r="C2241" t="s">
        <v>43</v>
      </c>
      <c r="D2241" t="str">
        <f>IF(COUNTIFS(Verweise!$A$2:$A$4542,Übersicht!$C$7,Verweise!$B$2:$B$4542,B2241)=1,"Feiertag",IF(C2241="Samstag","",IF(C2241="Sonntag","",Übersicht!$C$8)))</f>
        <v>Feiertag</v>
      </c>
    </row>
    <row r="2242" spans="1:4" x14ac:dyDescent="0.25">
      <c r="A2242" t="s">
        <v>65</v>
      </c>
      <c r="B2242" s="48">
        <v>44653</v>
      </c>
      <c r="C2242" t="s">
        <v>45</v>
      </c>
      <c r="D2242" t="str">
        <f>IF(COUNTIFS(Verweise!$A$2:$A$4542,Übersicht!$C$7,Verweise!$B$2:$B$4542,B2242)=1,"Feiertag",IF(C2242="Samstag","",IF(C2242="Sonntag","",Übersicht!$C$8)))</f>
        <v>Feiertag</v>
      </c>
    </row>
    <row r="2243" spans="1:4" x14ac:dyDescent="0.25">
      <c r="A2243" t="s">
        <v>65</v>
      </c>
      <c r="B2243" s="48">
        <v>44655</v>
      </c>
      <c r="C2243" t="s">
        <v>46</v>
      </c>
      <c r="D2243" t="str">
        <f>IF(COUNTIFS(Verweise!$A$2:$A$4542,Übersicht!$C$7,Verweise!$B$2:$B$4542,B2243)=1,"Feiertag",IF(C2243="Samstag","",IF(C2243="Sonntag","",Übersicht!$C$8)))</f>
        <v>Feiertag</v>
      </c>
    </row>
    <row r="2244" spans="1:4" x14ac:dyDescent="0.25">
      <c r="A2244" t="s">
        <v>65</v>
      </c>
      <c r="B2244" s="48">
        <v>44656</v>
      </c>
      <c r="C2244" t="s">
        <v>47</v>
      </c>
      <c r="D2244" t="str">
        <f>IF(COUNTIFS(Verweise!$A$2:$A$4542,Übersicht!$C$7,Verweise!$B$2:$B$4542,B2244)=1,"Feiertag",IF(C2244="Samstag","",IF(C2244="Sonntag","",Übersicht!$C$8)))</f>
        <v>Feiertag</v>
      </c>
    </row>
    <row r="2245" spans="1:4" x14ac:dyDescent="0.25">
      <c r="A2245" t="s">
        <v>65</v>
      </c>
      <c r="B2245" s="48">
        <v>44681</v>
      </c>
      <c r="C2245" t="s">
        <v>48</v>
      </c>
      <c r="D2245" t="str">
        <f>IF(COUNTIFS(Verweise!$A$2:$A$4542,Übersicht!$C$7,Verweise!$B$2:$B$4542,B2245)=1,"Feiertag",IF(C2245="Samstag","",IF(C2245="Sonntag","",Übersicht!$C$8)))</f>
        <v>Feiertag</v>
      </c>
    </row>
    <row r="2246" spans="1:4" x14ac:dyDescent="0.25">
      <c r="A2246" t="s">
        <v>65</v>
      </c>
      <c r="B2246" s="48">
        <v>44694</v>
      </c>
      <c r="C2246" t="s">
        <v>49</v>
      </c>
      <c r="D2246" t="str">
        <f>IF(COUNTIFS(Verweise!$A$2:$A$4542,Übersicht!$C$7,Verweise!$B$2:$B$4542,B2246)=1,"Feiertag",IF(C2246="Samstag","",IF(C2246="Sonntag","",Übersicht!$C$8)))</f>
        <v>Feiertag</v>
      </c>
    </row>
    <row r="2247" spans="1:4" x14ac:dyDescent="0.25">
      <c r="A2247" t="s">
        <v>65</v>
      </c>
      <c r="B2247" s="48">
        <v>44704</v>
      </c>
      <c r="C2247" t="s">
        <v>50</v>
      </c>
      <c r="D2247" t="str">
        <f>IF(COUNTIFS(Verweise!$A$2:$A$4542,Übersicht!$C$7,Verweise!$B$2:$B$4542,B2247)=1,"Feiertag",IF(C2247="Samstag","",IF(C2247="Sonntag","",Übersicht!$C$8)))</f>
        <v>Feiertag</v>
      </c>
    </row>
    <row r="2248" spans="1:4" x14ac:dyDescent="0.25">
      <c r="A2248" t="s">
        <v>65</v>
      </c>
      <c r="B2248" s="48">
        <v>44705</v>
      </c>
      <c r="C2248" t="s">
        <v>51</v>
      </c>
      <c r="D2248" t="str">
        <f>IF(COUNTIFS(Verweise!$A$2:$A$4542,Übersicht!$C$7,Verweise!$B$2:$B$4542,B2248)=1,"Feiertag",IF(C2248="Samstag","",IF(C2248="Sonntag","",Übersicht!$C$8)))</f>
        <v>Feiertag</v>
      </c>
    </row>
    <row r="2249" spans="1:4" x14ac:dyDescent="0.25">
      <c r="A2249" t="s">
        <v>65</v>
      </c>
      <c r="B2249" s="48">
        <v>44715</v>
      </c>
      <c r="C2249" t="s">
        <v>52</v>
      </c>
      <c r="D2249" t="str">
        <f>IF(COUNTIFS(Verweise!$A$2:$A$4542,Übersicht!$C$7,Verweise!$B$2:$B$4542,B2249)=1,"Feiertag",IF(C2249="Samstag","",IF(C2249="Sonntag","",Übersicht!$C$8)))</f>
        <v>Feiertag</v>
      </c>
    </row>
    <row r="2250" spans="1:4" x14ac:dyDescent="0.25">
      <c r="A2250" t="s">
        <v>65</v>
      </c>
      <c r="B2250" s="48">
        <v>44836</v>
      </c>
      <c r="C2250" t="s">
        <v>53</v>
      </c>
      <c r="D2250" t="str">
        <f>IF(COUNTIFS(Verweise!$A$2:$A$4542,Übersicht!$C$7,Verweise!$B$2:$B$4542,B2250)=1,"Feiertag",IF(C2250="Samstag","",IF(C2250="Sonntag","",Übersicht!$C$8)))</f>
        <v>Feiertag</v>
      </c>
    </row>
    <row r="2251" spans="1:4" x14ac:dyDescent="0.25">
      <c r="A2251" t="s">
        <v>65</v>
      </c>
      <c r="B2251" s="48">
        <v>44919</v>
      </c>
      <c r="C2251" t="s">
        <v>55</v>
      </c>
      <c r="D2251" t="str">
        <f>IF(COUNTIFS(Verweise!$A$2:$A$4542,Übersicht!$C$7,Verweise!$B$2:$B$4542,B2251)=1,"Feiertag",IF(C2251="Samstag","",IF(C2251="Sonntag","",Übersicht!$C$8)))</f>
        <v>Feiertag</v>
      </c>
    </row>
    <row r="2252" spans="1:4" x14ac:dyDescent="0.25">
      <c r="A2252" t="s">
        <v>65</v>
      </c>
      <c r="B2252" s="48">
        <v>44920</v>
      </c>
      <c r="C2252" t="s">
        <v>56</v>
      </c>
      <c r="D2252" t="str">
        <f>IF(COUNTIFS(Verweise!$A$2:$A$4542,Übersicht!$C$7,Verweise!$B$2:$B$4542,B2252)=1,"Feiertag",IF(C2252="Samstag","",IF(C2252="Sonntag","",Übersicht!$C$8)))</f>
        <v>Feiertag</v>
      </c>
    </row>
    <row r="2253" spans="1:4" x14ac:dyDescent="0.25">
      <c r="A2253" t="s">
        <v>66</v>
      </c>
      <c r="B2253" s="48">
        <v>44561</v>
      </c>
      <c r="C2253" t="s">
        <v>43</v>
      </c>
      <c r="D2253" t="str">
        <f>IF(COUNTIFS(Verweise!$A$2:$A$4542,Übersicht!$C$7,Verweise!$B$2:$B$4542,B2253)=1,"Feiertag",IF(C2253="Samstag","",IF(C2253="Sonntag","",Übersicht!$C$8)))</f>
        <v>Feiertag</v>
      </c>
    </row>
    <row r="2254" spans="1:4" x14ac:dyDescent="0.25">
      <c r="A2254" t="s">
        <v>66</v>
      </c>
      <c r="B2254" s="48">
        <v>44653</v>
      </c>
      <c r="C2254" t="s">
        <v>45</v>
      </c>
      <c r="D2254" t="str">
        <f>IF(COUNTIFS(Verweise!$A$2:$A$4542,Übersicht!$C$7,Verweise!$B$2:$B$4542,B2254)=1,"Feiertag",IF(C2254="Samstag","",IF(C2254="Sonntag","",Übersicht!$C$8)))</f>
        <v>Feiertag</v>
      </c>
    </row>
    <row r="2255" spans="1:4" x14ac:dyDescent="0.25">
      <c r="A2255" t="s">
        <v>66</v>
      </c>
      <c r="B2255" s="48">
        <v>44655</v>
      </c>
      <c r="C2255" t="s">
        <v>46</v>
      </c>
      <c r="D2255" t="str">
        <f>IF(COUNTIFS(Verweise!$A$2:$A$4542,Übersicht!$C$7,Verweise!$B$2:$B$4542,B2255)=1,"Feiertag",IF(C2255="Samstag","",IF(C2255="Sonntag","",Übersicht!$C$8)))</f>
        <v>Feiertag</v>
      </c>
    </row>
    <row r="2256" spans="1:4" x14ac:dyDescent="0.25">
      <c r="A2256" t="s">
        <v>66</v>
      </c>
      <c r="B2256" s="48">
        <v>44656</v>
      </c>
      <c r="C2256" t="s">
        <v>47</v>
      </c>
      <c r="D2256" t="str">
        <f>IF(COUNTIFS(Verweise!$A$2:$A$4542,Übersicht!$C$7,Verweise!$B$2:$B$4542,B2256)=1,"Feiertag",IF(C2256="Samstag","",IF(C2256="Sonntag","",Übersicht!$C$8)))</f>
        <v>Feiertag</v>
      </c>
    </row>
    <row r="2257" spans="1:4" x14ac:dyDescent="0.25">
      <c r="A2257" t="s">
        <v>66</v>
      </c>
      <c r="B2257" s="48">
        <v>44681</v>
      </c>
      <c r="C2257" t="s">
        <v>48</v>
      </c>
      <c r="D2257" t="str">
        <f>IF(COUNTIFS(Verweise!$A$2:$A$4542,Übersicht!$C$7,Verweise!$B$2:$B$4542,B2257)=1,"Feiertag",IF(C2257="Samstag","",IF(C2257="Sonntag","",Übersicht!$C$8)))</f>
        <v>Feiertag</v>
      </c>
    </row>
    <row r="2258" spans="1:4" x14ac:dyDescent="0.25">
      <c r="A2258" t="s">
        <v>66</v>
      </c>
      <c r="B2258" s="48">
        <v>44694</v>
      </c>
      <c r="C2258" t="s">
        <v>49</v>
      </c>
      <c r="D2258" t="str">
        <f>IF(COUNTIFS(Verweise!$A$2:$A$4542,Übersicht!$C$7,Verweise!$B$2:$B$4542,B2258)=1,"Feiertag",IF(C2258="Samstag","",IF(C2258="Sonntag","",Übersicht!$C$8)))</f>
        <v>Feiertag</v>
      </c>
    </row>
    <row r="2259" spans="1:4" x14ac:dyDescent="0.25">
      <c r="A2259" t="s">
        <v>66</v>
      </c>
      <c r="B2259" s="48">
        <v>44704</v>
      </c>
      <c r="C2259" t="s">
        <v>50</v>
      </c>
      <c r="D2259" t="str">
        <f>IF(COUNTIFS(Verweise!$A$2:$A$4542,Übersicht!$C$7,Verweise!$B$2:$B$4542,B2259)=1,"Feiertag",IF(C2259="Samstag","",IF(C2259="Sonntag","",Übersicht!$C$8)))</f>
        <v>Feiertag</v>
      </c>
    </row>
    <row r="2260" spans="1:4" x14ac:dyDescent="0.25">
      <c r="A2260" t="s">
        <v>66</v>
      </c>
      <c r="B2260" s="48">
        <v>44705</v>
      </c>
      <c r="C2260" t="s">
        <v>51</v>
      </c>
      <c r="D2260" t="str">
        <f>IF(COUNTIFS(Verweise!$A$2:$A$4542,Übersicht!$C$7,Verweise!$B$2:$B$4542,B2260)=1,"Feiertag",IF(C2260="Samstag","",IF(C2260="Sonntag","",Übersicht!$C$8)))</f>
        <v>Feiertag</v>
      </c>
    </row>
    <row r="2261" spans="1:4" x14ac:dyDescent="0.25">
      <c r="A2261" t="s">
        <v>66</v>
      </c>
      <c r="B2261" s="48">
        <v>44836</v>
      </c>
      <c r="C2261" t="s">
        <v>53</v>
      </c>
      <c r="D2261" t="str">
        <f>IF(COUNTIFS(Verweise!$A$2:$A$4542,Übersicht!$C$7,Verweise!$B$2:$B$4542,B2261)=1,"Feiertag",IF(C2261="Samstag","",IF(C2261="Sonntag","",Übersicht!$C$8)))</f>
        <v>Feiertag</v>
      </c>
    </row>
    <row r="2262" spans="1:4" x14ac:dyDescent="0.25">
      <c r="A2262" t="s">
        <v>66</v>
      </c>
      <c r="B2262" s="48">
        <v>44864</v>
      </c>
      <c r="C2262" t="s">
        <v>62</v>
      </c>
      <c r="D2262" t="str">
        <f>IF(COUNTIFS(Verweise!$A$2:$A$4542,Übersicht!$C$7,Verweise!$B$2:$B$4542,B2262)=1,"Feiertag",IF(C2262="Samstag","",IF(C2262="Sonntag","",Übersicht!$C$8)))</f>
        <v>Büro</v>
      </c>
    </row>
    <row r="2263" spans="1:4" x14ac:dyDescent="0.25">
      <c r="A2263" t="s">
        <v>66</v>
      </c>
      <c r="B2263" s="48">
        <v>44919</v>
      </c>
      <c r="C2263" t="s">
        <v>55</v>
      </c>
      <c r="D2263" t="str">
        <f>IF(COUNTIFS(Verweise!$A$2:$A$4542,Übersicht!$C$7,Verweise!$B$2:$B$4542,B2263)=1,"Feiertag",IF(C2263="Samstag","",IF(C2263="Sonntag","",Übersicht!$C$8)))</f>
        <v>Feiertag</v>
      </c>
    </row>
    <row r="2264" spans="1:4" x14ac:dyDescent="0.25">
      <c r="A2264" t="s">
        <v>66</v>
      </c>
      <c r="B2264" s="48">
        <v>44920</v>
      </c>
      <c r="C2264" t="s">
        <v>56</v>
      </c>
      <c r="D2264" t="str">
        <f>IF(COUNTIFS(Verweise!$A$2:$A$4542,Übersicht!$C$7,Verweise!$B$2:$B$4542,B2264)=1,"Feiertag",IF(C2264="Samstag","",IF(C2264="Sonntag","",Übersicht!$C$8)))</f>
        <v>Feiertag</v>
      </c>
    </row>
    <row r="2265" spans="1:4" x14ac:dyDescent="0.25">
      <c r="A2265" t="s">
        <v>67</v>
      </c>
      <c r="B2265" s="48">
        <v>44561</v>
      </c>
      <c r="C2265" t="s">
        <v>43</v>
      </c>
      <c r="D2265" t="str">
        <f>IF(COUNTIFS(Verweise!$A$2:$A$4542,Übersicht!$C$7,Verweise!$B$2:$B$4542,B2265)=1,"Feiertag",IF(C2265="Samstag","",IF(C2265="Sonntag","",Übersicht!$C$8)))</f>
        <v>Feiertag</v>
      </c>
    </row>
    <row r="2266" spans="1:4" x14ac:dyDescent="0.25">
      <c r="A2266" t="s">
        <v>67</v>
      </c>
      <c r="B2266" s="48">
        <v>44653</v>
      </c>
      <c r="C2266" t="s">
        <v>45</v>
      </c>
      <c r="D2266" t="str">
        <f>IF(COUNTIFS(Verweise!$A$2:$A$4542,Übersicht!$C$7,Verweise!$B$2:$B$4542,B2266)=1,"Feiertag",IF(C2266="Samstag","",IF(C2266="Sonntag","",Übersicht!$C$8)))</f>
        <v>Feiertag</v>
      </c>
    </row>
    <row r="2267" spans="1:4" x14ac:dyDescent="0.25">
      <c r="A2267" t="s">
        <v>67</v>
      </c>
      <c r="B2267" s="48">
        <v>44655</v>
      </c>
      <c r="C2267" t="s">
        <v>46</v>
      </c>
      <c r="D2267" t="str">
        <f>IF(COUNTIFS(Verweise!$A$2:$A$4542,Übersicht!$C$7,Verweise!$B$2:$B$4542,B2267)=1,"Feiertag",IF(C2267="Samstag","",IF(C2267="Sonntag","",Übersicht!$C$8)))</f>
        <v>Feiertag</v>
      </c>
    </row>
    <row r="2268" spans="1:4" x14ac:dyDescent="0.25">
      <c r="A2268" t="s">
        <v>67</v>
      </c>
      <c r="B2268" s="48">
        <v>44656</v>
      </c>
      <c r="C2268" t="s">
        <v>47</v>
      </c>
      <c r="D2268" t="str">
        <f>IF(COUNTIFS(Verweise!$A$2:$A$4542,Übersicht!$C$7,Verweise!$B$2:$B$4542,B2268)=1,"Feiertag",IF(C2268="Samstag","",IF(C2268="Sonntag","",Übersicht!$C$8)))</f>
        <v>Feiertag</v>
      </c>
    </row>
    <row r="2269" spans="1:4" x14ac:dyDescent="0.25">
      <c r="A2269" t="s">
        <v>67</v>
      </c>
      <c r="B2269" s="48">
        <v>44681</v>
      </c>
      <c r="C2269" t="s">
        <v>48</v>
      </c>
      <c r="D2269" t="str">
        <f>IF(COUNTIFS(Verweise!$A$2:$A$4542,Übersicht!$C$7,Verweise!$B$2:$B$4542,B2269)=1,"Feiertag",IF(C2269="Samstag","",IF(C2269="Sonntag","",Übersicht!$C$8)))</f>
        <v>Feiertag</v>
      </c>
    </row>
    <row r="2270" spans="1:4" x14ac:dyDescent="0.25">
      <c r="A2270" t="s">
        <v>67</v>
      </c>
      <c r="B2270" s="48">
        <v>44694</v>
      </c>
      <c r="C2270" t="s">
        <v>49</v>
      </c>
      <c r="D2270" t="str">
        <f>IF(COUNTIFS(Verweise!$A$2:$A$4542,Übersicht!$C$7,Verweise!$B$2:$B$4542,B2270)=1,"Feiertag",IF(C2270="Samstag","",IF(C2270="Sonntag","",Übersicht!$C$8)))</f>
        <v>Feiertag</v>
      </c>
    </row>
    <row r="2271" spans="1:4" x14ac:dyDescent="0.25">
      <c r="A2271" t="s">
        <v>67</v>
      </c>
      <c r="B2271" s="48">
        <v>44704</v>
      </c>
      <c r="C2271" t="s">
        <v>50</v>
      </c>
      <c r="D2271" t="str">
        <f>IF(COUNTIFS(Verweise!$A$2:$A$4542,Übersicht!$C$7,Verweise!$B$2:$B$4542,B2271)=1,"Feiertag",IF(C2271="Samstag","",IF(C2271="Sonntag","",Übersicht!$C$8)))</f>
        <v>Feiertag</v>
      </c>
    </row>
    <row r="2272" spans="1:4" x14ac:dyDescent="0.25">
      <c r="A2272" t="s">
        <v>67</v>
      </c>
      <c r="B2272" s="48">
        <v>44705</v>
      </c>
      <c r="C2272" t="s">
        <v>51</v>
      </c>
      <c r="D2272" t="str">
        <f>IF(COUNTIFS(Verweise!$A$2:$A$4542,Übersicht!$C$7,Verweise!$B$2:$B$4542,B2272)=1,"Feiertag",IF(C2272="Samstag","",IF(C2272="Sonntag","",Übersicht!$C$8)))</f>
        <v>Feiertag</v>
      </c>
    </row>
    <row r="2273" spans="1:4" x14ac:dyDescent="0.25">
      <c r="A2273" t="s">
        <v>67</v>
      </c>
      <c r="B2273" s="48">
        <v>44836</v>
      </c>
      <c r="C2273" t="s">
        <v>53</v>
      </c>
      <c r="D2273" t="str">
        <f>IF(COUNTIFS(Verweise!$A$2:$A$4542,Übersicht!$C$7,Verweise!$B$2:$B$4542,B2273)=1,"Feiertag",IF(C2273="Samstag","",IF(C2273="Sonntag","",Übersicht!$C$8)))</f>
        <v>Feiertag</v>
      </c>
    </row>
    <row r="2274" spans="1:4" x14ac:dyDescent="0.25">
      <c r="A2274" t="s">
        <v>67</v>
      </c>
      <c r="B2274" s="48">
        <v>44919</v>
      </c>
      <c r="C2274" t="s">
        <v>55</v>
      </c>
      <c r="D2274" t="str">
        <f>IF(COUNTIFS(Verweise!$A$2:$A$4542,Übersicht!$C$7,Verweise!$B$2:$B$4542,B2274)=1,"Feiertag",IF(C2274="Samstag","",IF(C2274="Sonntag","",Übersicht!$C$8)))</f>
        <v>Feiertag</v>
      </c>
    </row>
    <row r="2275" spans="1:4" x14ac:dyDescent="0.25">
      <c r="A2275" t="s">
        <v>67</v>
      </c>
      <c r="B2275" s="48">
        <v>44920</v>
      </c>
      <c r="C2275" t="s">
        <v>56</v>
      </c>
      <c r="D2275" t="str">
        <f>IF(COUNTIFS(Verweise!$A$2:$A$4542,Übersicht!$C$7,Verweise!$B$2:$B$4542,B2275)=1,"Feiertag",IF(C2275="Samstag","",IF(C2275="Sonntag","",Übersicht!$C$8)))</f>
        <v>Feiertag</v>
      </c>
    </row>
    <row r="2276" spans="1:4" x14ac:dyDescent="0.25">
      <c r="A2276" t="s">
        <v>68</v>
      </c>
      <c r="B2276" s="48">
        <v>44561</v>
      </c>
      <c r="C2276" t="s">
        <v>43</v>
      </c>
      <c r="D2276" t="str">
        <f>IF(COUNTIFS(Verweise!$A$2:$A$4542,Übersicht!$C$7,Verweise!$B$2:$B$4542,B2276)=1,"Feiertag",IF(C2276="Samstag","",IF(C2276="Sonntag","",Übersicht!$C$8)))</f>
        <v>Feiertag</v>
      </c>
    </row>
    <row r="2277" spans="1:4" x14ac:dyDescent="0.25">
      <c r="A2277" t="s">
        <v>68</v>
      </c>
      <c r="B2277" s="48">
        <v>44653</v>
      </c>
      <c r="C2277" t="s">
        <v>45</v>
      </c>
      <c r="D2277" t="str">
        <f>IF(COUNTIFS(Verweise!$A$2:$A$4542,Übersicht!$C$7,Verweise!$B$2:$B$4542,B2277)=1,"Feiertag",IF(C2277="Samstag","",IF(C2277="Sonntag","",Übersicht!$C$8)))</f>
        <v>Feiertag</v>
      </c>
    </row>
    <row r="2278" spans="1:4" x14ac:dyDescent="0.25">
      <c r="A2278" t="s">
        <v>68</v>
      </c>
      <c r="B2278" s="48">
        <v>44655</v>
      </c>
      <c r="C2278" t="s">
        <v>46</v>
      </c>
      <c r="D2278" t="str">
        <f>IF(COUNTIFS(Verweise!$A$2:$A$4542,Übersicht!$C$7,Verweise!$B$2:$B$4542,B2278)=1,"Feiertag",IF(C2278="Samstag","",IF(C2278="Sonntag","",Übersicht!$C$8)))</f>
        <v>Feiertag</v>
      </c>
    </row>
    <row r="2279" spans="1:4" x14ac:dyDescent="0.25">
      <c r="A2279" t="s">
        <v>68</v>
      </c>
      <c r="B2279" s="48">
        <v>44656</v>
      </c>
      <c r="C2279" t="s">
        <v>47</v>
      </c>
      <c r="D2279" t="str">
        <f>IF(COUNTIFS(Verweise!$A$2:$A$4542,Übersicht!$C$7,Verweise!$B$2:$B$4542,B2279)=1,"Feiertag",IF(C2279="Samstag","",IF(C2279="Sonntag","",Übersicht!$C$8)))</f>
        <v>Feiertag</v>
      </c>
    </row>
    <row r="2280" spans="1:4" x14ac:dyDescent="0.25">
      <c r="A2280" t="s">
        <v>68</v>
      </c>
      <c r="B2280" s="48">
        <v>44681</v>
      </c>
      <c r="C2280" t="s">
        <v>48</v>
      </c>
      <c r="D2280" t="str">
        <f>IF(COUNTIFS(Verweise!$A$2:$A$4542,Übersicht!$C$7,Verweise!$B$2:$B$4542,B2280)=1,"Feiertag",IF(C2280="Samstag","",IF(C2280="Sonntag","",Übersicht!$C$8)))</f>
        <v>Feiertag</v>
      </c>
    </row>
    <row r="2281" spans="1:4" x14ac:dyDescent="0.25">
      <c r="A2281" t="s">
        <v>68</v>
      </c>
      <c r="B2281" s="48">
        <v>44694</v>
      </c>
      <c r="C2281" t="s">
        <v>49</v>
      </c>
      <c r="D2281" t="str">
        <f>IF(COUNTIFS(Verweise!$A$2:$A$4542,Übersicht!$C$7,Verweise!$B$2:$B$4542,B2281)=1,"Feiertag",IF(C2281="Samstag","",IF(C2281="Sonntag","",Übersicht!$C$8)))</f>
        <v>Feiertag</v>
      </c>
    </row>
    <row r="2282" spans="1:4" x14ac:dyDescent="0.25">
      <c r="A2282" t="s">
        <v>68</v>
      </c>
      <c r="B2282" s="48">
        <v>44704</v>
      </c>
      <c r="C2282" t="s">
        <v>50</v>
      </c>
      <c r="D2282" t="str">
        <f>IF(COUNTIFS(Verweise!$A$2:$A$4542,Übersicht!$C$7,Verweise!$B$2:$B$4542,B2282)=1,"Feiertag",IF(C2282="Samstag","",IF(C2282="Sonntag","",Übersicht!$C$8)))</f>
        <v>Feiertag</v>
      </c>
    </row>
    <row r="2283" spans="1:4" x14ac:dyDescent="0.25">
      <c r="A2283" t="s">
        <v>68</v>
      </c>
      <c r="B2283" s="48">
        <v>44705</v>
      </c>
      <c r="C2283" t="s">
        <v>51</v>
      </c>
      <c r="D2283" t="str">
        <f>IF(COUNTIFS(Verweise!$A$2:$A$4542,Übersicht!$C$7,Verweise!$B$2:$B$4542,B2283)=1,"Feiertag",IF(C2283="Samstag","",IF(C2283="Sonntag","",Übersicht!$C$8)))</f>
        <v>Feiertag</v>
      </c>
    </row>
    <row r="2284" spans="1:4" x14ac:dyDescent="0.25">
      <c r="A2284" t="s">
        <v>68</v>
      </c>
      <c r="B2284" s="48">
        <v>44715</v>
      </c>
      <c r="C2284" t="s">
        <v>52</v>
      </c>
      <c r="D2284" t="str">
        <f>IF(COUNTIFS(Verweise!$A$2:$A$4542,Übersicht!$C$7,Verweise!$B$2:$B$4542,B2284)=1,"Feiertag",IF(C2284="Samstag","",IF(C2284="Sonntag","",Übersicht!$C$8)))</f>
        <v>Feiertag</v>
      </c>
    </row>
    <row r="2285" spans="1:4" x14ac:dyDescent="0.25">
      <c r="A2285" t="s">
        <v>68</v>
      </c>
      <c r="B2285" s="48">
        <v>44836</v>
      </c>
      <c r="C2285" t="s">
        <v>53</v>
      </c>
      <c r="D2285" t="str">
        <f>IF(COUNTIFS(Verweise!$A$2:$A$4542,Übersicht!$C$7,Verweise!$B$2:$B$4542,B2285)=1,"Feiertag",IF(C2285="Samstag","",IF(C2285="Sonntag","",Übersicht!$C$8)))</f>
        <v>Feiertag</v>
      </c>
    </row>
    <row r="2286" spans="1:4" x14ac:dyDescent="0.25">
      <c r="A2286" t="s">
        <v>68</v>
      </c>
      <c r="B2286" s="48">
        <v>44865</v>
      </c>
      <c r="C2286" t="s">
        <v>54</v>
      </c>
      <c r="D2286" t="str">
        <f>IF(COUNTIFS(Verweise!$A$2:$A$4542,Übersicht!$C$7,Verweise!$B$2:$B$4542,B2286)=1,"Feiertag",IF(C2286="Samstag","",IF(C2286="Sonntag","",Übersicht!$C$8)))</f>
        <v>Feiertag</v>
      </c>
    </row>
    <row r="2287" spans="1:4" x14ac:dyDescent="0.25">
      <c r="A2287" t="s">
        <v>68</v>
      </c>
      <c r="B2287" s="48">
        <v>44919</v>
      </c>
      <c r="C2287" t="s">
        <v>55</v>
      </c>
      <c r="D2287" t="str">
        <f>IF(COUNTIFS(Verweise!$A$2:$A$4542,Übersicht!$C$7,Verweise!$B$2:$B$4542,B2287)=1,"Feiertag",IF(C2287="Samstag","",IF(C2287="Sonntag","",Übersicht!$C$8)))</f>
        <v>Feiertag</v>
      </c>
    </row>
    <row r="2288" spans="1:4" x14ac:dyDescent="0.25">
      <c r="A2288" t="s">
        <v>68</v>
      </c>
      <c r="B2288" s="48">
        <v>44920</v>
      </c>
      <c r="C2288" t="s">
        <v>56</v>
      </c>
      <c r="D2288" t="str">
        <f>IF(COUNTIFS(Verweise!$A$2:$A$4542,Übersicht!$C$7,Verweise!$B$2:$B$4542,B2288)=1,"Feiertag",IF(C2288="Samstag","",IF(C2288="Sonntag","",Übersicht!$C$8)))</f>
        <v>Feiertag</v>
      </c>
    </row>
    <row r="2289" spans="1:4" x14ac:dyDescent="0.25">
      <c r="A2289" t="s">
        <v>69</v>
      </c>
      <c r="B2289" s="48">
        <v>44561</v>
      </c>
      <c r="C2289" t="s">
        <v>43</v>
      </c>
      <c r="D2289" t="str">
        <f>IF(COUNTIFS(Verweise!$A$2:$A$4542,Übersicht!$C$7,Verweise!$B$2:$B$4542,B2289)=1,"Feiertag",IF(C2289="Samstag","",IF(C2289="Sonntag","",Übersicht!$C$8)))</f>
        <v>Feiertag</v>
      </c>
    </row>
    <row r="2290" spans="1:4" x14ac:dyDescent="0.25">
      <c r="A2290" t="s">
        <v>69</v>
      </c>
      <c r="B2290" s="48">
        <v>44653</v>
      </c>
      <c r="C2290" t="s">
        <v>45</v>
      </c>
      <c r="D2290" t="str">
        <f>IF(COUNTIFS(Verweise!$A$2:$A$4542,Übersicht!$C$7,Verweise!$B$2:$B$4542,B2290)=1,"Feiertag",IF(C2290="Samstag","",IF(C2290="Sonntag","",Übersicht!$C$8)))</f>
        <v>Feiertag</v>
      </c>
    </row>
    <row r="2291" spans="1:4" x14ac:dyDescent="0.25">
      <c r="A2291" t="s">
        <v>69</v>
      </c>
      <c r="B2291" s="48">
        <v>44655</v>
      </c>
      <c r="C2291" t="s">
        <v>46</v>
      </c>
      <c r="D2291" t="str">
        <f>IF(COUNTIFS(Verweise!$A$2:$A$4542,Übersicht!$C$7,Verweise!$B$2:$B$4542,B2291)=1,"Feiertag",IF(C2291="Samstag","",IF(C2291="Sonntag","",Übersicht!$C$8)))</f>
        <v>Feiertag</v>
      </c>
    </row>
    <row r="2292" spans="1:4" x14ac:dyDescent="0.25">
      <c r="A2292" t="s">
        <v>69</v>
      </c>
      <c r="B2292" s="48">
        <v>44656</v>
      </c>
      <c r="C2292" t="s">
        <v>47</v>
      </c>
      <c r="D2292" t="str">
        <f>IF(COUNTIFS(Verweise!$A$2:$A$4542,Übersicht!$C$7,Verweise!$B$2:$B$4542,B2292)=1,"Feiertag",IF(C2292="Samstag","",IF(C2292="Sonntag","",Übersicht!$C$8)))</f>
        <v>Feiertag</v>
      </c>
    </row>
    <row r="2293" spans="1:4" x14ac:dyDescent="0.25">
      <c r="A2293" t="s">
        <v>69</v>
      </c>
      <c r="B2293" s="48">
        <v>44681</v>
      </c>
      <c r="C2293" t="s">
        <v>48</v>
      </c>
      <c r="D2293" t="str">
        <f>IF(COUNTIFS(Verweise!$A$2:$A$4542,Übersicht!$C$7,Verweise!$B$2:$B$4542,B2293)=1,"Feiertag",IF(C2293="Samstag","",IF(C2293="Sonntag","",Übersicht!$C$8)))</f>
        <v>Feiertag</v>
      </c>
    </row>
    <row r="2294" spans="1:4" x14ac:dyDescent="0.25">
      <c r="A2294" t="s">
        <v>69</v>
      </c>
      <c r="B2294" s="48">
        <v>44694</v>
      </c>
      <c r="C2294" t="s">
        <v>49</v>
      </c>
      <c r="D2294" t="str">
        <f>IF(COUNTIFS(Verweise!$A$2:$A$4542,Übersicht!$C$7,Verweise!$B$2:$B$4542,B2294)=1,"Feiertag",IF(C2294="Samstag","",IF(C2294="Sonntag","",Übersicht!$C$8)))</f>
        <v>Feiertag</v>
      </c>
    </row>
    <row r="2295" spans="1:4" x14ac:dyDescent="0.25">
      <c r="A2295" t="s">
        <v>69</v>
      </c>
      <c r="B2295" s="48">
        <v>44704</v>
      </c>
      <c r="C2295" t="s">
        <v>50</v>
      </c>
      <c r="D2295" t="str">
        <f>IF(COUNTIFS(Verweise!$A$2:$A$4542,Übersicht!$C$7,Verweise!$B$2:$B$4542,B2295)=1,"Feiertag",IF(C2295="Samstag","",IF(C2295="Sonntag","",Übersicht!$C$8)))</f>
        <v>Feiertag</v>
      </c>
    </row>
    <row r="2296" spans="1:4" x14ac:dyDescent="0.25">
      <c r="A2296" t="s">
        <v>69</v>
      </c>
      <c r="B2296" s="48">
        <v>44705</v>
      </c>
      <c r="C2296" t="s">
        <v>51</v>
      </c>
      <c r="D2296" t="str">
        <f>IF(COUNTIFS(Verweise!$A$2:$A$4542,Übersicht!$C$7,Verweise!$B$2:$B$4542,B2296)=1,"Feiertag",IF(C2296="Samstag","",IF(C2296="Sonntag","",Übersicht!$C$8)))</f>
        <v>Feiertag</v>
      </c>
    </row>
    <row r="2297" spans="1:4" x14ac:dyDescent="0.25">
      <c r="A2297" t="s">
        <v>69</v>
      </c>
      <c r="B2297" s="48">
        <v>44715</v>
      </c>
      <c r="C2297" t="s">
        <v>52</v>
      </c>
      <c r="D2297" t="str">
        <f>IF(COUNTIFS(Verweise!$A$2:$A$4542,Übersicht!$C$7,Verweise!$B$2:$B$4542,B2297)=1,"Feiertag",IF(C2297="Samstag","",IF(C2297="Sonntag","",Übersicht!$C$8)))</f>
        <v>Feiertag</v>
      </c>
    </row>
    <row r="2298" spans="1:4" x14ac:dyDescent="0.25">
      <c r="A2298" t="s">
        <v>69</v>
      </c>
      <c r="B2298" s="48">
        <v>44836</v>
      </c>
      <c r="C2298" t="s">
        <v>53</v>
      </c>
      <c r="D2298" t="str">
        <f>IF(COUNTIFS(Verweise!$A$2:$A$4542,Übersicht!$C$7,Verweise!$B$2:$B$4542,B2298)=1,"Feiertag",IF(C2298="Samstag","",IF(C2298="Sonntag","",Übersicht!$C$8)))</f>
        <v>Feiertag</v>
      </c>
    </row>
    <row r="2299" spans="1:4" x14ac:dyDescent="0.25">
      <c r="A2299" t="s">
        <v>69</v>
      </c>
      <c r="B2299" s="48">
        <v>44865</v>
      </c>
      <c r="C2299" t="s">
        <v>54</v>
      </c>
      <c r="D2299" t="str">
        <f>IF(COUNTIFS(Verweise!$A$2:$A$4542,Übersicht!$C$7,Verweise!$B$2:$B$4542,B2299)=1,"Feiertag",IF(C2299="Samstag","",IF(C2299="Sonntag","",Übersicht!$C$8)))</f>
        <v>Feiertag</v>
      </c>
    </row>
    <row r="2300" spans="1:4" x14ac:dyDescent="0.25">
      <c r="A2300" t="s">
        <v>69</v>
      </c>
      <c r="B2300" s="48">
        <v>44919</v>
      </c>
      <c r="C2300" t="s">
        <v>55</v>
      </c>
      <c r="D2300" t="str">
        <f>IF(COUNTIFS(Verweise!$A$2:$A$4542,Übersicht!$C$7,Verweise!$B$2:$B$4542,B2300)=1,"Feiertag",IF(C2300="Samstag","",IF(C2300="Sonntag","",Übersicht!$C$8)))</f>
        <v>Feiertag</v>
      </c>
    </row>
    <row r="2301" spans="1:4" x14ac:dyDescent="0.25">
      <c r="A2301" t="s">
        <v>69</v>
      </c>
      <c r="B2301" s="48">
        <v>44920</v>
      </c>
      <c r="C2301" t="s">
        <v>56</v>
      </c>
      <c r="D2301" t="str">
        <f>IF(COUNTIFS(Verweise!$A$2:$A$4542,Übersicht!$C$7,Verweise!$B$2:$B$4542,B2301)=1,"Feiertag",IF(C2301="Samstag","",IF(C2301="Sonntag","",Übersicht!$C$8)))</f>
        <v>Feiertag</v>
      </c>
    </row>
    <row r="2302" spans="1:4" x14ac:dyDescent="0.25">
      <c r="A2302" t="s">
        <v>70</v>
      </c>
      <c r="B2302" s="48">
        <v>44561</v>
      </c>
      <c r="C2302" t="s">
        <v>43</v>
      </c>
      <c r="D2302" t="str">
        <f>IF(COUNTIFS(Verweise!$A$2:$A$4542,Übersicht!$C$7,Verweise!$B$2:$B$4542,B2302)=1,"Feiertag",IF(C2302="Samstag","",IF(C2302="Sonntag","",Übersicht!$C$8)))</f>
        <v>Feiertag</v>
      </c>
    </row>
    <row r="2303" spans="1:4" x14ac:dyDescent="0.25">
      <c r="A2303" t="s">
        <v>70</v>
      </c>
      <c r="B2303" s="48">
        <v>44653</v>
      </c>
      <c r="C2303" t="s">
        <v>45</v>
      </c>
      <c r="D2303" t="str">
        <f>IF(COUNTIFS(Verweise!$A$2:$A$4542,Übersicht!$C$7,Verweise!$B$2:$B$4542,B2303)=1,"Feiertag",IF(C2303="Samstag","",IF(C2303="Sonntag","",Übersicht!$C$8)))</f>
        <v>Feiertag</v>
      </c>
    </row>
    <row r="2304" spans="1:4" x14ac:dyDescent="0.25">
      <c r="A2304" t="s">
        <v>70</v>
      </c>
      <c r="B2304" s="48">
        <v>44655</v>
      </c>
      <c r="C2304" t="s">
        <v>46</v>
      </c>
      <c r="D2304" t="str">
        <f>IF(COUNTIFS(Verweise!$A$2:$A$4542,Übersicht!$C$7,Verweise!$B$2:$B$4542,B2304)=1,"Feiertag",IF(C2304="Samstag","",IF(C2304="Sonntag","",Übersicht!$C$8)))</f>
        <v>Feiertag</v>
      </c>
    </row>
    <row r="2305" spans="1:4" x14ac:dyDescent="0.25">
      <c r="A2305" t="s">
        <v>70</v>
      </c>
      <c r="B2305" s="48">
        <v>44656</v>
      </c>
      <c r="C2305" t="s">
        <v>47</v>
      </c>
      <c r="D2305" t="str">
        <f>IF(COUNTIFS(Verweise!$A$2:$A$4542,Übersicht!$C$7,Verweise!$B$2:$B$4542,B2305)=1,"Feiertag",IF(C2305="Samstag","",IF(C2305="Sonntag","",Übersicht!$C$8)))</f>
        <v>Feiertag</v>
      </c>
    </row>
    <row r="2306" spans="1:4" x14ac:dyDescent="0.25">
      <c r="A2306" t="s">
        <v>70</v>
      </c>
      <c r="B2306" s="48">
        <v>44681</v>
      </c>
      <c r="C2306" t="s">
        <v>48</v>
      </c>
      <c r="D2306" t="str">
        <f>IF(COUNTIFS(Verweise!$A$2:$A$4542,Übersicht!$C$7,Verweise!$B$2:$B$4542,B2306)=1,"Feiertag",IF(C2306="Samstag","",IF(C2306="Sonntag","",Übersicht!$C$8)))</f>
        <v>Feiertag</v>
      </c>
    </row>
    <row r="2307" spans="1:4" x14ac:dyDescent="0.25">
      <c r="A2307" t="s">
        <v>70</v>
      </c>
      <c r="B2307" s="48">
        <v>44694</v>
      </c>
      <c r="C2307" t="s">
        <v>49</v>
      </c>
      <c r="D2307" t="str">
        <f>IF(COUNTIFS(Verweise!$A$2:$A$4542,Übersicht!$C$7,Verweise!$B$2:$B$4542,B2307)=1,"Feiertag",IF(C2307="Samstag","",IF(C2307="Sonntag","",Übersicht!$C$8)))</f>
        <v>Feiertag</v>
      </c>
    </row>
    <row r="2308" spans="1:4" x14ac:dyDescent="0.25">
      <c r="A2308" t="s">
        <v>70</v>
      </c>
      <c r="B2308" s="48">
        <v>44704</v>
      </c>
      <c r="C2308" t="s">
        <v>50</v>
      </c>
      <c r="D2308" t="str">
        <f>IF(COUNTIFS(Verweise!$A$2:$A$4542,Übersicht!$C$7,Verweise!$B$2:$B$4542,B2308)=1,"Feiertag",IF(C2308="Samstag","",IF(C2308="Sonntag","",Übersicht!$C$8)))</f>
        <v>Feiertag</v>
      </c>
    </row>
    <row r="2309" spans="1:4" x14ac:dyDescent="0.25">
      <c r="A2309" t="s">
        <v>70</v>
      </c>
      <c r="B2309" s="48">
        <v>44705</v>
      </c>
      <c r="C2309" t="s">
        <v>51</v>
      </c>
      <c r="D2309" t="str">
        <f>IF(COUNTIFS(Verweise!$A$2:$A$4542,Übersicht!$C$7,Verweise!$B$2:$B$4542,B2309)=1,"Feiertag",IF(C2309="Samstag","",IF(C2309="Sonntag","",Übersicht!$C$8)))</f>
        <v>Feiertag</v>
      </c>
    </row>
    <row r="2310" spans="1:4" x14ac:dyDescent="0.25">
      <c r="A2310" t="s">
        <v>70</v>
      </c>
      <c r="B2310" s="48">
        <v>44715</v>
      </c>
      <c r="C2310" t="s">
        <v>52</v>
      </c>
      <c r="D2310" t="str">
        <f>IF(COUNTIFS(Verweise!$A$2:$A$4542,Übersicht!$C$7,Verweise!$B$2:$B$4542,B2310)=1,"Feiertag",IF(C2310="Samstag","",IF(C2310="Sonntag","",Übersicht!$C$8)))</f>
        <v>Feiertag</v>
      </c>
    </row>
    <row r="2311" spans="1:4" x14ac:dyDescent="0.25">
      <c r="A2311" t="s">
        <v>70</v>
      </c>
      <c r="B2311" s="48">
        <v>44787</v>
      </c>
      <c r="C2311" t="s">
        <v>59</v>
      </c>
      <c r="D2311" t="str">
        <f>IF(COUNTIFS(Verweise!$A$2:$A$4542,Übersicht!$C$7,Verweise!$B$2:$B$4542,B2311)=1,"Feiertag",IF(C2311="Samstag","",IF(C2311="Sonntag","",Übersicht!$C$8)))</f>
        <v>Büro</v>
      </c>
    </row>
    <row r="2312" spans="1:4" x14ac:dyDescent="0.25">
      <c r="A2312" t="s">
        <v>70</v>
      </c>
      <c r="B2312" s="48">
        <v>44836</v>
      </c>
      <c r="C2312" t="s">
        <v>53</v>
      </c>
      <c r="D2312" t="str">
        <f>IF(COUNTIFS(Verweise!$A$2:$A$4542,Übersicht!$C$7,Verweise!$B$2:$B$4542,B2312)=1,"Feiertag",IF(C2312="Samstag","",IF(C2312="Sonntag","",Übersicht!$C$8)))</f>
        <v>Feiertag</v>
      </c>
    </row>
    <row r="2313" spans="1:4" x14ac:dyDescent="0.25">
      <c r="A2313" t="s">
        <v>70</v>
      </c>
      <c r="B2313" s="48">
        <v>44865</v>
      </c>
      <c r="C2313" t="s">
        <v>54</v>
      </c>
      <c r="D2313" t="str">
        <f>IF(COUNTIFS(Verweise!$A$2:$A$4542,Übersicht!$C$7,Verweise!$B$2:$B$4542,B2313)=1,"Feiertag",IF(C2313="Samstag","",IF(C2313="Sonntag","",Übersicht!$C$8)))</f>
        <v>Feiertag</v>
      </c>
    </row>
    <row r="2314" spans="1:4" x14ac:dyDescent="0.25">
      <c r="A2314" t="s">
        <v>70</v>
      </c>
      <c r="B2314" s="48">
        <v>44919</v>
      </c>
      <c r="C2314" t="s">
        <v>55</v>
      </c>
      <c r="D2314" t="str">
        <f>IF(COUNTIFS(Verweise!$A$2:$A$4542,Übersicht!$C$7,Verweise!$B$2:$B$4542,B2314)=1,"Feiertag",IF(C2314="Samstag","",IF(C2314="Sonntag","",Übersicht!$C$8)))</f>
        <v>Feiertag</v>
      </c>
    </row>
    <row r="2315" spans="1:4" x14ac:dyDescent="0.25">
      <c r="A2315" t="s">
        <v>70</v>
      </c>
      <c r="B2315" s="48">
        <v>44920</v>
      </c>
      <c r="C2315" t="s">
        <v>56</v>
      </c>
      <c r="D2315" t="str">
        <f>IF(COUNTIFS(Verweise!$A$2:$A$4542,Übersicht!$C$7,Verweise!$B$2:$B$4542,B2315)=1,"Feiertag",IF(C2315="Samstag","",IF(C2315="Sonntag","",Übersicht!$C$8)))</f>
        <v>Feiertag</v>
      </c>
    </row>
    <row r="2316" spans="1:4" x14ac:dyDescent="0.25">
      <c r="A2316" t="s">
        <v>71</v>
      </c>
      <c r="B2316" s="48">
        <v>44561</v>
      </c>
      <c r="C2316" t="s">
        <v>43</v>
      </c>
      <c r="D2316" t="str">
        <f>IF(COUNTIFS(Verweise!$A$2:$A$4542,Übersicht!$C$7,Verweise!$B$2:$B$4542,B2316)=1,"Feiertag",IF(C2316="Samstag","",IF(C2316="Sonntag","",Übersicht!$C$8)))</f>
        <v>Feiertag</v>
      </c>
    </row>
    <row r="2317" spans="1:4" x14ac:dyDescent="0.25">
      <c r="A2317" t="s">
        <v>71</v>
      </c>
      <c r="B2317" s="48">
        <v>44653</v>
      </c>
      <c r="C2317" t="s">
        <v>45</v>
      </c>
      <c r="D2317" t="str">
        <f>IF(COUNTIFS(Verweise!$A$2:$A$4542,Übersicht!$C$7,Verweise!$B$2:$B$4542,B2317)=1,"Feiertag",IF(C2317="Samstag","",IF(C2317="Sonntag","",Übersicht!$C$8)))</f>
        <v>Feiertag</v>
      </c>
    </row>
    <row r="2318" spans="1:4" x14ac:dyDescent="0.25">
      <c r="A2318" t="s">
        <v>71</v>
      </c>
      <c r="B2318" s="48">
        <v>44655</v>
      </c>
      <c r="C2318" t="s">
        <v>46</v>
      </c>
      <c r="D2318" t="str">
        <f>IF(COUNTIFS(Verweise!$A$2:$A$4542,Übersicht!$C$7,Verweise!$B$2:$B$4542,B2318)=1,"Feiertag",IF(C2318="Samstag","",IF(C2318="Sonntag","",Übersicht!$C$8)))</f>
        <v>Feiertag</v>
      </c>
    </row>
    <row r="2319" spans="1:4" x14ac:dyDescent="0.25">
      <c r="A2319" t="s">
        <v>71</v>
      </c>
      <c r="B2319" s="48">
        <v>44656</v>
      </c>
      <c r="C2319" t="s">
        <v>47</v>
      </c>
      <c r="D2319" t="str">
        <f>IF(COUNTIFS(Verweise!$A$2:$A$4542,Übersicht!$C$7,Verweise!$B$2:$B$4542,B2319)=1,"Feiertag",IF(C2319="Samstag","",IF(C2319="Sonntag","",Übersicht!$C$8)))</f>
        <v>Feiertag</v>
      </c>
    </row>
    <row r="2320" spans="1:4" x14ac:dyDescent="0.25">
      <c r="A2320" t="s">
        <v>71</v>
      </c>
      <c r="B2320" s="48">
        <v>44681</v>
      </c>
      <c r="C2320" t="s">
        <v>48</v>
      </c>
      <c r="D2320" t="str">
        <f>IF(COUNTIFS(Verweise!$A$2:$A$4542,Übersicht!$C$7,Verweise!$B$2:$B$4542,B2320)=1,"Feiertag",IF(C2320="Samstag","",IF(C2320="Sonntag","",Übersicht!$C$8)))</f>
        <v>Feiertag</v>
      </c>
    </row>
    <row r="2321" spans="1:4" x14ac:dyDescent="0.25">
      <c r="A2321" t="s">
        <v>71</v>
      </c>
      <c r="B2321" s="48">
        <v>44694</v>
      </c>
      <c r="C2321" t="s">
        <v>49</v>
      </c>
      <c r="D2321" t="str">
        <f>IF(COUNTIFS(Verweise!$A$2:$A$4542,Übersicht!$C$7,Verweise!$B$2:$B$4542,B2321)=1,"Feiertag",IF(C2321="Samstag","",IF(C2321="Sonntag","",Übersicht!$C$8)))</f>
        <v>Feiertag</v>
      </c>
    </row>
    <row r="2322" spans="1:4" x14ac:dyDescent="0.25">
      <c r="A2322" t="s">
        <v>71</v>
      </c>
      <c r="B2322" s="48">
        <v>44704</v>
      </c>
      <c r="C2322" t="s">
        <v>50</v>
      </c>
      <c r="D2322" t="str">
        <f>IF(COUNTIFS(Verweise!$A$2:$A$4542,Übersicht!$C$7,Verweise!$B$2:$B$4542,B2322)=1,"Feiertag",IF(C2322="Samstag","",IF(C2322="Sonntag","",Übersicht!$C$8)))</f>
        <v>Feiertag</v>
      </c>
    </row>
    <row r="2323" spans="1:4" x14ac:dyDescent="0.25">
      <c r="A2323" t="s">
        <v>71</v>
      </c>
      <c r="B2323" s="48">
        <v>44705</v>
      </c>
      <c r="C2323" t="s">
        <v>51</v>
      </c>
      <c r="D2323" t="str">
        <f>IF(COUNTIFS(Verweise!$A$2:$A$4542,Übersicht!$C$7,Verweise!$B$2:$B$4542,B2323)=1,"Feiertag",IF(C2323="Samstag","",IF(C2323="Sonntag","",Übersicht!$C$8)))</f>
        <v>Feiertag</v>
      </c>
    </row>
    <row r="2324" spans="1:4" x14ac:dyDescent="0.25">
      <c r="A2324" t="s">
        <v>71</v>
      </c>
      <c r="B2324" s="48">
        <v>44836</v>
      </c>
      <c r="C2324" t="s">
        <v>53</v>
      </c>
      <c r="D2324" t="str">
        <f>IF(COUNTIFS(Verweise!$A$2:$A$4542,Übersicht!$C$7,Verweise!$B$2:$B$4542,B2324)=1,"Feiertag",IF(C2324="Samstag","",IF(C2324="Sonntag","",Übersicht!$C$8)))</f>
        <v>Feiertag</v>
      </c>
    </row>
    <row r="2325" spans="1:4" x14ac:dyDescent="0.25">
      <c r="A2325" t="s">
        <v>71</v>
      </c>
      <c r="B2325" s="48">
        <v>44864</v>
      </c>
      <c r="C2325" t="s">
        <v>62</v>
      </c>
      <c r="D2325" t="str">
        <f>IF(COUNTIFS(Verweise!$A$2:$A$4542,Übersicht!$C$7,Verweise!$B$2:$B$4542,B2325)=1,"Feiertag",IF(C2325="Samstag","",IF(C2325="Sonntag","",Übersicht!$C$8)))</f>
        <v>Büro</v>
      </c>
    </row>
    <row r="2326" spans="1:4" x14ac:dyDescent="0.25">
      <c r="A2326" t="s">
        <v>71</v>
      </c>
      <c r="B2326" s="48">
        <v>44882</v>
      </c>
      <c r="C2326" t="s">
        <v>72</v>
      </c>
      <c r="D2326" t="str">
        <f>IF(COUNTIFS(Verweise!$A$2:$A$4542,Übersicht!$C$7,Verweise!$B$2:$B$4542,B2326)=1,"Feiertag",IF(C2326="Samstag","",IF(C2326="Sonntag","",Übersicht!$C$8)))</f>
        <v>Büro</v>
      </c>
    </row>
    <row r="2327" spans="1:4" x14ac:dyDescent="0.25">
      <c r="A2327" t="s">
        <v>71</v>
      </c>
      <c r="B2327" s="48">
        <v>44919</v>
      </c>
      <c r="C2327" t="s">
        <v>55</v>
      </c>
      <c r="D2327" t="str">
        <f>IF(COUNTIFS(Verweise!$A$2:$A$4542,Übersicht!$C$7,Verweise!$B$2:$B$4542,B2327)=1,"Feiertag",IF(C2327="Samstag","",IF(C2327="Sonntag","",Übersicht!$C$8)))</f>
        <v>Feiertag</v>
      </c>
    </row>
    <row r="2328" spans="1:4" x14ac:dyDescent="0.25">
      <c r="A2328" t="s">
        <v>71</v>
      </c>
      <c r="B2328" s="48">
        <v>44920</v>
      </c>
      <c r="C2328" t="s">
        <v>56</v>
      </c>
      <c r="D2328" t="str">
        <f>IF(COUNTIFS(Verweise!$A$2:$A$4542,Übersicht!$C$7,Verweise!$B$2:$B$4542,B2328)=1,"Feiertag",IF(C2328="Samstag","",IF(C2328="Sonntag","",Übersicht!$C$8)))</f>
        <v>Feiertag</v>
      </c>
    </row>
    <row r="2329" spans="1:4" x14ac:dyDescent="0.25">
      <c r="A2329" t="s">
        <v>73</v>
      </c>
      <c r="B2329" s="48">
        <v>44561</v>
      </c>
      <c r="C2329" t="s">
        <v>43</v>
      </c>
      <c r="D2329" t="str">
        <f>IF(COUNTIFS(Verweise!$A$2:$A$4542,Übersicht!$C$7,Verweise!$B$2:$B$4542,B2329)=1,"Feiertag",IF(C2329="Samstag","",IF(C2329="Sonntag","",Übersicht!$C$8)))</f>
        <v>Feiertag</v>
      </c>
    </row>
    <row r="2330" spans="1:4" x14ac:dyDescent="0.25">
      <c r="A2330" t="s">
        <v>73</v>
      </c>
      <c r="B2330" s="48">
        <v>44653</v>
      </c>
      <c r="C2330" t="s">
        <v>45</v>
      </c>
      <c r="D2330" t="str">
        <f>IF(COUNTIFS(Verweise!$A$2:$A$4542,Übersicht!$C$7,Verweise!$B$2:$B$4542,B2330)=1,"Feiertag",IF(C2330="Samstag","",IF(C2330="Sonntag","",Übersicht!$C$8)))</f>
        <v>Feiertag</v>
      </c>
    </row>
    <row r="2331" spans="1:4" x14ac:dyDescent="0.25">
      <c r="A2331" t="s">
        <v>73</v>
      </c>
      <c r="B2331" s="48">
        <v>44655</v>
      </c>
      <c r="C2331" t="s">
        <v>46</v>
      </c>
      <c r="D2331" t="str">
        <f>IF(COUNTIFS(Verweise!$A$2:$A$4542,Übersicht!$C$7,Verweise!$B$2:$B$4542,B2331)=1,"Feiertag",IF(C2331="Samstag","",IF(C2331="Sonntag","",Übersicht!$C$8)))</f>
        <v>Feiertag</v>
      </c>
    </row>
    <row r="2332" spans="1:4" x14ac:dyDescent="0.25">
      <c r="A2332" t="s">
        <v>73</v>
      </c>
      <c r="B2332" s="48">
        <v>44656</v>
      </c>
      <c r="C2332" t="s">
        <v>47</v>
      </c>
      <c r="D2332" t="str">
        <f>IF(COUNTIFS(Verweise!$A$2:$A$4542,Übersicht!$C$7,Verweise!$B$2:$B$4542,B2332)=1,"Feiertag",IF(C2332="Samstag","",IF(C2332="Sonntag","",Übersicht!$C$8)))</f>
        <v>Feiertag</v>
      </c>
    </row>
    <row r="2333" spans="1:4" x14ac:dyDescent="0.25">
      <c r="A2333" t="s">
        <v>73</v>
      </c>
      <c r="B2333" s="48">
        <v>44681</v>
      </c>
      <c r="C2333" t="s">
        <v>48</v>
      </c>
      <c r="D2333" t="str">
        <f>IF(COUNTIFS(Verweise!$A$2:$A$4542,Übersicht!$C$7,Verweise!$B$2:$B$4542,B2333)=1,"Feiertag",IF(C2333="Samstag","",IF(C2333="Sonntag","",Übersicht!$C$8)))</f>
        <v>Feiertag</v>
      </c>
    </row>
    <row r="2334" spans="1:4" x14ac:dyDescent="0.25">
      <c r="A2334" t="s">
        <v>73</v>
      </c>
      <c r="B2334" s="48">
        <v>44694</v>
      </c>
      <c r="C2334" t="s">
        <v>49</v>
      </c>
      <c r="D2334" t="str">
        <f>IF(COUNTIFS(Verweise!$A$2:$A$4542,Übersicht!$C$7,Verweise!$B$2:$B$4542,B2334)=1,"Feiertag",IF(C2334="Samstag","",IF(C2334="Sonntag","",Übersicht!$C$8)))</f>
        <v>Feiertag</v>
      </c>
    </row>
    <row r="2335" spans="1:4" x14ac:dyDescent="0.25">
      <c r="A2335" t="s">
        <v>73</v>
      </c>
      <c r="B2335" s="48">
        <v>44704</v>
      </c>
      <c r="C2335" t="s">
        <v>50</v>
      </c>
      <c r="D2335" t="str">
        <f>IF(COUNTIFS(Verweise!$A$2:$A$4542,Übersicht!$C$7,Verweise!$B$2:$B$4542,B2335)=1,"Feiertag",IF(C2335="Samstag","",IF(C2335="Sonntag","",Übersicht!$C$8)))</f>
        <v>Feiertag</v>
      </c>
    </row>
    <row r="2336" spans="1:4" x14ac:dyDescent="0.25">
      <c r="A2336" t="s">
        <v>73</v>
      </c>
      <c r="B2336" s="48">
        <v>44705</v>
      </c>
      <c r="C2336" t="s">
        <v>51</v>
      </c>
      <c r="D2336" t="str">
        <f>IF(COUNTIFS(Verweise!$A$2:$A$4542,Übersicht!$C$7,Verweise!$B$2:$B$4542,B2336)=1,"Feiertag",IF(C2336="Samstag","",IF(C2336="Sonntag","",Übersicht!$C$8)))</f>
        <v>Feiertag</v>
      </c>
    </row>
    <row r="2337" spans="1:4" x14ac:dyDescent="0.25">
      <c r="A2337" t="s">
        <v>73</v>
      </c>
      <c r="B2337" s="48">
        <v>44715</v>
      </c>
      <c r="C2337" t="s">
        <v>52</v>
      </c>
      <c r="D2337" t="str">
        <f>IF(COUNTIFS(Verweise!$A$2:$A$4542,Übersicht!$C$7,Verweise!$B$2:$B$4542,B2337)=1,"Feiertag",IF(C2337="Samstag","",IF(C2337="Sonntag","",Übersicht!$C$8)))</f>
        <v>Feiertag</v>
      </c>
    </row>
    <row r="2338" spans="1:4" x14ac:dyDescent="0.25">
      <c r="A2338" t="s">
        <v>73</v>
      </c>
      <c r="B2338" s="48">
        <v>44836</v>
      </c>
      <c r="C2338" t="s">
        <v>53</v>
      </c>
      <c r="D2338" t="str">
        <f>IF(COUNTIFS(Verweise!$A$2:$A$4542,Übersicht!$C$7,Verweise!$B$2:$B$4542,B2338)=1,"Feiertag",IF(C2338="Samstag","",IF(C2338="Sonntag","",Übersicht!$C$8)))</f>
        <v>Feiertag</v>
      </c>
    </row>
    <row r="2339" spans="1:4" x14ac:dyDescent="0.25">
      <c r="A2339" t="s">
        <v>73</v>
      </c>
      <c r="B2339" s="48">
        <v>44864</v>
      </c>
      <c r="C2339" t="s">
        <v>62</v>
      </c>
      <c r="D2339" t="str">
        <f>IF(COUNTIFS(Verweise!$A$2:$A$4542,Übersicht!$C$7,Verweise!$B$2:$B$4542,B2339)=1,"Feiertag",IF(C2339="Samstag","",IF(C2339="Sonntag","",Übersicht!$C$8)))</f>
        <v>Büro</v>
      </c>
    </row>
    <row r="2340" spans="1:4" x14ac:dyDescent="0.25">
      <c r="A2340" t="s">
        <v>73</v>
      </c>
      <c r="B2340" s="48">
        <v>44882</v>
      </c>
      <c r="C2340" t="s">
        <v>72</v>
      </c>
      <c r="D2340" t="str">
        <f>IF(COUNTIFS(Verweise!$A$2:$A$4542,Übersicht!$C$7,Verweise!$B$2:$B$4542,B2340)=1,"Feiertag",IF(C2340="Samstag","",IF(C2340="Sonntag","",Übersicht!$C$8)))</f>
        <v>Büro</v>
      </c>
    </row>
    <row r="2341" spans="1:4" x14ac:dyDescent="0.25">
      <c r="A2341" t="s">
        <v>73</v>
      </c>
      <c r="B2341" s="48">
        <v>44919</v>
      </c>
      <c r="C2341" t="s">
        <v>55</v>
      </c>
      <c r="D2341" t="str">
        <f>IF(COUNTIFS(Verweise!$A$2:$A$4542,Übersicht!$C$7,Verweise!$B$2:$B$4542,B2341)=1,"Feiertag",IF(C2341="Samstag","",IF(C2341="Sonntag","",Übersicht!$C$8)))</f>
        <v>Feiertag</v>
      </c>
    </row>
    <row r="2342" spans="1:4" x14ac:dyDescent="0.25">
      <c r="A2342" t="s">
        <v>73</v>
      </c>
      <c r="B2342" s="48">
        <v>44920</v>
      </c>
      <c r="C2342" t="s">
        <v>56</v>
      </c>
      <c r="D2342" t="str">
        <f>IF(COUNTIFS(Verweise!$A$2:$A$4542,Übersicht!$C$7,Verweise!$B$2:$B$4542,B2342)=1,"Feiertag",IF(C2342="Samstag","",IF(C2342="Sonntag","",Übersicht!$C$8)))</f>
        <v>Feiertag</v>
      </c>
    </row>
    <row r="2343" spans="1:4" x14ac:dyDescent="0.25">
      <c r="A2343" t="s">
        <v>74</v>
      </c>
      <c r="B2343" s="48">
        <v>44561</v>
      </c>
      <c r="C2343" t="s">
        <v>43</v>
      </c>
      <c r="D2343" t="str">
        <f>IF(COUNTIFS(Verweise!$A$2:$A$4542,Übersicht!$C$7,Verweise!$B$2:$B$4542,B2343)=1,"Feiertag",IF(C2343="Samstag","",IF(C2343="Sonntag","",Übersicht!$C$8)))</f>
        <v>Feiertag</v>
      </c>
    </row>
    <row r="2344" spans="1:4" x14ac:dyDescent="0.25">
      <c r="A2344" t="s">
        <v>74</v>
      </c>
      <c r="B2344" s="48">
        <v>44566</v>
      </c>
      <c r="C2344" t="s">
        <v>44</v>
      </c>
      <c r="D2344" t="str">
        <f>IF(COUNTIFS(Verweise!$A$2:$A$4542,Übersicht!$C$7,Verweise!$B$2:$B$4542,B2344)=1,"Feiertag",IF(C2344="Samstag","",IF(C2344="Sonntag","",Übersicht!$C$8)))</f>
        <v>Büro</v>
      </c>
    </row>
    <row r="2345" spans="1:4" x14ac:dyDescent="0.25">
      <c r="A2345" t="s">
        <v>74</v>
      </c>
      <c r="B2345" s="48">
        <v>44653</v>
      </c>
      <c r="C2345" t="s">
        <v>45</v>
      </c>
      <c r="D2345" t="str">
        <f>IF(COUNTIFS(Verweise!$A$2:$A$4542,Übersicht!$C$7,Verweise!$B$2:$B$4542,B2345)=1,"Feiertag",IF(C2345="Samstag","",IF(C2345="Sonntag","",Übersicht!$C$8)))</f>
        <v>Feiertag</v>
      </c>
    </row>
    <row r="2346" spans="1:4" x14ac:dyDescent="0.25">
      <c r="A2346" t="s">
        <v>74</v>
      </c>
      <c r="B2346" s="48">
        <v>44655</v>
      </c>
      <c r="C2346" t="s">
        <v>46</v>
      </c>
      <c r="D2346" t="str">
        <f>IF(COUNTIFS(Verweise!$A$2:$A$4542,Übersicht!$C$7,Verweise!$B$2:$B$4542,B2346)=1,"Feiertag",IF(C2346="Samstag","",IF(C2346="Sonntag","",Übersicht!$C$8)))</f>
        <v>Feiertag</v>
      </c>
    </row>
    <row r="2347" spans="1:4" x14ac:dyDescent="0.25">
      <c r="A2347" t="s">
        <v>74</v>
      </c>
      <c r="B2347" s="48">
        <v>44656</v>
      </c>
      <c r="C2347" t="s">
        <v>47</v>
      </c>
      <c r="D2347" t="str">
        <f>IF(COUNTIFS(Verweise!$A$2:$A$4542,Übersicht!$C$7,Verweise!$B$2:$B$4542,B2347)=1,"Feiertag",IF(C2347="Samstag","",IF(C2347="Sonntag","",Übersicht!$C$8)))</f>
        <v>Feiertag</v>
      </c>
    </row>
    <row r="2348" spans="1:4" x14ac:dyDescent="0.25">
      <c r="A2348" t="s">
        <v>74</v>
      </c>
      <c r="B2348" s="48">
        <v>44681</v>
      </c>
      <c r="C2348" t="s">
        <v>48</v>
      </c>
      <c r="D2348" t="str">
        <f>IF(COUNTIFS(Verweise!$A$2:$A$4542,Übersicht!$C$7,Verweise!$B$2:$B$4542,B2348)=1,"Feiertag",IF(C2348="Samstag","",IF(C2348="Sonntag","",Übersicht!$C$8)))</f>
        <v>Feiertag</v>
      </c>
    </row>
    <row r="2349" spans="1:4" x14ac:dyDescent="0.25">
      <c r="A2349" t="s">
        <v>74</v>
      </c>
      <c r="B2349" s="48">
        <v>44694</v>
      </c>
      <c r="C2349" t="s">
        <v>49</v>
      </c>
      <c r="D2349" t="str">
        <f>IF(COUNTIFS(Verweise!$A$2:$A$4542,Übersicht!$C$7,Verweise!$B$2:$B$4542,B2349)=1,"Feiertag",IF(C2349="Samstag","",IF(C2349="Sonntag","",Übersicht!$C$8)))</f>
        <v>Feiertag</v>
      </c>
    </row>
    <row r="2350" spans="1:4" x14ac:dyDescent="0.25">
      <c r="A2350" t="s">
        <v>74</v>
      </c>
      <c r="B2350" s="48">
        <v>44704</v>
      </c>
      <c r="C2350" t="s">
        <v>50</v>
      </c>
      <c r="D2350" t="str">
        <f>IF(COUNTIFS(Verweise!$A$2:$A$4542,Übersicht!$C$7,Verweise!$B$2:$B$4542,B2350)=1,"Feiertag",IF(C2350="Samstag","",IF(C2350="Sonntag","",Übersicht!$C$8)))</f>
        <v>Feiertag</v>
      </c>
    </row>
    <row r="2351" spans="1:4" x14ac:dyDescent="0.25">
      <c r="A2351" t="s">
        <v>74</v>
      </c>
      <c r="B2351" s="48">
        <v>44705</v>
      </c>
      <c r="C2351" t="s">
        <v>51</v>
      </c>
      <c r="D2351" t="str">
        <f>IF(COUNTIFS(Verweise!$A$2:$A$4542,Übersicht!$C$7,Verweise!$B$2:$B$4542,B2351)=1,"Feiertag",IF(C2351="Samstag","",IF(C2351="Sonntag","",Übersicht!$C$8)))</f>
        <v>Feiertag</v>
      </c>
    </row>
    <row r="2352" spans="1:4" x14ac:dyDescent="0.25">
      <c r="A2352" t="s">
        <v>74</v>
      </c>
      <c r="B2352" s="48">
        <v>44836</v>
      </c>
      <c r="C2352" t="s">
        <v>53</v>
      </c>
      <c r="D2352" t="str">
        <f>IF(COUNTIFS(Verweise!$A$2:$A$4542,Übersicht!$C$7,Verweise!$B$2:$B$4542,B2352)=1,"Feiertag",IF(C2352="Samstag","",IF(C2352="Sonntag","",Übersicht!$C$8)))</f>
        <v>Feiertag</v>
      </c>
    </row>
    <row r="2353" spans="1:4" x14ac:dyDescent="0.25">
      <c r="A2353" t="s">
        <v>74</v>
      </c>
      <c r="B2353" s="48">
        <v>44864</v>
      </c>
      <c r="C2353" t="s">
        <v>62</v>
      </c>
      <c r="D2353" t="str">
        <f>IF(COUNTIFS(Verweise!$A$2:$A$4542,Übersicht!$C$7,Verweise!$B$2:$B$4542,B2353)=1,"Feiertag",IF(C2353="Samstag","",IF(C2353="Sonntag","",Übersicht!$C$8)))</f>
        <v>Büro</v>
      </c>
    </row>
    <row r="2354" spans="1:4" x14ac:dyDescent="0.25">
      <c r="A2354" t="s">
        <v>74</v>
      </c>
      <c r="B2354" s="48">
        <v>44919</v>
      </c>
      <c r="C2354" t="s">
        <v>55</v>
      </c>
      <c r="D2354" t="str">
        <f>IF(COUNTIFS(Verweise!$A$2:$A$4542,Übersicht!$C$7,Verweise!$B$2:$B$4542,B2354)=1,"Feiertag",IF(C2354="Samstag","",IF(C2354="Sonntag","",Übersicht!$C$8)))</f>
        <v>Feiertag</v>
      </c>
    </row>
    <row r="2355" spans="1:4" x14ac:dyDescent="0.25">
      <c r="A2355" t="s">
        <v>74</v>
      </c>
      <c r="B2355" s="48">
        <v>44920</v>
      </c>
      <c r="C2355" t="s">
        <v>56</v>
      </c>
      <c r="D2355" t="str">
        <f>IF(COUNTIFS(Verweise!$A$2:$A$4542,Übersicht!$C$7,Verweise!$B$2:$B$4542,B2355)=1,"Feiertag",IF(C2355="Samstag","",IF(C2355="Sonntag","",Übersicht!$C$8)))</f>
        <v>Feiertag</v>
      </c>
    </row>
    <row r="2356" spans="1:4" x14ac:dyDescent="0.25">
      <c r="A2356" t="s">
        <v>75</v>
      </c>
      <c r="B2356" s="48">
        <v>44561</v>
      </c>
      <c r="C2356" t="s">
        <v>43</v>
      </c>
      <c r="D2356" t="str">
        <f>IF(COUNTIFS(Verweise!$A$2:$A$4542,Übersicht!$C$7,Verweise!$B$2:$B$4542,B2356)=1,"Feiertag",IF(C2356="Samstag","",IF(C2356="Sonntag","",Übersicht!$C$8)))</f>
        <v>Feiertag</v>
      </c>
    </row>
    <row r="2357" spans="1:4" x14ac:dyDescent="0.25">
      <c r="A2357" t="s">
        <v>75</v>
      </c>
      <c r="B2357" s="48">
        <v>44653</v>
      </c>
      <c r="C2357" t="s">
        <v>45</v>
      </c>
      <c r="D2357" t="str">
        <f>IF(COUNTIFS(Verweise!$A$2:$A$4542,Übersicht!$C$7,Verweise!$B$2:$B$4542,B2357)=1,"Feiertag",IF(C2357="Samstag","",IF(C2357="Sonntag","",Übersicht!$C$8)))</f>
        <v>Feiertag</v>
      </c>
    </row>
    <row r="2358" spans="1:4" x14ac:dyDescent="0.25">
      <c r="A2358" t="s">
        <v>75</v>
      </c>
      <c r="B2358" s="48">
        <v>44655</v>
      </c>
      <c r="C2358" t="s">
        <v>46</v>
      </c>
      <c r="D2358" t="str">
        <f>IF(COUNTIFS(Verweise!$A$2:$A$4542,Übersicht!$C$7,Verweise!$B$2:$B$4542,B2358)=1,"Feiertag",IF(C2358="Samstag","",IF(C2358="Sonntag","",Übersicht!$C$8)))</f>
        <v>Feiertag</v>
      </c>
    </row>
    <row r="2359" spans="1:4" x14ac:dyDescent="0.25">
      <c r="A2359" t="s">
        <v>75</v>
      </c>
      <c r="B2359" s="48">
        <v>44656</v>
      </c>
      <c r="C2359" t="s">
        <v>47</v>
      </c>
      <c r="D2359" t="str">
        <f>IF(COUNTIFS(Verweise!$A$2:$A$4542,Übersicht!$C$7,Verweise!$B$2:$B$4542,B2359)=1,"Feiertag",IF(C2359="Samstag","",IF(C2359="Sonntag","",Übersicht!$C$8)))</f>
        <v>Feiertag</v>
      </c>
    </row>
    <row r="2360" spans="1:4" x14ac:dyDescent="0.25">
      <c r="A2360" t="s">
        <v>75</v>
      </c>
      <c r="B2360" s="48">
        <v>44681</v>
      </c>
      <c r="C2360" t="s">
        <v>48</v>
      </c>
      <c r="D2360" t="str">
        <f>IF(COUNTIFS(Verweise!$A$2:$A$4542,Übersicht!$C$7,Verweise!$B$2:$B$4542,B2360)=1,"Feiertag",IF(C2360="Samstag","",IF(C2360="Sonntag","",Übersicht!$C$8)))</f>
        <v>Feiertag</v>
      </c>
    </row>
    <row r="2361" spans="1:4" x14ac:dyDescent="0.25">
      <c r="A2361" t="s">
        <v>75</v>
      </c>
      <c r="B2361" s="48">
        <v>44694</v>
      </c>
      <c r="C2361" t="s">
        <v>49</v>
      </c>
      <c r="D2361" t="str">
        <f>IF(COUNTIFS(Verweise!$A$2:$A$4542,Übersicht!$C$7,Verweise!$B$2:$B$4542,B2361)=1,"Feiertag",IF(C2361="Samstag","",IF(C2361="Sonntag","",Übersicht!$C$8)))</f>
        <v>Feiertag</v>
      </c>
    </row>
    <row r="2362" spans="1:4" x14ac:dyDescent="0.25">
      <c r="A2362" t="s">
        <v>75</v>
      </c>
      <c r="B2362" s="48">
        <v>44704</v>
      </c>
      <c r="C2362" t="s">
        <v>50</v>
      </c>
      <c r="D2362" t="str">
        <f>IF(COUNTIFS(Verweise!$A$2:$A$4542,Übersicht!$C$7,Verweise!$B$2:$B$4542,B2362)=1,"Feiertag",IF(C2362="Samstag","",IF(C2362="Sonntag","",Übersicht!$C$8)))</f>
        <v>Feiertag</v>
      </c>
    </row>
    <row r="2363" spans="1:4" x14ac:dyDescent="0.25">
      <c r="A2363" t="s">
        <v>75</v>
      </c>
      <c r="B2363" s="48">
        <v>44705</v>
      </c>
      <c r="C2363" t="s">
        <v>51</v>
      </c>
      <c r="D2363" t="str">
        <f>IF(COUNTIFS(Verweise!$A$2:$A$4542,Übersicht!$C$7,Verweise!$B$2:$B$4542,B2363)=1,"Feiertag",IF(C2363="Samstag","",IF(C2363="Sonntag","",Übersicht!$C$8)))</f>
        <v>Feiertag</v>
      </c>
    </row>
    <row r="2364" spans="1:4" x14ac:dyDescent="0.25">
      <c r="A2364" t="s">
        <v>75</v>
      </c>
      <c r="B2364" s="48">
        <v>44836</v>
      </c>
      <c r="C2364" t="s">
        <v>53</v>
      </c>
      <c r="D2364" t="str">
        <f>IF(COUNTIFS(Verweise!$A$2:$A$4542,Übersicht!$C$7,Verweise!$B$2:$B$4542,B2364)=1,"Feiertag",IF(C2364="Samstag","",IF(C2364="Sonntag","",Übersicht!$C$8)))</f>
        <v>Feiertag</v>
      </c>
    </row>
    <row r="2365" spans="1:4" x14ac:dyDescent="0.25">
      <c r="A2365" t="s">
        <v>75</v>
      </c>
      <c r="B2365" s="48">
        <v>44919</v>
      </c>
      <c r="C2365" t="s">
        <v>55</v>
      </c>
      <c r="D2365" t="str">
        <f>IF(COUNTIFS(Verweise!$A$2:$A$4542,Übersicht!$C$7,Verweise!$B$2:$B$4542,B2365)=1,"Feiertag",IF(C2365="Samstag","",IF(C2365="Sonntag","",Übersicht!$C$8)))</f>
        <v>Feiertag</v>
      </c>
    </row>
    <row r="2366" spans="1:4" x14ac:dyDescent="0.25">
      <c r="A2366" t="s">
        <v>75</v>
      </c>
      <c r="B2366" s="48">
        <v>44920</v>
      </c>
      <c r="C2366" t="s">
        <v>56</v>
      </c>
      <c r="D2366" t="str">
        <f>IF(COUNTIFS(Verweise!$A$2:$A$4542,Übersicht!$C$7,Verweise!$B$2:$B$4542,B2366)=1,"Feiertag",IF(C2366="Samstag","",IF(C2366="Sonntag","",Übersicht!$C$8)))</f>
        <v>Feiertag</v>
      </c>
    </row>
    <row r="2367" spans="1:4" x14ac:dyDescent="0.25">
      <c r="A2367" t="s">
        <v>76</v>
      </c>
      <c r="B2367" s="48">
        <v>44561</v>
      </c>
      <c r="C2367" t="s">
        <v>43</v>
      </c>
      <c r="D2367" t="str">
        <f>IF(COUNTIFS(Verweise!$A$2:$A$4542,Übersicht!$C$7,Verweise!$B$2:$B$4542,B2367)=1,"Feiertag",IF(C2367="Samstag","",IF(C2367="Sonntag","",Übersicht!$C$8)))</f>
        <v>Feiertag</v>
      </c>
    </row>
    <row r="2368" spans="1:4" x14ac:dyDescent="0.25">
      <c r="A2368" t="s">
        <v>76</v>
      </c>
      <c r="B2368" s="48">
        <v>44653</v>
      </c>
      <c r="C2368" t="s">
        <v>45</v>
      </c>
      <c r="D2368" t="str">
        <f>IF(COUNTIFS(Verweise!$A$2:$A$4542,Übersicht!$C$7,Verweise!$B$2:$B$4542,B2368)=1,"Feiertag",IF(C2368="Samstag","",IF(C2368="Sonntag","",Übersicht!$C$8)))</f>
        <v>Feiertag</v>
      </c>
    </row>
    <row r="2369" spans="1:4" x14ac:dyDescent="0.25">
      <c r="A2369" t="s">
        <v>76</v>
      </c>
      <c r="B2369" s="48">
        <v>44655</v>
      </c>
      <c r="C2369" t="s">
        <v>46</v>
      </c>
      <c r="D2369" t="str">
        <f>IF(COUNTIFS(Verweise!$A$2:$A$4542,Übersicht!$C$7,Verweise!$B$2:$B$4542,B2369)=1,"Feiertag",IF(C2369="Samstag","",IF(C2369="Sonntag","",Übersicht!$C$8)))</f>
        <v>Feiertag</v>
      </c>
    </row>
    <row r="2370" spans="1:4" x14ac:dyDescent="0.25">
      <c r="A2370" t="s">
        <v>76</v>
      </c>
      <c r="B2370" s="48">
        <v>44656</v>
      </c>
      <c r="C2370" t="s">
        <v>47</v>
      </c>
      <c r="D2370" t="str">
        <f>IF(COUNTIFS(Verweise!$A$2:$A$4542,Übersicht!$C$7,Verweise!$B$2:$B$4542,B2370)=1,"Feiertag",IF(C2370="Samstag","",IF(C2370="Sonntag","",Übersicht!$C$8)))</f>
        <v>Feiertag</v>
      </c>
    </row>
    <row r="2371" spans="1:4" x14ac:dyDescent="0.25">
      <c r="A2371" t="s">
        <v>76</v>
      </c>
      <c r="B2371" s="48">
        <v>44681</v>
      </c>
      <c r="C2371" t="s">
        <v>48</v>
      </c>
      <c r="D2371" t="str">
        <f>IF(COUNTIFS(Verweise!$A$2:$A$4542,Übersicht!$C$7,Verweise!$B$2:$B$4542,B2371)=1,"Feiertag",IF(C2371="Samstag","",IF(C2371="Sonntag","",Übersicht!$C$8)))</f>
        <v>Feiertag</v>
      </c>
    </row>
    <row r="2372" spans="1:4" x14ac:dyDescent="0.25">
      <c r="A2372" t="s">
        <v>76</v>
      </c>
      <c r="B2372" s="48">
        <v>44694</v>
      </c>
      <c r="C2372" t="s">
        <v>49</v>
      </c>
      <c r="D2372" t="str">
        <f>IF(COUNTIFS(Verweise!$A$2:$A$4542,Übersicht!$C$7,Verweise!$B$2:$B$4542,B2372)=1,"Feiertag",IF(C2372="Samstag","",IF(C2372="Sonntag","",Übersicht!$C$8)))</f>
        <v>Feiertag</v>
      </c>
    </row>
    <row r="2373" spans="1:4" x14ac:dyDescent="0.25">
      <c r="A2373" t="s">
        <v>76</v>
      </c>
      <c r="B2373" s="48">
        <v>44704</v>
      </c>
      <c r="C2373" t="s">
        <v>50</v>
      </c>
      <c r="D2373" t="str">
        <f>IF(COUNTIFS(Verweise!$A$2:$A$4542,Übersicht!$C$7,Verweise!$B$2:$B$4542,B2373)=1,"Feiertag",IF(C2373="Samstag","",IF(C2373="Sonntag","",Übersicht!$C$8)))</f>
        <v>Feiertag</v>
      </c>
    </row>
    <row r="2374" spans="1:4" x14ac:dyDescent="0.25">
      <c r="A2374" t="s">
        <v>76</v>
      </c>
      <c r="B2374" s="48">
        <v>44705</v>
      </c>
      <c r="C2374" t="s">
        <v>51</v>
      </c>
      <c r="D2374" t="str">
        <f>IF(COUNTIFS(Verweise!$A$2:$A$4542,Übersicht!$C$7,Verweise!$B$2:$B$4542,B2374)=1,"Feiertag",IF(C2374="Samstag","",IF(C2374="Sonntag","",Übersicht!$C$8)))</f>
        <v>Feiertag</v>
      </c>
    </row>
    <row r="2375" spans="1:4" x14ac:dyDescent="0.25">
      <c r="A2375" t="s">
        <v>76</v>
      </c>
      <c r="B2375" s="48">
        <v>44836</v>
      </c>
      <c r="C2375" t="s">
        <v>53</v>
      </c>
      <c r="D2375" t="str">
        <f>IF(COUNTIFS(Verweise!$A$2:$A$4542,Übersicht!$C$7,Verweise!$B$2:$B$4542,B2375)=1,"Feiertag",IF(C2375="Samstag","",IF(C2375="Sonntag","",Übersicht!$C$8)))</f>
        <v>Feiertag</v>
      </c>
    </row>
    <row r="2376" spans="1:4" x14ac:dyDescent="0.25">
      <c r="A2376" t="s">
        <v>76</v>
      </c>
      <c r="B2376" s="48">
        <v>44864</v>
      </c>
      <c r="C2376" t="s">
        <v>62</v>
      </c>
      <c r="D2376" t="str">
        <f>IF(COUNTIFS(Verweise!$A$2:$A$4542,Übersicht!$C$7,Verweise!$B$2:$B$4542,B2376)=1,"Feiertag",IF(C2376="Samstag","",IF(C2376="Sonntag","",Übersicht!$C$8)))</f>
        <v>Büro</v>
      </c>
    </row>
    <row r="2377" spans="1:4" x14ac:dyDescent="0.25">
      <c r="A2377" t="s">
        <v>76</v>
      </c>
      <c r="B2377" s="48">
        <v>44919</v>
      </c>
      <c r="C2377" t="s">
        <v>55</v>
      </c>
      <c r="D2377" t="str">
        <f>IF(COUNTIFS(Verweise!$A$2:$A$4542,Übersicht!$C$7,Verweise!$B$2:$B$4542,B2377)=1,"Feiertag",IF(C2377="Samstag","",IF(C2377="Sonntag","",Übersicht!$C$8)))</f>
        <v>Feiertag</v>
      </c>
    </row>
    <row r="2378" spans="1:4" x14ac:dyDescent="0.25">
      <c r="A2378" t="s">
        <v>76</v>
      </c>
      <c r="B2378" s="48">
        <v>44920</v>
      </c>
      <c r="C2378" t="s">
        <v>56</v>
      </c>
      <c r="D2378" t="str">
        <f>IF(COUNTIFS(Verweise!$A$2:$A$4542,Übersicht!$C$7,Verweise!$B$2:$B$4542,B2378)=1,"Feiertag",IF(C2378="Samstag","",IF(C2378="Sonntag","",Übersicht!$C$8)))</f>
        <v>Feiertag</v>
      </c>
    </row>
    <row r="2379" spans="1:4" x14ac:dyDescent="0.25">
      <c r="A2379" t="s">
        <v>77</v>
      </c>
      <c r="B2379" s="48">
        <v>44561</v>
      </c>
      <c r="C2379" t="s">
        <v>43</v>
      </c>
      <c r="D2379" t="str">
        <f>IF(COUNTIFS(Verweise!$A$2:$A$4542,Übersicht!$C$7,Verweise!$B$2:$B$4542,B2379)=1,"Feiertag",IF(C2379="Samstag","",IF(C2379="Sonntag","",Übersicht!$C$8)))</f>
        <v>Feiertag</v>
      </c>
    </row>
    <row r="2380" spans="1:4" x14ac:dyDescent="0.25">
      <c r="A2380" t="s">
        <v>77</v>
      </c>
      <c r="B2380" s="48">
        <v>44653</v>
      </c>
      <c r="C2380" t="s">
        <v>45</v>
      </c>
      <c r="D2380" t="str">
        <f>IF(COUNTIFS(Verweise!$A$2:$A$4542,Übersicht!$C$7,Verweise!$B$2:$B$4542,B2380)=1,"Feiertag",IF(C2380="Samstag","",IF(C2380="Sonntag","",Übersicht!$C$8)))</f>
        <v>Feiertag</v>
      </c>
    </row>
    <row r="2381" spans="1:4" x14ac:dyDescent="0.25">
      <c r="A2381" t="s">
        <v>77</v>
      </c>
      <c r="B2381" s="48">
        <v>44655</v>
      </c>
      <c r="C2381" t="s">
        <v>46</v>
      </c>
      <c r="D2381" t="str">
        <f>IF(COUNTIFS(Verweise!$A$2:$A$4542,Übersicht!$C$7,Verweise!$B$2:$B$4542,B2381)=1,"Feiertag",IF(C2381="Samstag","",IF(C2381="Sonntag","",Übersicht!$C$8)))</f>
        <v>Feiertag</v>
      </c>
    </row>
    <row r="2382" spans="1:4" x14ac:dyDescent="0.25">
      <c r="A2382" t="s">
        <v>77</v>
      </c>
      <c r="B2382" s="48">
        <v>44656</v>
      </c>
      <c r="C2382" t="s">
        <v>47</v>
      </c>
      <c r="D2382" t="str">
        <f>IF(COUNTIFS(Verweise!$A$2:$A$4542,Übersicht!$C$7,Verweise!$B$2:$B$4542,B2382)=1,"Feiertag",IF(C2382="Samstag","",IF(C2382="Sonntag","",Übersicht!$C$8)))</f>
        <v>Feiertag</v>
      </c>
    </row>
    <row r="2383" spans="1:4" x14ac:dyDescent="0.25">
      <c r="A2383" t="s">
        <v>77</v>
      </c>
      <c r="B2383" s="48">
        <v>44681</v>
      </c>
      <c r="C2383" t="s">
        <v>48</v>
      </c>
      <c r="D2383" t="str">
        <f>IF(COUNTIFS(Verweise!$A$2:$A$4542,Übersicht!$C$7,Verweise!$B$2:$B$4542,B2383)=1,"Feiertag",IF(C2383="Samstag","",IF(C2383="Sonntag","",Übersicht!$C$8)))</f>
        <v>Feiertag</v>
      </c>
    </row>
    <row r="2384" spans="1:4" x14ac:dyDescent="0.25">
      <c r="A2384" t="s">
        <v>77</v>
      </c>
      <c r="B2384" s="48">
        <v>44694</v>
      </c>
      <c r="C2384" t="s">
        <v>49</v>
      </c>
      <c r="D2384" t="str">
        <f>IF(COUNTIFS(Verweise!$A$2:$A$4542,Übersicht!$C$7,Verweise!$B$2:$B$4542,B2384)=1,"Feiertag",IF(C2384="Samstag","",IF(C2384="Sonntag","",Übersicht!$C$8)))</f>
        <v>Feiertag</v>
      </c>
    </row>
    <row r="2385" spans="1:4" x14ac:dyDescent="0.25">
      <c r="A2385" t="s">
        <v>77</v>
      </c>
      <c r="B2385" s="48">
        <v>44704</v>
      </c>
      <c r="C2385" t="s">
        <v>50</v>
      </c>
      <c r="D2385" t="str">
        <f>IF(COUNTIFS(Verweise!$A$2:$A$4542,Übersicht!$C$7,Verweise!$B$2:$B$4542,B2385)=1,"Feiertag",IF(C2385="Samstag","",IF(C2385="Sonntag","",Übersicht!$C$8)))</f>
        <v>Feiertag</v>
      </c>
    </row>
    <row r="2386" spans="1:4" x14ac:dyDescent="0.25">
      <c r="A2386" t="s">
        <v>77</v>
      </c>
      <c r="B2386" s="48">
        <v>44705</v>
      </c>
      <c r="C2386" t="s">
        <v>51</v>
      </c>
      <c r="D2386" t="str">
        <f>IF(COUNTIFS(Verweise!$A$2:$A$4542,Übersicht!$C$7,Verweise!$B$2:$B$4542,B2386)=1,"Feiertag",IF(C2386="Samstag","",IF(C2386="Sonntag","",Übersicht!$C$8)))</f>
        <v>Feiertag</v>
      </c>
    </row>
    <row r="2387" spans="1:4" x14ac:dyDescent="0.25">
      <c r="A2387" t="s">
        <v>77</v>
      </c>
      <c r="B2387" s="48">
        <v>44715</v>
      </c>
      <c r="C2387" t="s">
        <v>52</v>
      </c>
      <c r="D2387" t="str">
        <f>IF(COUNTIFS(Verweise!$A$2:$A$4542,Übersicht!$C$7,Verweise!$B$2:$B$4542,B2387)=1,"Feiertag",IF(C2387="Samstag","",IF(C2387="Sonntag","",Übersicht!$C$8)))</f>
        <v>Feiertag</v>
      </c>
    </row>
    <row r="2388" spans="1:4" x14ac:dyDescent="0.25">
      <c r="A2388" t="s">
        <v>77</v>
      </c>
      <c r="B2388" s="48">
        <v>44836</v>
      </c>
      <c r="C2388" t="s">
        <v>53</v>
      </c>
      <c r="D2388" t="str">
        <f>IF(COUNTIFS(Verweise!$A$2:$A$4542,Übersicht!$C$7,Verweise!$B$2:$B$4542,B2388)=1,"Feiertag",IF(C2388="Samstag","",IF(C2388="Sonntag","",Übersicht!$C$8)))</f>
        <v>Feiertag</v>
      </c>
    </row>
    <row r="2389" spans="1:4" x14ac:dyDescent="0.25">
      <c r="A2389" t="s">
        <v>77</v>
      </c>
      <c r="B2389" s="48">
        <v>44864</v>
      </c>
      <c r="C2389" t="s">
        <v>62</v>
      </c>
      <c r="D2389" t="str">
        <f>IF(COUNTIFS(Verweise!$A$2:$A$4542,Übersicht!$C$7,Verweise!$B$2:$B$4542,B2389)=1,"Feiertag",IF(C2389="Samstag","",IF(C2389="Sonntag","",Übersicht!$C$8)))</f>
        <v>Büro</v>
      </c>
    </row>
    <row r="2390" spans="1:4" x14ac:dyDescent="0.25">
      <c r="A2390" t="s">
        <v>77</v>
      </c>
      <c r="B2390" s="48">
        <v>44919</v>
      </c>
      <c r="C2390" t="s">
        <v>55</v>
      </c>
      <c r="D2390" t="str">
        <f>IF(COUNTIFS(Verweise!$A$2:$A$4542,Übersicht!$C$7,Verweise!$B$2:$B$4542,B2390)=1,"Feiertag",IF(C2390="Samstag","",IF(C2390="Sonntag","",Übersicht!$C$8)))</f>
        <v>Feiertag</v>
      </c>
    </row>
    <row r="2391" spans="1:4" x14ac:dyDescent="0.25">
      <c r="A2391" t="s">
        <v>77</v>
      </c>
      <c r="B2391" s="48">
        <v>44920</v>
      </c>
      <c r="C2391" t="s">
        <v>56</v>
      </c>
      <c r="D2391" t="str">
        <f>IF(COUNTIFS(Verweise!$A$2:$A$4542,Übersicht!$C$7,Verweise!$B$2:$B$4542,B2391)=1,"Feiertag",IF(C2391="Samstag","",IF(C2391="Sonntag","",Übersicht!$C$8)))</f>
        <v>Feiertag</v>
      </c>
    </row>
    <row r="2392" spans="1:4" x14ac:dyDescent="0.25">
      <c r="A2392" t="s">
        <v>42</v>
      </c>
      <c r="B2392" s="48">
        <v>44926</v>
      </c>
      <c r="C2392" t="s">
        <v>43</v>
      </c>
      <c r="D2392" t="str">
        <f>IF(COUNTIFS(Verweise!$A$2:$A$4542,Übersicht!$C$7,Verweise!$B$2:$B$4542,B2392)=1,"Feiertag",IF(C2392="Samstag","",IF(C2392="Sonntag","",Übersicht!$C$8)))</f>
        <v>Feiertag</v>
      </c>
    </row>
    <row r="2393" spans="1:4" x14ac:dyDescent="0.25">
      <c r="A2393" t="s">
        <v>42</v>
      </c>
      <c r="B2393" s="48">
        <v>44931</v>
      </c>
      <c r="C2393" t="s">
        <v>44</v>
      </c>
      <c r="D2393" t="str">
        <f>IF(COUNTIFS(Verweise!$A$2:$A$4542,Übersicht!$C$7,Verweise!$B$2:$B$4542,B2393)=1,"Feiertag",IF(C2393="Samstag","",IF(C2393="Sonntag","",Übersicht!$C$8)))</f>
        <v>Büro</v>
      </c>
    </row>
    <row r="2394" spans="1:4" x14ac:dyDescent="0.25">
      <c r="A2394" t="s">
        <v>42</v>
      </c>
      <c r="B2394" s="48">
        <v>45010</v>
      </c>
      <c r="C2394" t="s">
        <v>45</v>
      </c>
      <c r="D2394" t="str">
        <f>IF(COUNTIFS(Verweise!$A$2:$A$4542,Übersicht!$C$7,Verweise!$B$2:$B$4542,B2394)=1,"Feiertag",IF(C2394="Samstag","",IF(C2394="Sonntag","",Übersicht!$C$8)))</f>
        <v>Feiertag</v>
      </c>
    </row>
    <row r="2395" spans="1:4" x14ac:dyDescent="0.25">
      <c r="A2395" t="s">
        <v>42</v>
      </c>
      <c r="B2395" s="48">
        <v>45012</v>
      </c>
      <c r="C2395" t="s">
        <v>46</v>
      </c>
      <c r="D2395" t="str">
        <f>IF(COUNTIFS(Verweise!$A$2:$A$4542,Übersicht!$C$7,Verweise!$B$2:$B$4542,B2395)=1,"Feiertag",IF(C2395="Samstag","",IF(C2395="Sonntag","",Übersicht!$C$8)))</f>
        <v>Feiertag</v>
      </c>
    </row>
    <row r="2396" spans="1:4" x14ac:dyDescent="0.25">
      <c r="A2396" t="s">
        <v>42</v>
      </c>
      <c r="B2396" s="48">
        <v>45013</v>
      </c>
      <c r="C2396" t="s">
        <v>47</v>
      </c>
      <c r="D2396" t="str">
        <f>IF(COUNTIFS(Verweise!$A$2:$A$4542,Übersicht!$C$7,Verweise!$B$2:$B$4542,B2396)=1,"Feiertag",IF(C2396="Samstag","",IF(C2396="Sonntag","",Übersicht!$C$8)))</f>
        <v>Feiertag</v>
      </c>
    </row>
    <row r="2397" spans="1:4" x14ac:dyDescent="0.25">
      <c r="A2397" t="s">
        <v>42</v>
      </c>
      <c r="B2397" s="48">
        <v>45046</v>
      </c>
      <c r="C2397" t="s">
        <v>48</v>
      </c>
      <c r="D2397" t="str">
        <f>IF(COUNTIFS(Verweise!$A$2:$A$4542,Übersicht!$C$7,Verweise!$B$2:$B$4542,B2397)=1,"Feiertag",IF(C2397="Samstag","",IF(C2397="Sonntag","",Übersicht!$C$8)))</f>
        <v>Feiertag</v>
      </c>
    </row>
    <row r="2398" spans="1:4" x14ac:dyDescent="0.25">
      <c r="A2398" t="s">
        <v>42</v>
      </c>
      <c r="B2398" s="48">
        <v>45051</v>
      </c>
      <c r="C2398" t="s">
        <v>49</v>
      </c>
      <c r="D2398" t="str">
        <f>IF(COUNTIFS(Verweise!$A$2:$A$4542,Übersicht!$C$7,Verweise!$B$2:$B$4542,B2398)=1,"Feiertag",IF(C2398="Samstag","",IF(C2398="Sonntag","",Übersicht!$C$8)))</f>
        <v>Feiertag</v>
      </c>
    </row>
    <row r="2399" spans="1:4" x14ac:dyDescent="0.25">
      <c r="A2399" t="s">
        <v>42</v>
      </c>
      <c r="B2399" s="48">
        <v>45061</v>
      </c>
      <c r="C2399" t="s">
        <v>50</v>
      </c>
      <c r="D2399" t="str">
        <f>IF(COUNTIFS(Verweise!$A$2:$A$4542,Übersicht!$C$7,Verweise!$B$2:$B$4542,B2399)=1,"Feiertag",IF(C2399="Samstag","",IF(C2399="Sonntag","",Übersicht!$C$8)))</f>
        <v>Feiertag</v>
      </c>
    </row>
    <row r="2400" spans="1:4" x14ac:dyDescent="0.25">
      <c r="A2400" t="s">
        <v>42</v>
      </c>
      <c r="B2400" s="48">
        <v>45062</v>
      </c>
      <c r="C2400" t="s">
        <v>51</v>
      </c>
      <c r="D2400" t="str">
        <f>IF(COUNTIFS(Verweise!$A$2:$A$4542,Übersicht!$C$7,Verweise!$B$2:$B$4542,B2400)=1,"Feiertag",IF(C2400="Samstag","",IF(C2400="Sonntag","",Übersicht!$C$8)))</f>
        <v>Feiertag</v>
      </c>
    </row>
    <row r="2401" spans="1:4" x14ac:dyDescent="0.25">
      <c r="A2401" t="s">
        <v>42</v>
      </c>
      <c r="B2401" s="48">
        <v>45072</v>
      </c>
      <c r="C2401" t="s">
        <v>52</v>
      </c>
      <c r="D2401" t="str">
        <f>IF(COUNTIFS(Verweise!$A$2:$A$4542,Übersicht!$C$7,Verweise!$B$2:$B$4542,B2401)=1,"Feiertag",IF(C2401="Samstag","",IF(C2401="Sonntag","",Übersicht!$C$8)))</f>
        <v>Feiertag</v>
      </c>
    </row>
    <row r="2402" spans="1:4" x14ac:dyDescent="0.25">
      <c r="A2402" t="s">
        <v>42</v>
      </c>
      <c r="B2402" s="48">
        <v>45201</v>
      </c>
      <c r="C2402" t="s">
        <v>53</v>
      </c>
      <c r="D2402" t="str">
        <f>IF(COUNTIFS(Verweise!$A$2:$A$4542,Übersicht!$C$7,Verweise!$B$2:$B$4542,B2402)=1,"Feiertag",IF(C2402="Samstag","",IF(C2402="Sonntag","",Übersicht!$C$8)))</f>
        <v>Feiertag</v>
      </c>
    </row>
    <row r="2403" spans="1:4" x14ac:dyDescent="0.25">
      <c r="A2403" t="s">
        <v>42</v>
      </c>
      <c r="B2403" s="48">
        <v>45230</v>
      </c>
      <c r="C2403" t="s">
        <v>54</v>
      </c>
      <c r="D2403" t="str">
        <f>IF(COUNTIFS(Verweise!$A$2:$A$4542,Übersicht!$C$7,Verweise!$B$2:$B$4542,B2403)=1,"Feiertag",IF(C2403="Samstag","",IF(C2403="Sonntag","",Übersicht!$C$8)))</f>
        <v>Feiertag</v>
      </c>
    </row>
    <row r="2404" spans="1:4" x14ac:dyDescent="0.25">
      <c r="A2404" t="s">
        <v>42</v>
      </c>
      <c r="B2404" s="48">
        <v>45284</v>
      </c>
      <c r="C2404" t="s">
        <v>55</v>
      </c>
      <c r="D2404" t="str">
        <f>IF(COUNTIFS(Verweise!$A$2:$A$4542,Übersicht!$C$7,Verweise!$B$2:$B$4542,B2404)=1,"Feiertag",IF(C2404="Samstag","",IF(C2404="Sonntag","",Übersicht!$C$8)))</f>
        <v>Feiertag</v>
      </c>
    </row>
    <row r="2405" spans="1:4" x14ac:dyDescent="0.25">
      <c r="A2405" t="s">
        <v>42</v>
      </c>
      <c r="B2405" s="48">
        <v>45285</v>
      </c>
      <c r="C2405" t="s">
        <v>56</v>
      </c>
      <c r="D2405" t="str">
        <f>IF(COUNTIFS(Verweise!$A$2:$A$4542,Übersicht!$C$7,Verweise!$B$2:$B$4542,B2405)=1,"Feiertag",IF(C2405="Samstag","",IF(C2405="Sonntag","",Übersicht!$C$8)))</f>
        <v>Feiertag</v>
      </c>
    </row>
    <row r="2406" spans="1:4" x14ac:dyDescent="0.25">
      <c r="A2406" t="s">
        <v>57</v>
      </c>
      <c r="B2406" s="48">
        <v>44926</v>
      </c>
      <c r="C2406" t="s">
        <v>43</v>
      </c>
      <c r="D2406" t="str">
        <f>IF(COUNTIFS(Verweise!$A$2:$A$4542,Übersicht!$C$7,Verweise!$B$2:$B$4542,B2406)=1,"Feiertag",IF(C2406="Samstag","",IF(C2406="Sonntag","",Übersicht!$C$8)))</f>
        <v>Feiertag</v>
      </c>
    </row>
    <row r="2407" spans="1:4" x14ac:dyDescent="0.25">
      <c r="A2407" t="s">
        <v>57</v>
      </c>
      <c r="B2407" s="48">
        <v>44931</v>
      </c>
      <c r="C2407" t="s">
        <v>44</v>
      </c>
      <c r="D2407" t="str">
        <f>IF(COUNTIFS(Verweise!$A$2:$A$4542,Übersicht!$C$7,Verweise!$B$2:$B$4542,B2407)=1,"Feiertag",IF(C2407="Samstag","",IF(C2407="Sonntag","",Übersicht!$C$8)))</f>
        <v>Büro</v>
      </c>
    </row>
    <row r="2408" spans="1:4" x14ac:dyDescent="0.25">
      <c r="A2408" t="s">
        <v>57</v>
      </c>
      <c r="B2408" s="48">
        <v>45010</v>
      </c>
      <c r="C2408" t="s">
        <v>45</v>
      </c>
      <c r="D2408" t="str">
        <f>IF(COUNTIFS(Verweise!$A$2:$A$4542,Übersicht!$C$7,Verweise!$B$2:$B$4542,B2408)=1,"Feiertag",IF(C2408="Samstag","",IF(C2408="Sonntag","",Übersicht!$C$8)))</f>
        <v>Feiertag</v>
      </c>
    </row>
    <row r="2409" spans="1:4" x14ac:dyDescent="0.25">
      <c r="A2409" t="s">
        <v>57</v>
      </c>
      <c r="B2409" s="48">
        <v>45012</v>
      </c>
      <c r="C2409" t="s">
        <v>46</v>
      </c>
      <c r="D2409" t="str">
        <f>IF(COUNTIFS(Verweise!$A$2:$A$4542,Übersicht!$C$7,Verweise!$B$2:$B$4542,B2409)=1,"Feiertag",IF(C2409="Samstag","",IF(C2409="Sonntag","",Übersicht!$C$8)))</f>
        <v>Feiertag</v>
      </c>
    </row>
    <row r="2410" spans="1:4" x14ac:dyDescent="0.25">
      <c r="A2410" t="s">
        <v>57</v>
      </c>
      <c r="B2410" s="48">
        <v>45013</v>
      </c>
      <c r="C2410" t="s">
        <v>47</v>
      </c>
      <c r="D2410" t="str">
        <f>IF(COUNTIFS(Verweise!$A$2:$A$4542,Übersicht!$C$7,Verweise!$B$2:$B$4542,B2410)=1,"Feiertag",IF(C2410="Samstag","",IF(C2410="Sonntag","",Übersicht!$C$8)))</f>
        <v>Feiertag</v>
      </c>
    </row>
    <row r="2411" spans="1:4" x14ac:dyDescent="0.25">
      <c r="A2411" t="s">
        <v>57</v>
      </c>
      <c r="B2411" s="48">
        <v>45046</v>
      </c>
      <c r="C2411" t="s">
        <v>48</v>
      </c>
      <c r="D2411" t="str">
        <f>IF(COUNTIFS(Verweise!$A$2:$A$4542,Übersicht!$C$7,Verweise!$B$2:$B$4542,B2411)=1,"Feiertag",IF(C2411="Samstag","",IF(C2411="Sonntag","",Übersicht!$C$8)))</f>
        <v>Feiertag</v>
      </c>
    </row>
    <row r="2412" spans="1:4" x14ac:dyDescent="0.25">
      <c r="A2412" t="s">
        <v>57</v>
      </c>
      <c r="B2412" s="48">
        <v>45051</v>
      </c>
      <c r="C2412" t="s">
        <v>49</v>
      </c>
      <c r="D2412" t="str">
        <f>IF(COUNTIFS(Verweise!$A$2:$A$4542,Übersicht!$C$7,Verweise!$B$2:$B$4542,B2412)=1,"Feiertag",IF(C2412="Samstag","",IF(C2412="Sonntag","",Übersicht!$C$8)))</f>
        <v>Feiertag</v>
      </c>
    </row>
    <row r="2413" spans="1:4" x14ac:dyDescent="0.25">
      <c r="A2413" t="s">
        <v>57</v>
      </c>
      <c r="B2413" s="48">
        <v>45061</v>
      </c>
      <c r="C2413" t="s">
        <v>50</v>
      </c>
      <c r="D2413" t="str">
        <f>IF(COUNTIFS(Verweise!$A$2:$A$4542,Übersicht!$C$7,Verweise!$B$2:$B$4542,B2413)=1,"Feiertag",IF(C2413="Samstag","",IF(C2413="Sonntag","",Übersicht!$C$8)))</f>
        <v>Feiertag</v>
      </c>
    </row>
    <row r="2414" spans="1:4" x14ac:dyDescent="0.25">
      <c r="A2414" t="s">
        <v>57</v>
      </c>
      <c r="B2414" s="48">
        <v>45062</v>
      </c>
      <c r="C2414" t="s">
        <v>51</v>
      </c>
      <c r="D2414" t="str">
        <f>IF(COUNTIFS(Verweise!$A$2:$A$4542,Übersicht!$C$7,Verweise!$B$2:$B$4542,B2414)=1,"Feiertag",IF(C2414="Samstag","",IF(C2414="Sonntag","",Übersicht!$C$8)))</f>
        <v>Feiertag</v>
      </c>
    </row>
    <row r="2415" spans="1:4" x14ac:dyDescent="0.25">
      <c r="A2415" t="s">
        <v>57</v>
      </c>
      <c r="B2415" s="48">
        <v>45072</v>
      </c>
      <c r="C2415" t="s">
        <v>52</v>
      </c>
      <c r="D2415" t="str">
        <f>IF(COUNTIFS(Verweise!$A$2:$A$4542,Übersicht!$C$7,Verweise!$B$2:$B$4542,B2415)=1,"Feiertag",IF(C2415="Samstag","",IF(C2415="Sonntag","",Übersicht!$C$8)))</f>
        <v>Feiertag</v>
      </c>
    </row>
    <row r="2416" spans="1:4" x14ac:dyDescent="0.25">
      <c r="A2416" t="s">
        <v>57</v>
      </c>
      <c r="B2416" s="48">
        <v>45201</v>
      </c>
      <c r="C2416" t="s">
        <v>53</v>
      </c>
      <c r="D2416" t="str">
        <f>IF(COUNTIFS(Verweise!$A$2:$A$4542,Übersicht!$C$7,Verweise!$B$2:$B$4542,B2416)=1,"Feiertag",IF(C2416="Samstag","",IF(C2416="Sonntag","",Übersicht!$C$8)))</f>
        <v>Feiertag</v>
      </c>
    </row>
    <row r="2417" spans="1:4" x14ac:dyDescent="0.25">
      <c r="A2417" t="s">
        <v>57</v>
      </c>
      <c r="B2417" s="48">
        <v>45230</v>
      </c>
      <c r="C2417" t="s">
        <v>54</v>
      </c>
      <c r="D2417" t="str">
        <f>IF(COUNTIFS(Verweise!$A$2:$A$4542,Übersicht!$C$7,Verweise!$B$2:$B$4542,B2417)=1,"Feiertag",IF(C2417="Samstag","",IF(C2417="Sonntag","",Übersicht!$C$8)))</f>
        <v>Feiertag</v>
      </c>
    </row>
    <row r="2418" spans="1:4" x14ac:dyDescent="0.25">
      <c r="A2418" t="s">
        <v>57</v>
      </c>
      <c r="B2418" s="48">
        <v>45284</v>
      </c>
      <c r="C2418" t="s">
        <v>55</v>
      </c>
      <c r="D2418" t="str">
        <f>IF(COUNTIFS(Verweise!$A$2:$A$4542,Übersicht!$C$7,Verweise!$B$2:$B$4542,B2418)=1,"Feiertag",IF(C2418="Samstag","",IF(C2418="Sonntag","",Übersicht!$C$8)))</f>
        <v>Feiertag</v>
      </c>
    </row>
    <row r="2419" spans="1:4" x14ac:dyDescent="0.25">
      <c r="A2419" t="s">
        <v>57</v>
      </c>
      <c r="B2419" s="48">
        <v>45285</v>
      </c>
      <c r="C2419" t="s">
        <v>56</v>
      </c>
      <c r="D2419" t="str">
        <f>IF(COUNTIFS(Verweise!$A$2:$A$4542,Übersicht!$C$7,Verweise!$B$2:$B$4542,B2419)=1,"Feiertag",IF(C2419="Samstag","",IF(C2419="Sonntag","",Übersicht!$C$8)))</f>
        <v>Feiertag</v>
      </c>
    </row>
    <row r="2420" spans="1:4" x14ac:dyDescent="0.25">
      <c r="A2420" t="s">
        <v>58</v>
      </c>
      <c r="B2420" s="48">
        <v>44926</v>
      </c>
      <c r="C2420" t="s">
        <v>43</v>
      </c>
      <c r="D2420" t="str">
        <f>IF(COUNTIFS(Verweise!$A$2:$A$4542,Übersicht!$C$7,Verweise!$B$2:$B$4542,B2420)=1,"Feiertag",IF(C2420="Samstag","",IF(C2420="Sonntag","",Übersicht!$C$8)))</f>
        <v>Feiertag</v>
      </c>
    </row>
    <row r="2421" spans="1:4" x14ac:dyDescent="0.25">
      <c r="A2421" t="s">
        <v>58</v>
      </c>
      <c r="B2421" s="48">
        <v>44931</v>
      </c>
      <c r="C2421" t="s">
        <v>44</v>
      </c>
      <c r="D2421" t="str">
        <f>IF(COUNTIFS(Verweise!$A$2:$A$4542,Übersicht!$C$7,Verweise!$B$2:$B$4542,B2421)=1,"Feiertag",IF(C2421="Samstag","",IF(C2421="Sonntag","",Übersicht!$C$8)))</f>
        <v>Büro</v>
      </c>
    </row>
    <row r="2422" spans="1:4" x14ac:dyDescent="0.25">
      <c r="A2422" t="s">
        <v>58</v>
      </c>
      <c r="B2422" s="48">
        <v>45010</v>
      </c>
      <c r="C2422" t="s">
        <v>45</v>
      </c>
      <c r="D2422" t="str">
        <f>IF(COUNTIFS(Verweise!$A$2:$A$4542,Übersicht!$C$7,Verweise!$B$2:$B$4542,B2422)=1,"Feiertag",IF(C2422="Samstag","",IF(C2422="Sonntag","",Übersicht!$C$8)))</f>
        <v>Feiertag</v>
      </c>
    </row>
    <row r="2423" spans="1:4" x14ac:dyDescent="0.25">
      <c r="A2423" t="s">
        <v>58</v>
      </c>
      <c r="B2423" s="48">
        <v>45012</v>
      </c>
      <c r="C2423" t="s">
        <v>46</v>
      </c>
      <c r="D2423" t="str">
        <f>IF(COUNTIFS(Verweise!$A$2:$A$4542,Übersicht!$C$7,Verweise!$B$2:$B$4542,B2423)=1,"Feiertag",IF(C2423="Samstag","",IF(C2423="Sonntag","",Übersicht!$C$8)))</f>
        <v>Feiertag</v>
      </c>
    </row>
    <row r="2424" spans="1:4" x14ac:dyDescent="0.25">
      <c r="A2424" t="s">
        <v>58</v>
      </c>
      <c r="B2424" s="48">
        <v>45013</v>
      </c>
      <c r="C2424" t="s">
        <v>47</v>
      </c>
      <c r="D2424" t="str">
        <f>IF(COUNTIFS(Verweise!$A$2:$A$4542,Übersicht!$C$7,Verweise!$B$2:$B$4542,B2424)=1,"Feiertag",IF(C2424="Samstag","",IF(C2424="Sonntag","",Übersicht!$C$8)))</f>
        <v>Feiertag</v>
      </c>
    </row>
    <row r="2425" spans="1:4" x14ac:dyDescent="0.25">
      <c r="A2425" t="s">
        <v>58</v>
      </c>
      <c r="B2425" s="48">
        <v>45046</v>
      </c>
      <c r="C2425" t="s">
        <v>48</v>
      </c>
      <c r="D2425" t="str">
        <f>IF(COUNTIFS(Verweise!$A$2:$A$4542,Übersicht!$C$7,Verweise!$B$2:$B$4542,B2425)=1,"Feiertag",IF(C2425="Samstag","",IF(C2425="Sonntag","",Übersicht!$C$8)))</f>
        <v>Feiertag</v>
      </c>
    </row>
    <row r="2426" spans="1:4" x14ac:dyDescent="0.25">
      <c r="A2426" t="s">
        <v>58</v>
      </c>
      <c r="B2426" s="48">
        <v>45051</v>
      </c>
      <c r="C2426" t="s">
        <v>49</v>
      </c>
      <c r="D2426" t="str">
        <f>IF(COUNTIFS(Verweise!$A$2:$A$4542,Übersicht!$C$7,Verweise!$B$2:$B$4542,B2426)=1,"Feiertag",IF(C2426="Samstag","",IF(C2426="Sonntag","",Übersicht!$C$8)))</f>
        <v>Feiertag</v>
      </c>
    </row>
    <row r="2427" spans="1:4" x14ac:dyDescent="0.25">
      <c r="A2427" t="s">
        <v>58</v>
      </c>
      <c r="B2427" s="48">
        <v>45061</v>
      </c>
      <c r="C2427" t="s">
        <v>50</v>
      </c>
      <c r="D2427" t="str">
        <f>IF(COUNTIFS(Verweise!$A$2:$A$4542,Übersicht!$C$7,Verweise!$B$2:$B$4542,B2427)=1,"Feiertag",IF(C2427="Samstag","",IF(C2427="Sonntag","",Übersicht!$C$8)))</f>
        <v>Feiertag</v>
      </c>
    </row>
    <row r="2428" spans="1:4" x14ac:dyDescent="0.25">
      <c r="A2428" t="s">
        <v>58</v>
      </c>
      <c r="B2428" s="48">
        <v>45062</v>
      </c>
      <c r="C2428" t="s">
        <v>51</v>
      </c>
      <c r="D2428" t="str">
        <f>IF(COUNTIFS(Verweise!$A$2:$A$4542,Übersicht!$C$7,Verweise!$B$2:$B$4542,B2428)=1,"Feiertag",IF(C2428="Samstag","",IF(C2428="Sonntag","",Übersicht!$C$8)))</f>
        <v>Feiertag</v>
      </c>
    </row>
    <row r="2429" spans="1:4" x14ac:dyDescent="0.25">
      <c r="A2429" t="s">
        <v>58</v>
      </c>
      <c r="B2429" s="48">
        <v>45072</v>
      </c>
      <c r="C2429" t="s">
        <v>52</v>
      </c>
      <c r="D2429" t="str">
        <f>IF(COUNTIFS(Verweise!$A$2:$A$4542,Übersicht!$C$7,Verweise!$B$2:$B$4542,B2429)=1,"Feiertag",IF(C2429="Samstag","",IF(C2429="Sonntag","",Übersicht!$C$8)))</f>
        <v>Feiertag</v>
      </c>
    </row>
    <row r="2430" spans="1:4" x14ac:dyDescent="0.25">
      <c r="A2430" t="s">
        <v>58</v>
      </c>
      <c r="B2430" s="48">
        <v>45152</v>
      </c>
      <c r="C2430" t="s">
        <v>59</v>
      </c>
      <c r="D2430" t="str">
        <f>IF(COUNTIFS(Verweise!$A$2:$A$4542,Übersicht!$C$7,Verweise!$B$2:$B$4542,B2430)=1,"Feiertag",IF(C2430="Samstag","",IF(C2430="Sonntag","",Übersicht!$C$8)))</f>
        <v>Büro</v>
      </c>
    </row>
    <row r="2431" spans="1:4" x14ac:dyDescent="0.25">
      <c r="A2431" t="s">
        <v>58</v>
      </c>
      <c r="B2431" s="48">
        <v>45201</v>
      </c>
      <c r="C2431" t="s">
        <v>53</v>
      </c>
      <c r="D2431" t="str">
        <f>IF(COUNTIFS(Verweise!$A$2:$A$4542,Übersicht!$C$7,Verweise!$B$2:$B$4542,B2431)=1,"Feiertag",IF(C2431="Samstag","",IF(C2431="Sonntag","",Übersicht!$C$8)))</f>
        <v>Feiertag</v>
      </c>
    </row>
    <row r="2432" spans="1:4" x14ac:dyDescent="0.25">
      <c r="A2432" t="s">
        <v>58</v>
      </c>
      <c r="B2432" s="48">
        <v>45230</v>
      </c>
      <c r="C2432" t="s">
        <v>54</v>
      </c>
      <c r="D2432" t="str">
        <f>IF(COUNTIFS(Verweise!$A$2:$A$4542,Übersicht!$C$7,Verweise!$B$2:$B$4542,B2432)=1,"Feiertag",IF(C2432="Samstag","",IF(C2432="Sonntag","",Übersicht!$C$8)))</f>
        <v>Feiertag</v>
      </c>
    </row>
    <row r="2433" spans="1:4" x14ac:dyDescent="0.25">
      <c r="A2433" t="s">
        <v>58</v>
      </c>
      <c r="B2433" s="48">
        <v>45284</v>
      </c>
      <c r="C2433" t="s">
        <v>55</v>
      </c>
      <c r="D2433" t="str">
        <f>IF(COUNTIFS(Verweise!$A$2:$A$4542,Übersicht!$C$7,Verweise!$B$2:$B$4542,B2433)=1,"Feiertag",IF(C2433="Samstag","",IF(C2433="Sonntag","",Übersicht!$C$8)))</f>
        <v>Feiertag</v>
      </c>
    </row>
    <row r="2434" spans="1:4" x14ac:dyDescent="0.25">
      <c r="A2434" t="s">
        <v>58</v>
      </c>
      <c r="B2434" s="48">
        <v>45285</v>
      </c>
      <c r="C2434" t="s">
        <v>56</v>
      </c>
      <c r="D2434" t="str">
        <f>IF(COUNTIFS(Verweise!$A$2:$A$4542,Übersicht!$C$7,Verweise!$B$2:$B$4542,B2434)=1,"Feiertag",IF(C2434="Samstag","",IF(C2434="Sonntag","",Übersicht!$C$8)))</f>
        <v>Feiertag</v>
      </c>
    </row>
    <row r="2435" spans="1:4" x14ac:dyDescent="0.25">
      <c r="A2435" t="s">
        <v>60</v>
      </c>
      <c r="B2435" s="48">
        <v>44926</v>
      </c>
      <c r="C2435" t="s">
        <v>43</v>
      </c>
      <c r="D2435" t="str">
        <f>IF(COUNTIFS(Verweise!$A$2:$A$4542,Übersicht!$C$7,Verweise!$B$2:$B$4542,B2435)=1,"Feiertag",IF(C2435="Samstag","",IF(C2435="Sonntag","",Übersicht!$C$8)))</f>
        <v>Feiertag</v>
      </c>
    </row>
    <row r="2436" spans="1:4" x14ac:dyDescent="0.25">
      <c r="A2436" t="s">
        <v>60</v>
      </c>
      <c r="B2436" s="48">
        <v>45010</v>
      </c>
      <c r="C2436" t="s">
        <v>45</v>
      </c>
      <c r="D2436" t="str">
        <f>IF(COUNTIFS(Verweise!$A$2:$A$4542,Übersicht!$C$7,Verweise!$B$2:$B$4542,B2436)=1,"Feiertag",IF(C2436="Samstag","",IF(C2436="Sonntag","",Übersicht!$C$8)))</f>
        <v>Feiertag</v>
      </c>
    </row>
    <row r="2437" spans="1:4" x14ac:dyDescent="0.25">
      <c r="A2437" t="s">
        <v>60</v>
      </c>
      <c r="B2437" s="48">
        <v>45012</v>
      </c>
      <c r="C2437" t="s">
        <v>46</v>
      </c>
      <c r="D2437" t="str">
        <f>IF(COUNTIFS(Verweise!$A$2:$A$4542,Übersicht!$C$7,Verweise!$B$2:$B$4542,B2437)=1,"Feiertag",IF(C2437="Samstag","",IF(C2437="Sonntag","",Übersicht!$C$8)))</f>
        <v>Feiertag</v>
      </c>
    </row>
    <row r="2438" spans="1:4" x14ac:dyDescent="0.25">
      <c r="A2438" t="s">
        <v>60</v>
      </c>
      <c r="B2438" s="48">
        <v>45013</v>
      </c>
      <c r="C2438" t="s">
        <v>47</v>
      </c>
      <c r="D2438" t="str">
        <f>IF(COUNTIFS(Verweise!$A$2:$A$4542,Übersicht!$C$7,Verweise!$B$2:$B$4542,B2438)=1,"Feiertag",IF(C2438="Samstag","",IF(C2438="Sonntag","",Übersicht!$C$8)))</f>
        <v>Feiertag</v>
      </c>
    </row>
    <row r="2439" spans="1:4" x14ac:dyDescent="0.25">
      <c r="A2439" t="s">
        <v>60</v>
      </c>
      <c r="B2439" s="48">
        <v>45046</v>
      </c>
      <c r="C2439" t="s">
        <v>48</v>
      </c>
      <c r="D2439" t="str">
        <f>IF(COUNTIFS(Verweise!$A$2:$A$4542,Übersicht!$C$7,Verweise!$B$2:$B$4542,B2439)=1,"Feiertag",IF(C2439="Samstag","",IF(C2439="Sonntag","",Übersicht!$C$8)))</f>
        <v>Feiertag</v>
      </c>
    </row>
    <row r="2440" spans="1:4" x14ac:dyDescent="0.25">
      <c r="A2440" t="s">
        <v>60</v>
      </c>
      <c r="B2440" s="48">
        <v>45051</v>
      </c>
      <c r="C2440" t="s">
        <v>49</v>
      </c>
      <c r="D2440" t="str">
        <f>IF(COUNTIFS(Verweise!$A$2:$A$4542,Übersicht!$C$7,Verweise!$B$2:$B$4542,B2440)=1,"Feiertag",IF(C2440="Samstag","",IF(C2440="Sonntag","",Übersicht!$C$8)))</f>
        <v>Feiertag</v>
      </c>
    </row>
    <row r="2441" spans="1:4" x14ac:dyDescent="0.25">
      <c r="A2441" t="s">
        <v>60</v>
      </c>
      <c r="B2441" s="48">
        <v>45061</v>
      </c>
      <c r="C2441" t="s">
        <v>50</v>
      </c>
      <c r="D2441" t="str">
        <f>IF(COUNTIFS(Verweise!$A$2:$A$4542,Übersicht!$C$7,Verweise!$B$2:$B$4542,B2441)=1,"Feiertag",IF(C2441="Samstag","",IF(C2441="Sonntag","",Übersicht!$C$8)))</f>
        <v>Feiertag</v>
      </c>
    </row>
    <row r="2442" spans="1:4" x14ac:dyDescent="0.25">
      <c r="A2442" t="s">
        <v>60</v>
      </c>
      <c r="B2442" s="48">
        <v>45062</v>
      </c>
      <c r="C2442" t="s">
        <v>51</v>
      </c>
      <c r="D2442" t="str">
        <f>IF(COUNTIFS(Verweise!$A$2:$A$4542,Übersicht!$C$7,Verweise!$B$2:$B$4542,B2442)=1,"Feiertag",IF(C2442="Samstag","",IF(C2442="Sonntag","",Übersicht!$C$8)))</f>
        <v>Feiertag</v>
      </c>
    </row>
    <row r="2443" spans="1:4" x14ac:dyDescent="0.25">
      <c r="A2443" t="s">
        <v>60</v>
      </c>
      <c r="B2443" s="48">
        <v>45201</v>
      </c>
      <c r="C2443" t="s">
        <v>53</v>
      </c>
      <c r="D2443" t="str">
        <f>IF(COUNTIFS(Verweise!$A$2:$A$4542,Übersicht!$C$7,Verweise!$B$2:$B$4542,B2443)=1,"Feiertag",IF(C2443="Samstag","",IF(C2443="Sonntag","",Übersicht!$C$8)))</f>
        <v>Feiertag</v>
      </c>
    </row>
    <row r="2444" spans="1:4" x14ac:dyDescent="0.25">
      <c r="A2444" t="s">
        <v>60</v>
      </c>
      <c r="B2444" s="48">
        <v>45284</v>
      </c>
      <c r="C2444" t="s">
        <v>55</v>
      </c>
      <c r="D2444" t="str">
        <f>IF(COUNTIFS(Verweise!$A$2:$A$4542,Übersicht!$C$7,Verweise!$B$2:$B$4542,B2444)=1,"Feiertag",IF(C2444="Samstag","",IF(C2444="Sonntag","",Übersicht!$C$8)))</f>
        <v>Feiertag</v>
      </c>
    </row>
    <row r="2445" spans="1:4" x14ac:dyDescent="0.25">
      <c r="A2445" t="s">
        <v>60</v>
      </c>
      <c r="B2445" s="48">
        <v>45285</v>
      </c>
      <c r="C2445" t="s">
        <v>56</v>
      </c>
      <c r="D2445" t="str">
        <f>IF(COUNTIFS(Verweise!$A$2:$A$4542,Übersicht!$C$7,Verweise!$B$2:$B$4542,B2445)=1,"Feiertag",IF(C2445="Samstag","",IF(C2445="Sonntag","",Übersicht!$C$8)))</f>
        <v>Feiertag</v>
      </c>
    </row>
    <row r="2446" spans="1:4" x14ac:dyDescent="0.25">
      <c r="A2446" t="s">
        <v>61</v>
      </c>
      <c r="B2446" s="48">
        <v>44926</v>
      </c>
      <c r="C2446" t="s">
        <v>43</v>
      </c>
      <c r="D2446" t="str">
        <f>IF(COUNTIFS(Verweise!$A$2:$A$4542,Übersicht!$C$7,Verweise!$B$2:$B$4542,B2446)=1,"Feiertag",IF(C2446="Samstag","",IF(C2446="Sonntag","",Übersicht!$C$8)))</f>
        <v>Feiertag</v>
      </c>
    </row>
    <row r="2447" spans="1:4" x14ac:dyDescent="0.25">
      <c r="A2447" t="s">
        <v>61</v>
      </c>
      <c r="B2447" s="48">
        <v>45010</v>
      </c>
      <c r="C2447" t="s">
        <v>45</v>
      </c>
      <c r="D2447" t="str">
        <f>IF(COUNTIFS(Verweise!$A$2:$A$4542,Übersicht!$C$7,Verweise!$B$2:$B$4542,B2447)=1,"Feiertag",IF(C2447="Samstag","",IF(C2447="Sonntag","",Übersicht!$C$8)))</f>
        <v>Feiertag</v>
      </c>
    </row>
    <row r="2448" spans="1:4" x14ac:dyDescent="0.25">
      <c r="A2448" t="s">
        <v>61</v>
      </c>
      <c r="B2448" s="48">
        <v>45012</v>
      </c>
      <c r="C2448" t="s">
        <v>46</v>
      </c>
      <c r="D2448" t="str">
        <f>IF(COUNTIFS(Verweise!$A$2:$A$4542,Übersicht!$C$7,Verweise!$B$2:$B$4542,B2448)=1,"Feiertag",IF(C2448="Samstag","",IF(C2448="Sonntag","",Übersicht!$C$8)))</f>
        <v>Feiertag</v>
      </c>
    </row>
    <row r="2449" spans="1:4" x14ac:dyDescent="0.25">
      <c r="A2449" t="s">
        <v>61</v>
      </c>
      <c r="B2449" s="48">
        <v>45013</v>
      </c>
      <c r="C2449" t="s">
        <v>47</v>
      </c>
      <c r="D2449" t="str">
        <f>IF(COUNTIFS(Verweise!$A$2:$A$4542,Übersicht!$C$7,Verweise!$B$2:$B$4542,B2449)=1,"Feiertag",IF(C2449="Samstag","",IF(C2449="Sonntag","",Übersicht!$C$8)))</f>
        <v>Feiertag</v>
      </c>
    </row>
    <row r="2450" spans="1:4" x14ac:dyDescent="0.25">
      <c r="A2450" t="s">
        <v>61</v>
      </c>
      <c r="B2450" s="48">
        <v>45046</v>
      </c>
      <c r="C2450" t="s">
        <v>48</v>
      </c>
      <c r="D2450" t="str">
        <f>IF(COUNTIFS(Verweise!$A$2:$A$4542,Übersicht!$C$7,Verweise!$B$2:$B$4542,B2450)=1,"Feiertag",IF(C2450="Samstag","",IF(C2450="Sonntag","",Übersicht!$C$8)))</f>
        <v>Feiertag</v>
      </c>
    </row>
    <row r="2451" spans="1:4" x14ac:dyDescent="0.25">
      <c r="A2451" t="s">
        <v>61</v>
      </c>
      <c r="B2451" s="48">
        <v>45051</v>
      </c>
      <c r="C2451" t="s">
        <v>49</v>
      </c>
      <c r="D2451" t="str">
        <f>IF(COUNTIFS(Verweise!$A$2:$A$4542,Übersicht!$C$7,Verweise!$B$2:$B$4542,B2451)=1,"Feiertag",IF(C2451="Samstag","",IF(C2451="Sonntag","",Übersicht!$C$8)))</f>
        <v>Feiertag</v>
      </c>
    </row>
    <row r="2452" spans="1:4" x14ac:dyDescent="0.25">
      <c r="A2452" t="s">
        <v>61</v>
      </c>
      <c r="B2452" s="48">
        <v>45061</v>
      </c>
      <c r="C2452" t="s">
        <v>50</v>
      </c>
      <c r="D2452" t="str">
        <f>IF(COUNTIFS(Verweise!$A$2:$A$4542,Übersicht!$C$7,Verweise!$B$2:$B$4542,B2452)=1,"Feiertag",IF(C2452="Samstag","",IF(C2452="Sonntag","",Übersicht!$C$8)))</f>
        <v>Feiertag</v>
      </c>
    </row>
    <row r="2453" spans="1:4" x14ac:dyDescent="0.25">
      <c r="A2453" t="s">
        <v>61</v>
      </c>
      <c r="B2453" s="48">
        <v>45062</v>
      </c>
      <c r="C2453" t="s">
        <v>51</v>
      </c>
      <c r="D2453" t="str">
        <f>IF(COUNTIFS(Verweise!$A$2:$A$4542,Übersicht!$C$7,Verweise!$B$2:$B$4542,B2453)=1,"Feiertag",IF(C2453="Samstag","",IF(C2453="Sonntag","",Übersicht!$C$8)))</f>
        <v>Feiertag</v>
      </c>
    </row>
    <row r="2454" spans="1:4" x14ac:dyDescent="0.25">
      <c r="A2454" t="s">
        <v>61</v>
      </c>
      <c r="B2454" s="48">
        <v>45201</v>
      </c>
      <c r="C2454" t="s">
        <v>53</v>
      </c>
      <c r="D2454" t="str">
        <f>IF(COUNTIFS(Verweise!$A$2:$A$4542,Übersicht!$C$7,Verweise!$B$2:$B$4542,B2454)=1,"Feiertag",IF(C2454="Samstag","",IF(C2454="Sonntag","",Übersicht!$C$8)))</f>
        <v>Feiertag</v>
      </c>
    </row>
    <row r="2455" spans="1:4" x14ac:dyDescent="0.25">
      <c r="A2455" t="s">
        <v>61</v>
      </c>
      <c r="B2455" s="48">
        <v>45229</v>
      </c>
      <c r="C2455" t="s">
        <v>62</v>
      </c>
      <c r="D2455" t="str">
        <f>IF(COUNTIFS(Verweise!$A$2:$A$4542,Übersicht!$C$7,Verweise!$B$2:$B$4542,B2455)=1,"Feiertag",IF(C2455="Samstag","",IF(C2455="Sonntag","",Übersicht!$C$8)))</f>
        <v>Büro</v>
      </c>
    </row>
    <row r="2456" spans="1:4" x14ac:dyDescent="0.25">
      <c r="A2456" t="s">
        <v>61</v>
      </c>
      <c r="B2456" s="48">
        <v>45284</v>
      </c>
      <c r="C2456" t="s">
        <v>55</v>
      </c>
      <c r="D2456" t="str">
        <f>IF(COUNTIFS(Verweise!$A$2:$A$4542,Übersicht!$C$7,Verweise!$B$2:$B$4542,B2456)=1,"Feiertag",IF(C2456="Samstag","",IF(C2456="Sonntag","",Übersicht!$C$8)))</f>
        <v>Feiertag</v>
      </c>
    </row>
    <row r="2457" spans="1:4" x14ac:dyDescent="0.25">
      <c r="A2457" t="s">
        <v>61</v>
      </c>
      <c r="B2457" s="48">
        <v>45285</v>
      </c>
      <c r="C2457" t="s">
        <v>56</v>
      </c>
      <c r="D2457" t="str">
        <f>IF(COUNTIFS(Verweise!$A$2:$A$4542,Übersicht!$C$7,Verweise!$B$2:$B$4542,B2457)=1,"Feiertag",IF(C2457="Samstag","",IF(C2457="Sonntag","",Übersicht!$C$8)))</f>
        <v>Feiertag</v>
      </c>
    </row>
    <row r="2458" spans="1:4" x14ac:dyDescent="0.25">
      <c r="A2458" t="s">
        <v>63</v>
      </c>
      <c r="B2458" s="48">
        <v>44926</v>
      </c>
      <c r="C2458" t="s">
        <v>43</v>
      </c>
      <c r="D2458" t="str">
        <f>IF(COUNTIFS(Verweise!$A$2:$A$4542,Übersicht!$C$7,Verweise!$B$2:$B$4542,B2458)=1,"Feiertag",IF(C2458="Samstag","",IF(C2458="Sonntag","",Übersicht!$C$8)))</f>
        <v>Feiertag</v>
      </c>
    </row>
    <row r="2459" spans="1:4" x14ac:dyDescent="0.25">
      <c r="A2459" t="s">
        <v>63</v>
      </c>
      <c r="B2459" s="48">
        <v>45010</v>
      </c>
      <c r="C2459" t="s">
        <v>45</v>
      </c>
      <c r="D2459" t="str">
        <f>IF(COUNTIFS(Verweise!$A$2:$A$4542,Übersicht!$C$7,Verweise!$B$2:$B$4542,B2459)=1,"Feiertag",IF(C2459="Samstag","",IF(C2459="Sonntag","",Übersicht!$C$8)))</f>
        <v>Feiertag</v>
      </c>
    </row>
    <row r="2460" spans="1:4" x14ac:dyDescent="0.25">
      <c r="A2460" t="s">
        <v>63</v>
      </c>
      <c r="B2460" s="48">
        <v>45012</v>
      </c>
      <c r="C2460" t="s">
        <v>46</v>
      </c>
      <c r="D2460" t="str">
        <f>IF(COUNTIFS(Verweise!$A$2:$A$4542,Übersicht!$C$7,Verweise!$B$2:$B$4542,B2460)=1,"Feiertag",IF(C2460="Samstag","",IF(C2460="Sonntag","",Übersicht!$C$8)))</f>
        <v>Feiertag</v>
      </c>
    </row>
    <row r="2461" spans="1:4" x14ac:dyDescent="0.25">
      <c r="A2461" t="s">
        <v>63</v>
      </c>
      <c r="B2461" s="48">
        <v>45013</v>
      </c>
      <c r="C2461" t="s">
        <v>47</v>
      </c>
      <c r="D2461" t="str">
        <f>IF(COUNTIFS(Verweise!$A$2:$A$4542,Übersicht!$C$7,Verweise!$B$2:$B$4542,B2461)=1,"Feiertag",IF(C2461="Samstag","",IF(C2461="Sonntag","",Übersicht!$C$8)))</f>
        <v>Feiertag</v>
      </c>
    </row>
    <row r="2462" spans="1:4" x14ac:dyDescent="0.25">
      <c r="A2462" t="s">
        <v>63</v>
      </c>
      <c r="B2462" s="48">
        <v>45046</v>
      </c>
      <c r="C2462" t="s">
        <v>48</v>
      </c>
      <c r="D2462" t="str">
        <f>IF(COUNTIFS(Verweise!$A$2:$A$4542,Übersicht!$C$7,Verweise!$B$2:$B$4542,B2462)=1,"Feiertag",IF(C2462="Samstag","",IF(C2462="Sonntag","",Übersicht!$C$8)))</f>
        <v>Feiertag</v>
      </c>
    </row>
    <row r="2463" spans="1:4" x14ac:dyDescent="0.25">
      <c r="A2463" t="s">
        <v>63</v>
      </c>
      <c r="B2463" s="48">
        <v>45051</v>
      </c>
      <c r="C2463" t="s">
        <v>49</v>
      </c>
      <c r="D2463" t="str">
        <f>IF(COUNTIFS(Verweise!$A$2:$A$4542,Übersicht!$C$7,Verweise!$B$2:$B$4542,B2463)=1,"Feiertag",IF(C2463="Samstag","",IF(C2463="Sonntag","",Übersicht!$C$8)))</f>
        <v>Feiertag</v>
      </c>
    </row>
    <row r="2464" spans="1:4" x14ac:dyDescent="0.25">
      <c r="A2464" t="s">
        <v>63</v>
      </c>
      <c r="B2464" s="48">
        <v>45061</v>
      </c>
      <c r="C2464" t="s">
        <v>50</v>
      </c>
      <c r="D2464" t="str">
        <f>IF(COUNTIFS(Verweise!$A$2:$A$4542,Übersicht!$C$7,Verweise!$B$2:$B$4542,B2464)=1,"Feiertag",IF(C2464="Samstag","",IF(C2464="Sonntag","",Übersicht!$C$8)))</f>
        <v>Feiertag</v>
      </c>
    </row>
    <row r="2465" spans="1:4" x14ac:dyDescent="0.25">
      <c r="A2465" t="s">
        <v>63</v>
      </c>
      <c r="B2465" s="48">
        <v>45062</v>
      </c>
      <c r="C2465" t="s">
        <v>51</v>
      </c>
      <c r="D2465" t="str">
        <f>IF(COUNTIFS(Verweise!$A$2:$A$4542,Übersicht!$C$7,Verweise!$B$2:$B$4542,B2465)=1,"Feiertag",IF(C2465="Samstag","",IF(C2465="Sonntag","",Übersicht!$C$8)))</f>
        <v>Feiertag</v>
      </c>
    </row>
    <row r="2466" spans="1:4" x14ac:dyDescent="0.25">
      <c r="A2466" t="s">
        <v>63</v>
      </c>
      <c r="B2466" s="48">
        <v>45201</v>
      </c>
      <c r="C2466" t="s">
        <v>53</v>
      </c>
      <c r="D2466" t="str">
        <f>IF(COUNTIFS(Verweise!$A$2:$A$4542,Übersicht!$C$7,Verweise!$B$2:$B$4542,B2466)=1,"Feiertag",IF(C2466="Samstag","",IF(C2466="Sonntag","",Übersicht!$C$8)))</f>
        <v>Feiertag</v>
      </c>
    </row>
    <row r="2467" spans="1:4" x14ac:dyDescent="0.25">
      <c r="A2467" t="s">
        <v>63</v>
      </c>
      <c r="B2467" s="48">
        <v>45284</v>
      </c>
      <c r="C2467" t="s">
        <v>55</v>
      </c>
      <c r="D2467" t="str">
        <f>IF(COUNTIFS(Verweise!$A$2:$A$4542,Übersicht!$C$7,Verweise!$B$2:$B$4542,B2467)=1,"Feiertag",IF(C2467="Samstag","",IF(C2467="Sonntag","",Übersicht!$C$8)))</f>
        <v>Feiertag</v>
      </c>
    </row>
    <row r="2468" spans="1:4" x14ac:dyDescent="0.25">
      <c r="A2468" t="s">
        <v>63</v>
      </c>
      <c r="B2468" s="48">
        <v>45285</v>
      </c>
      <c r="C2468" t="s">
        <v>56</v>
      </c>
      <c r="D2468" t="str">
        <f>IF(COUNTIFS(Verweise!$A$2:$A$4542,Übersicht!$C$7,Verweise!$B$2:$B$4542,B2468)=1,"Feiertag",IF(C2468="Samstag","",IF(C2468="Sonntag","",Übersicht!$C$8)))</f>
        <v>Feiertag</v>
      </c>
    </row>
    <row r="2469" spans="1:4" x14ac:dyDescent="0.25">
      <c r="A2469" t="s">
        <v>64</v>
      </c>
      <c r="B2469" s="48">
        <v>44926</v>
      </c>
      <c r="C2469" t="s">
        <v>43</v>
      </c>
      <c r="D2469" t="str">
        <f>IF(COUNTIFS(Verweise!$A$2:$A$4542,Übersicht!$C$7,Verweise!$B$2:$B$4542,B2469)=1,"Feiertag",IF(C2469="Samstag","",IF(C2469="Sonntag","",Übersicht!$C$8)))</f>
        <v>Feiertag</v>
      </c>
    </row>
    <row r="2470" spans="1:4" x14ac:dyDescent="0.25">
      <c r="A2470" t="s">
        <v>64</v>
      </c>
      <c r="B2470" s="48">
        <v>45010</v>
      </c>
      <c r="C2470" t="s">
        <v>45</v>
      </c>
      <c r="D2470" t="str">
        <f>IF(COUNTIFS(Verweise!$A$2:$A$4542,Übersicht!$C$7,Verweise!$B$2:$B$4542,B2470)=1,"Feiertag",IF(C2470="Samstag","",IF(C2470="Sonntag","",Übersicht!$C$8)))</f>
        <v>Feiertag</v>
      </c>
    </row>
    <row r="2471" spans="1:4" x14ac:dyDescent="0.25">
      <c r="A2471" t="s">
        <v>64</v>
      </c>
      <c r="B2471" s="48">
        <v>45012</v>
      </c>
      <c r="C2471" t="s">
        <v>46</v>
      </c>
      <c r="D2471" t="str">
        <f>IF(COUNTIFS(Verweise!$A$2:$A$4542,Übersicht!$C$7,Verweise!$B$2:$B$4542,B2471)=1,"Feiertag",IF(C2471="Samstag","",IF(C2471="Sonntag","",Übersicht!$C$8)))</f>
        <v>Feiertag</v>
      </c>
    </row>
    <row r="2472" spans="1:4" x14ac:dyDescent="0.25">
      <c r="A2472" t="s">
        <v>64</v>
      </c>
      <c r="B2472" s="48">
        <v>45013</v>
      </c>
      <c r="C2472" t="s">
        <v>47</v>
      </c>
      <c r="D2472" t="str">
        <f>IF(COUNTIFS(Verweise!$A$2:$A$4542,Übersicht!$C$7,Verweise!$B$2:$B$4542,B2472)=1,"Feiertag",IF(C2472="Samstag","",IF(C2472="Sonntag","",Übersicht!$C$8)))</f>
        <v>Feiertag</v>
      </c>
    </row>
    <row r="2473" spans="1:4" x14ac:dyDescent="0.25">
      <c r="A2473" t="s">
        <v>64</v>
      </c>
      <c r="B2473" s="48">
        <v>45046</v>
      </c>
      <c r="C2473" t="s">
        <v>48</v>
      </c>
      <c r="D2473" t="str">
        <f>IF(COUNTIFS(Verweise!$A$2:$A$4542,Übersicht!$C$7,Verweise!$B$2:$B$4542,B2473)=1,"Feiertag",IF(C2473="Samstag","",IF(C2473="Sonntag","",Übersicht!$C$8)))</f>
        <v>Feiertag</v>
      </c>
    </row>
    <row r="2474" spans="1:4" x14ac:dyDescent="0.25">
      <c r="A2474" t="s">
        <v>64</v>
      </c>
      <c r="B2474" s="48">
        <v>45051</v>
      </c>
      <c r="C2474" t="s">
        <v>49</v>
      </c>
      <c r="D2474" t="str">
        <f>IF(COUNTIFS(Verweise!$A$2:$A$4542,Übersicht!$C$7,Verweise!$B$2:$B$4542,B2474)=1,"Feiertag",IF(C2474="Samstag","",IF(C2474="Sonntag","",Übersicht!$C$8)))</f>
        <v>Feiertag</v>
      </c>
    </row>
    <row r="2475" spans="1:4" x14ac:dyDescent="0.25">
      <c r="A2475" t="s">
        <v>64</v>
      </c>
      <c r="B2475" s="48">
        <v>45061</v>
      </c>
      <c r="C2475" t="s">
        <v>50</v>
      </c>
      <c r="D2475" t="str">
        <f>IF(COUNTIFS(Verweise!$A$2:$A$4542,Übersicht!$C$7,Verweise!$B$2:$B$4542,B2475)=1,"Feiertag",IF(C2475="Samstag","",IF(C2475="Sonntag","",Übersicht!$C$8)))</f>
        <v>Feiertag</v>
      </c>
    </row>
    <row r="2476" spans="1:4" x14ac:dyDescent="0.25">
      <c r="A2476" t="s">
        <v>64</v>
      </c>
      <c r="B2476" s="48">
        <v>45062</v>
      </c>
      <c r="C2476" t="s">
        <v>51</v>
      </c>
      <c r="D2476" t="str">
        <f>IF(COUNTIFS(Verweise!$A$2:$A$4542,Übersicht!$C$7,Verweise!$B$2:$B$4542,B2476)=1,"Feiertag",IF(C2476="Samstag","",IF(C2476="Sonntag","",Übersicht!$C$8)))</f>
        <v>Feiertag</v>
      </c>
    </row>
    <row r="2477" spans="1:4" x14ac:dyDescent="0.25">
      <c r="A2477" t="s">
        <v>64</v>
      </c>
      <c r="B2477" s="48">
        <v>45201</v>
      </c>
      <c r="C2477" t="s">
        <v>53</v>
      </c>
      <c r="D2477" t="str">
        <f>IF(COUNTIFS(Verweise!$A$2:$A$4542,Übersicht!$C$7,Verweise!$B$2:$B$4542,B2477)=1,"Feiertag",IF(C2477="Samstag","",IF(C2477="Sonntag","",Übersicht!$C$8)))</f>
        <v>Feiertag</v>
      </c>
    </row>
    <row r="2478" spans="1:4" x14ac:dyDescent="0.25">
      <c r="A2478" t="s">
        <v>64</v>
      </c>
      <c r="B2478" s="48">
        <v>45284</v>
      </c>
      <c r="C2478" t="s">
        <v>55</v>
      </c>
      <c r="D2478" t="str">
        <f>IF(COUNTIFS(Verweise!$A$2:$A$4542,Übersicht!$C$7,Verweise!$B$2:$B$4542,B2478)=1,"Feiertag",IF(C2478="Samstag","",IF(C2478="Sonntag","",Übersicht!$C$8)))</f>
        <v>Feiertag</v>
      </c>
    </row>
    <row r="2479" spans="1:4" x14ac:dyDescent="0.25">
      <c r="A2479" t="s">
        <v>64</v>
      </c>
      <c r="B2479" s="48">
        <v>45285</v>
      </c>
      <c r="C2479" t="s">
        <v>56</v>
      </c>
      <c r="D2479" t="str">
        <f>IF(COUNTIFS(Verweise!$A$2:$A$4542,Übersicht!$C$7,Verweise!$B$2:$B$4542,B2479)=1,"Feiertag",IF(C2479="Samstag","",IF(C2479="Sonntag","",Übersicht!$C$8)))</f>
        <v>Feiertag</v>
      </c>
    </row>
    <row r="2480" spans="1:4" x14ac:dyDescent="0.25">
      <c r="A2480" t="s">
        <v>65</v>
      </c>
      <c r="B2480" s="48">
        <v>44926</v>
      </c>
      <c r="C2480" t="s">
        <v>43</v>
      </c>
      <c r="D2480" t="str">
        <f>IF(COUNTIFS(Verweise!$A$2:$A$4542,Übersicht!$C$7,Verweise!$B$2:$B$4542,B2480)=1,"Feiertag",IF(C2480="Samstag","",IF(C2480="Sonntag","",Übersicht!$C$8)))</f>
        <v>Feiertag</v>
      </c>
    </row>
    <row r="2481" spans="1:4" x14ac:dyDescent="0.25">
      <c r="A2481" t="s">
        <v>65</v>
      </c>
      <c r="B2481" s="48">
        <v>45010</v>
      </c>
      <c r="C2481" t="s">
        <v>45</v>
      </c>
      <c r="D2481" t="str">
        <f>IF(COUNTIFS(Verweise!$A$2:$A$4542,Übersicht!$C$7,Verweise!$B$2:$B$4542,B2481)=1,"Feiertag",IF(C2481="Samstag","",IF(C2481="Sonntag","",Übersicht!$C$8)))</f>
        <v>Feiertag</v>
      </c>
    </row>
    <row r="2482" spans="1:4" x14ac:dyDescent="0.25">
      <c r="A2482" t="s">
        <v>65</v>
      </c>
      <c r="B2482" s="48">
        <v>45012</v>
      </c>
      <c r="C2482" t="s">
        <v>46</v>
      </c>
      <c r="D2482" t="str">
        <f>IF(COUNTIFS(Verweise!$A$2:$A$4542,Übersicht!$C$7,Verweise!$B$2:$B$4542,B2482)=1,"Feiertag",IF(C2482="Samstag","",IF(C2482="Sonntag","",Übersicht!$C$8)))</f>
        <v>Feiertag</v>
      </c>
    </row>
    <row r="2483" spans="1:4" x14ac:dyDescent="0.25">
      <c r="A2483" t="s">
        <v>65</v>
      </c>
      <c r="B2483" s="48">
        <v>45013</v>
      </c>
      <c r="C2483" t="s">
        <v>47</v>
      </c>
      <c r="D2483" t="str">
        <f>IF(COUNTIFS(Verweise!$A$2:$A$4542,Übersicht!$C$7,Verweise!$B$2:$B$4542,B2483)=1,"Feiertag",IF(C2483="Samstag","",IF(C2483="Sonntag","",Übersicht!$C$8)))</f>
        <v>Feiertag</v>
      </c>
    </row>
    <row r="2484" spans="1:4" x14ac:dyDescent="0.25">
      <c r="A2484" t="s">
        <v>65</v>
      </c>
      <c r="B2484" s="48">
        <v>45046</v>
      </c>
      <c r="C2484" t="s">
        <v>48</v>
      </c>
      <c r="D2484" t="str">
        <f>IF(COUNTIFS(Verweise!$A$2:$A$4542,Übersicht!$C$7,Verweise!$B$2:$B$4542,B2484)=1,"Feiertag",IF(C2484="Samstag","",IF(C2484="Sonntag","",Übersicht!$C$8)))</f>
        <v>Feiertag</v>
      </c>
    </row>
    <row r="2485" spans="1:4" x14ac:dyDescent="0.25">
      <c r="A2485" t="s">
        <v>65</v>
      </c>
      <c r="B2485" s="48">
        <v>45051</v>
      </c>
      <c r="C2485" t="s">
        <v>49</v>
      </c>
      <c r="D2485" t="str">
        <f>IF(COUNTIFS(Verweise!$A$2:$A$4542,Übersicht!$C$7,Verweise!$B$2:$B$4542,B2485)=1,"Feiertag",IF(C2485="Samstag","",IF(C2485="Sonntag","",Übersicht!$C$8)))</f>
        <v>Feiertag</v>
      </c>
    </row>
    <row r="2486" spans="1:4" x14ac:dyDescent="0.25">
      <c r="A2486" t="s">
        <v>65</v>
      </c>
      <c r="B2486" s="48">
        <v>45061</v>
      </c>
      <c r="C2486" t="s">
        <v>50</v>
      </c>
      <c r="D2486" t="str">
        <f>IF(COUNTIFS(Verweise!$A$2:$A$4542,Übersicht!$C$7,Verweise!$B$2:$B$4542,B2486)=1,"Feiertag",IF(C2486="Samstag","",IF(C2486="Sonntag","",Übersicht!$C$8)))</f>
        <v>Feiertag</v>
      </c>
    </row>
    <row r="2487" spans="1:4" x14ac:dyDescent="0.25">
      <c r="A2487" t="s">
        <v>65</v>
      </c>
      <c r="B2487" s="48">
        <v>45062</v>
      </c>
      <c r="C2487" t="s">
        <v>51</v>
      </c>
      <c r="D2487" t="str">
        <f>IF(COUNTIFS(Verweise!$A$2:$A$4542,Übersicht!$C$7,Verweise!$B$2:$B$4542,B2487)=1,"Feiertag",IF(C2487="Samstag","",IF(C2487="Sonntag","",Übersicht!$C$8)))</f>
        <v>Feiertag</v>
      </c>
    </row>
    <row r="2488" spans="1:4" x14ac:dyDescent="0.25">
      <c r="A2488" t="s">
        <v>65</v>
      </c>
      <c r="B2488" s="48">
        <v>45072</v>
      </c>
      <c r="C2488" t="s">
        <v>52</v>
      </c>
      <c r="D2488" t="str">
        <f>IF(COUNTIFS(Verweise!$A$2:$A$4542,Übersicht!$C$7,Verweise!$B$2:$B$4542,B2488)=1,"Feiertag",IF(C2488="Samstag","",IF(C2488="Sonntag","",Übersicht!$C$8)))</f>
        <v>Feiertag</v>
      </c>
    </row>
    <row r="2489" spans="1:4" x14ac:dyDescent="0.25">
      <c r="A2489" t="s">
        <v>65</v>
      </c>
      <c r="B2489" s="48">
        <v>45201</v>
      </c>
      <c r="C2489" t="s">
        <v>53</v>
      </c>
      <c r="D2489" t="str">
        <f>IF(COUNTIFS(Verweise!$A$2:$A$4542,Übersicht!$C$7,Verweise!$B$2:$B$4542,B2489)=1,"Feiertag",IF(C2489="Samstag","",IF(C2489="Sonntag","",Übersicht!$C$8)))</f>
        <v>Feiertag</v>
      </c>
    </row>
    <row r="2490" spans="1:4" x14ac:dyDescent="0.25">
      <c r="A2490" t="s">
        <v>65</v>
      </c>
      <c r="B2490" s="48">
        <v>45284</v>
      </c>
      <c r="C2490" t="s">
        <v>55</v>
      </c>
      <c r="D2490" t="str">
        <f>IF(COUNTIFS(Verweise!$A$2:$A$4542,Übersicht!$C$7,Verweise!$B$2:$B$4542,B2490)=1,"Feiertag",IF(C2490="Samstag","",IF(C2490="Sonntag","",Übersicht!$C$8)))</f>
        <v>Feiertag</v>
      </c>
    </row>
    <row r="2491" spans="1:4" x14ac:dyDescent="0.25">
      <c r="A2491" t="s">
        <v>65</v>
      </c>
      <c r="B2491" s="48">
        <v>45285</v>
      </c>
      <c r="C2491" t="s">
        <v>56</v>
      </c>
      <c r="D2491" t="str">
        <f>IF(COUNTIFS(Verweise!$A$2:$A$4542,Übersicht!$C$7,Verweise!$B$2:$B$4542,B2491)=1,"Feiertag",IF(C2491="Samstag","",IF(C2491="Sonntag","",Übersicht!$C$8)))</f>
        <v>Feiertag</v>
      </c>
    </row>
    <row r="2492" spans="1:4" x14ac:dyDescent="0.25">
      <c r="A2492" t="s">
        <v>66</v>
      </c>
      <c r="B2492" s="48">
        <v>44926</v>
      </c>
      <c r="C2492" t="s">
        <v>43</v>
      </c>
      <c r="D2492" t="str">
        <f>IF(COUNTIFS(Verweise!$A$2:$A$4542,Übersicht!$C$7,Verweise!$B$2:$B$4542,B2492)=1,"Feiertag",IF(C2492="Samstag","",IF(C2492="Sonntag","",Übersicht!$C$8)))</f>
        <v>Feiertag</v>
      </c>
    </row>
    <row r="2493" spans="1:4" x14ac:dyDescent="0.25">
      <c r="A2493" t="s">
        <v>66</v>
      </c>
      <c r="B2493" s="48">
        <v>45010</v>
      </c>
      <c r="C2493" t="s">
        <v>45</v>
      </c>
      <c r="D2493" t="str">
        <f>IF(COUNTIFS(Verweise!$A$2:$A$4542,Übersicht!$C$7,Verweise!$B$2:$B$4542,B2493)=1,"Feiertag",IF(C2493="Samstag","",IF(C2493="Sonntag","",Übersicht!$C$8)))</f>
        <v>Feiertag</v>
      </c>
    </row>
    <row r="2494" spans="1:4" x14ac:dyDescent="0.25">
      <c r="A2494" t="s">
        <v>66</v>
      </c>
      <c r="B2494" s="48">
        <v>45012</v>
      </c>
      <c r="C2494" t="s">
        <v>46</v>
      </c>
      <c r="D2494" t="str">
        <f>IF(COUNTIFS(Verweise!$A$2:$A$4542,Übersicht!$C$7,Verweise!$B$2:$B$4542,B2494)=1,"Feiertag",IF(C2494="Samstag","",IF(C2494="Sonntag","",Übersicht!$C$8)))</f>
        <v>Feiertag</v>
      </c>
    </row>
    <row r="2495" spans="1:4" x14ac:dyDescent="0.25">
      <c r="A2495" t="s">
        <v>66</v>
      </c>
      <c r="B2495" s="48">
        <v>45013</v>
      </c>
      <c r="C2495" t="s">
        <v>47</v>
      </c>
      <c r="D2495" t="str">
        <f>IF(COUNTIFS(Verweise!$A$2:$A$4542,Übersicht!$C$7,Verweise!$B$2:$B$4542,B2495)=1,"Feiertag",IF(C2495="Samstag","",IF(C2495="Sonntag","",Übersicht!$C$8)))</f>
        <v>Feiertag</v>
      </c>
    </row>
    <row r="2496" spans="1:4" x14ac:dyDescent="0.25">
      <c r="A2496" t="s">
        <v>66</v>
      </c>
      <c r="B2496" s="48">
        <v>45046</v>
      </c>
      <c r="C2496" t="s">
        <v>48</v>
      </c>
      <c r="D2496" t="str">
        <f>IF(COUNTIFS(Verweise!$A$2:$A$4542,Übersicht!$C$7,Verweise!$B$2:$B$4542,B2496)=1,"Feiertag",IF(C2496="Samstag","",IF(C2496="Sonntag","",Übersicht!$C$8)))</f>
        <v>Feiertag</v>
      </c>
    </row>
    <row r="2497" spans="1:4" x14ac:dyDescent="0.25">
      <c r="A2497" t="s">
        <v>66</v>
      </c>
      <c r="B2497" s="48">
        <v>45051</v>
      </c>
      <c r="C2497" t="s">
        <v>49</v>
      </c>
      <c r="D2497" t="str">
        <f>IF(COUNTIFS(Verweise!$A$2:$A$4542,Übersicht!$C$7,Verweise!$B$2:$B$4542,B2497)=1,"Feiertag",IF(C2497="Samstag","",IF(C2497="Sonntag","",Übersicht!$C$8)))</f>
        <v>Feiertag</v>
      </c>
    </row>
    <row r="2498" spans="1:4" x14ac:dyDescent="0.25">
      <c r="A2498" t="s">
        <v>66</v>
      </c>
      <c r="B2498" s="48">
        <v>45061</v>
      </c>
      <c r="C2498" t="s">
        <v>50</v>
      </c>
      <c r="D2498" t="str">
        <f>IF(COUNTIFS(Verweise!$A$2:$A$4542,Übersicht!$C$7,Verweise!$B$2:$B$4542,B2498)=1,"Feiertag",IF(C2498="Samstag","",IF(C2498="Sonntag","",Übersicht!$C$8)))</f>
        <v>Feiertag</v>
      </c>
    </row>
    <row r="2499" spans="1:4" x14ac:dyDescent="0.25">
      <c r="A2499" t="s">
        <v>66</v>
      </c>
      <c r="B2499" s="48">
        <v>45062</v>
      </c>
      <c r="C2499" t="s">
        <v>51</v>
      </c>
      <c r="D2499" t="str">
        <f>IF(COUNTIFS(Verweise!$A$2:$A$4542,Übersicht!$C$7,Verweise!$B$2:$B$4542,B2499)=1,"Feiertag",IF(C2499="Samstag","",IF(C2499="Sonntag","",Übersicht!$C$8)))</f>
        <v>Feiertag</v>
      </c>
    </row>
    <row r="2500" spans="1:4" x14ac:dyDescent="0.25">
      <c r="A2500" t="s">
        <v>66</v>
      </c>
      <c r="B2500" s="48">
        <v>45201</v>
      </c>
      <c r="C2500" t="s">
        <v>53</v>
      </c>
      <c r="D2500" t="str">
        <f>IF(COUNTIFS(Verweise!$A$2:$A$4542,Übersicht!$C$7,Verweise!$B$2:$B$4542,B2500)=1,"Feiertag",IF(C2500="Samstag","",IF(C2500="Sonntag","",Übersicht!$C$8)))</f>
        <v>Feiertag</v>
      </c>
    </row>
    <row r="2501" spans="1:4" x14ac:dyDescent="0.25">
      <c r="A2501" t="s">
        <v>66</v>
      </c>
      <c r="B2501" s="48">
        <v>45229</v>
      </c>
      <c r="C2501" t="s">
        <v>62</v>
      </c>
      <c r="D2501" t="str">
        <f>IF(COUNTIFS(Verweise!$A$2:$A$4542,Übersicht!$C$7,Verweise!$B$2:$B$4542,B2501)=1,"Feiertag",IF(C2501="Samstag","",IF(C2501="Sonntag","",Übersicht!$C$8)))</f>
        <v>Büro</v>
      </c>
    </row>
    <row r="2502" spans="1:4" x14ac:dyDescent="0.25">
      <c r="A2502" t="s">
        <v>66</v>
      </c>
      <c r="B2502" s="48">
        <v>45284</v>
      </c>
      <c r="C2502" t="s">
        <v>55</v>
      </c>
      <c r="D2502" t="str">
        <f>IF(COUNTIFS(Verweise!$A$2:$A$4542,Übersicht!$C$7,Verweise!$B$2:$B$4542,B2502)=1,"Feiertag",IF(C2502="Samstag","",IF(C2502="Sonntag","",Übersicht!$C$8)))</f>
        <v>Feiertag</v>
      </c>
    </row>
    <row r="2503" spans="1:4" x14ac:dyDescent="0.25">
      <c r="A2503" t="s">
        <v>66</v>
      </c>
      <c r="B2503" s="48">
        <v>45285</v>
      </c>
      <c r="C2503" t="s">
        <v>56</v>
      </c>
      <c r="D2503" t="str">
        <f>IF(COUNTIFS(Verweise!$A$2:$A$4542,Übersicht!$C$7,Verweise!$B$2:$B$4542,B2503)=1,"Feiertag",IF(C2503="Samstag","",IF(C2503="Sonntag","",Übersicht!$C$8)))</f>
        <v>Feiertag</v>
      </c>
    </row>
    <row r="2504" spans="1:4" x14ac:dyDescent="0.25">
      <c r="A2504" t="s">
        <v>67</v>
      </c>
      <c r="B2504" s="48">
        <v>44926</v>
      </c>
      <c r="C2504" t="s">
        <v>43</v>
      </c>
      <c r="D2504" t="str">
        <f>IF(COUNTIFS(Verweise!$A$2:$A$4542,Übersicht!$C$7,Verweise!$B$2:$B$4542,B2504)=1,"Feiertag",IF(C2504="Samstag","",IF(C2504="Sonntag","",Übersicht!$C$8)))</f>
        <v>Feiertag</v>
      </c>
    </row>
    <row r="2505" spans="1:4" x14ac:dyDescent="0.25">
      <c r="A2505" t="s">
        <v>67</v>
      </c>
      <c r="B2505" s="48">
        <v>45010</v>
      </c>
      <c r="C2505" t="s">
        <v>45</v>
      </c>
      <c r="D2505" t="str">
        <f>IF(COUNTIFS(Verweise!$A$2:$A$4542,Übersicht!$C$7,Verweise!$B$2:$B$4542,B2505)=1,"Feiertag",IF(C2505="Samstag","",IF(C2505="Sonntag","",Übersicht!$C$8)))</f>
        <v>Feiertag</v>
      </c>
    </row>
    <row r="2506" spans="1:4" x14ac:dyDescent="0.25">
      <c r="A2506" t="s">
        <v>67</v>
      </c>
      <c r="B2506" s="48">
        <v>45012</v>
      </c>
      <c r="C2506" t="s">
        <v>46</v>
      </c>
      <c r="D2506" t="str">
        <f>IF(COUNTIFS(Verweise!$A$2:$A$4542,Übersicht!$C$7,Verweise!$B$2:$B$4542,B2506)=1,"Feiertag",IF(C2506="Samstag","",IF(C2506="Sonntag","",Übersicht!$C$8)))</f>
        <v>Feiertag</v>
      </c>
    </row>
    <row r="2507" spans="1:4" x14ac:dyDescent="0.25">
      <c r="A2507" t="s">
        <v>67</v>
      </c>
      <c r="B2507" s="48">
        <v>45013</v>
      </c>
      <c r="C2507" t="s">
        <v>47</v>
      </c>
      <c r="D2507" t="str">
        <f>IF(COUNTIFS(Verweise!$A$2:$A$4542,Übersicht!$C$7,Verweise!$B$2:$B$4542,B2507)=1,"Feiertag",IF(C2507="Samstag","",IF(C2507="Sonntag","",Übersicht!$C$8)))</f>
        <v>Feiertag</v>
      </c>
    </row>
    <row r="2508" spans="1:4" x14ac:dyDescent="0.25">
      <c r="A2508" t="s">
        <v>67</v>
      </c>
      <c r="B2508" s="48">
        <v>45046</v>
      </c>
      <c r="C2508" t="s">
        <v>48</v>
      </c>
      <c r="D2508" t="str">
        <f>IF(COUNTIFS(Verweise!$A$2:$A$4542,Übersicht!$C$7,Verweise!$B$2:$B$4542,B2508)=1,"Feiertag",IF(C2508="Samstag","",IF(C2508="Sonntag","",Übersicht!$C$8)))</f>
        <v>Feiertag</v>
      </c>
    </row>
    <row r="2509" spans="1:4" x14ac:dyDescent="0.25">
      <c r="A2509" t="s">
        <v>67</v>
      </c>
      <c r="B2509" s="48">
        <v>45051</v>
      </c>
      <c r="C2509" t="s">
        <v>49</v>
      </c>
      <c r="D2509" t="str">
        <f>IF(COUNTIFS(Verweise!$A$2:$A$4542,Übersicht!$C$7,Verweise!$B$2:$B$4542,B2509)=1,"Feiertag",IF(C2509="Samstag","",IF(C2509="Sonntag","",Übersicht!$C$8)))</f>
        <v>Feiertag</v>
      </c>
    </row>
    <row r="2510" spans="1:4" x14ac:dyDescent="0.25">
      <c r="A2510" t="s">
        <v>67</v>
      </c>
      <c r="B2510" s="48">
        <v>45061</v>
      </c>
      <c r="C2510" t="s">
        <v>50</v>
      </c>
      <c r="D2510" t="str">
        <f>IF(COUNTIFS(Verweise!$A$2:$A$4542,Übersicht!$C$7,Verweise!$B$2:$B$4542,B2510)=1,"Feiertag",IF(C2510="Samstag","",IF(C2510="Sonntag","",Übersicht!$C$8)))</f>
        <v>Feiertag</v>
      </c>
    </row>
    <row r="2511" spans="1:4" x14ac:dyDescent="0.25">
      <c r="A2511" t="s">
        <v>67</v>
      </c>
      <c r="B2511" s="48">
        <v>45062</v>
      </c>
      <c r="C2511" t="s">
        <v>51</v>
      </c>
      <c r="D2511" t="str">
        <f>IF(COUNTIFS(Verweise!$A$2:$A$4542,Übersicht!$C$7,Verweise!$B$2:$B$4542,B2511)=1,"Feiertag",IF(C2511="Samstag","",IF(C2511="Sonntag","",Übersicht!$C$8)))</f>
        <v>Feiertag</v>
      </c>
    </row>
    <row r="2512" spans="1:4" x14ac:dyDescent="0.25">
      <c r="A2512" t="s">
        <v>67</v>
      </c>
      <c r="B2512" s="48">
        <v>45201</v>
      </c>
      <c r="C2512" t="s">
        <v>53</v>
      </c>
      <c r="D2512" t="str">
        <f>IF(COUNTIFS(Verweise!$A$2:$A$4542,Übersicht!$C$7,Verweise!$B$2:$B$4542,B2512)=1,"Feiertag",IF(C2512="Samstag","",IF(C2512="Sonntag","",Übersicht!$C$8)))</f>
        <v>Feiertag</v>
      </c>
    </row>
    <row r="2513" spans="1:4" x14ac:dyDescent="0.25">
      <c r="A2513" t="s">
        <v>67</v>
      </c>
      <c r="B2513" s="48">
        <v>45284</v>
      </c>
      <c r="C2513" t="s">
        <v>55</v>
      </c>
      <c r="D2513" t="str">
        <f>IF(COUNTIFS(Verweise!$A$2:$A$4542,Übersicht!$C$7,Verweise!$B$2:$B$4542,B2513)=1,"Feiertag",IF(C2513="Samstag","",IF(C2513="Sonntag","",Übersicht!$C$8)))</f>
        <v>Feiertag</v>
      </c>
    </row>
    <row r="2514" spans="1:4" x14ac:dyDescent="0.25">
      <c r="A2514" t="s">
        <v>67</v>
      </c>
      <c r="B2514" s="48">
        <v>45285</v>
      </c>
      <c r="C2514" t="s">
        <v>56</v>
      </c>
      <c r="D2514" t="str">
        <f>IF(COUNTIFS(Verweise!$A$2:$A$4542,Übersicht!$C$7,Verweise!$B$2:$B$4542,B2514)=1,"Feiertag",IF(C2514="Samstag","",IF(C2514="Sonntag","",Übersicht!$C$8)))</f>
        <v>Feiertag</v>
      </c>
    </row>
    <row r="2515" spans="1:4" x14ac:dyDescent="0.25">
      <c r="A2515" t="s">
        <v>68</v>
      </c>
      <c r="B2515" s="48">
        <v>44926</v>
      </c>
      <c r="C2515" t="s">
        <v>43</v>
      </c>
      <c r="D2515" t="str">
        <f>IF(COUNTIFS(Verweise!$A$2:$A$4542,Übersicht!$C$7,Verweise!$B$2:$B$4542,B2515)=1,"Feiertag",IF(C2515="Samstag","",IF(C2515="Sonntag","",Übersicht!$C$8)))</f>
        <v>Feiertag</v>
      </c>
    </row>
    <row r="2516" spans="1:4" x14ac:dyDescent="0.25">
      <c r="A2516" t="s">
        <v>68</v>
      </c>
      <c r="B2516" s="48">
        <v>45010</v>
      </c>
      <c r="C2516" t="s">
        <v>45</v>
      </c>
      <c r="D2516" t="str">
        <f>IF(COUNTIFS(Verweise!$A$2:$A$4542,Übersicht!$C$7,Verweise!$B$2:$B$4542,B2516)=1,"Feiertag",IF(C2516="Samstag","",IF(C2516="Sonntag","",Übersicht!$C$8)))</f>
        <v>Feiertag</v>
      </c>
    </row>
    <row r="2517" spans="1:4" x14ac:dyDescent="0.25">
      <c r="A2517" t="s">
        <v>68</v>
      </c>
      <c r="B2517" s="48">
        <v>45012</v>
      </c>
      <c r="C2517" t="s">
        <v>46</v>
      </c>
      <c r="D2517" t="str">
        <f>IF(COUNTIFS(Verweise!$A$2:$A$4542,Übersicht!$C$7,Verweise!$B$2:$B$4542,B2517)=1,"Feiertag",IF(C2517="Samstag","",IF(C2517="Sonntag","",Übersicht!$C$8)))</f>
        <v>Feiertag</v>
      </c>
    </row>
    <row r="2518" spans="1:4" x14ac:dyDescent="0.25">
      <c r="A2518" t="s">
        <v>68</v>
      </c>
      <c r="B2518" s="48">
        <v>45013</v>
      </c>
      <c r="C2518" t="s">
        <v>47</v>
      </c>
      <c r="D2518" t="str">
        <f>IF(COUNTIFS(Verweise!$A$2:$A$4542,Übersicht!$C$7,Verweise!$B$2:$B$4542,B2518)=1,"Feiertag",IF(C2518="Samstag","",IF(C2518="Sonntag","",Übersicht!$C$8)))</f>
        <v>Feiertag</v>
      </c>
    </row>
    <row r="2519" spans="1:4" x14ac:dyDescent="0.25">
      <c r="A2519" t="s">
        <v>68</v>
      </c>
      <c r="B2519" s="48">
        <v>45046</v>
      </c>
      <c r="C2519" t="s">
        <v>48</v>
      </c>
      <c r="D2519" t="str">
        <f>IF(COUNTIFS(Verweise!$A$2:$A$4542,Übersicht!$C$7,Verweise!$B$2:$B$4542,B2519)=1,"Feiertag",IF(C2519="Samstag","",IF(C2519="Sonntag","",Übersicht!$C$8)))</f>
        <v>Feiertag</v>
      </c>
    </row>
    <row r="2520" spans="1:4" x14ac:dyDescent="0.25">
      <c r="A2520" t="s">
        <v>68</v>
      </c>
      <c r="B2520" s="48">
        <v>45051</v>
      </c>
      <c r="C2520" t="s">
        <v>49</v>
      </c>
      <c r="D2520" t="str">
        <f>IF(COUNTIFS(Verweise!$A$2:$A$4542,Übersicht!$C$7,Verweise!$B$2:$B$4542,B2520)=1,"Feiertag",IF(C2520="Samstag","",IF(C2520="Sonntag","",Übersicht!$C$8)))</f>
        <v>Feiertag</v>
      </c>
    </row>
    <row r="2521" spans="1:4" x14ac:dyDescent="0.25">
      <c r="A2521" t="s">
        <v>68</v>
      </c>
      <c r="B2521" s="48">
        <v>45061</v>
      </c>
      <c r="C2521" t="s">
        <v>50</v>
      </c>
      <c r="D2521" t="str">
        <f>IF(COUNTIFS(Verweise!$A$2:$A$4542,Übersicht!$C$7,Verweise!$B$2:$B$4542,B2521)=1,"Feiertag",IF(C2521="Samstag","",IF(C2521="Sonntag","",Übersicht!$C$8)))</f>
        <v>Feiertag</v>
      </c>
    </row>
    <row r="2522" spans="1:4" x14ac:dyDescent="0.25">
      <c r="A2522" t="s">
        <v>68</v>
      </c>
      <c r="B2522" s="48">
        <v>45062</v>
      </c>
      <c r="C2522" t="s">
        <v>51</v>
      </c>
      <c r="D2522" t="str">
        <f>IF(COUNTIFS(Verweise!$A$2:$A$4542,Übersicht!$C$7,Verweise!$B$2:$B$4542,B2522)=1,"Feiertag",IF(C2522="Samstag","",IF(C2522="Sonntag","",Übersicht!$C$8)))</f>
        <v>Feiertag</v>
      </c>
    </row>
    <row r="2523" spans="1:4" x14ac:dyDescent="0.25">
      <c r="A2523" t="s">
        <v>68</v>
      </c>
      <c r="B2523" s="48">
        <v>45072</v>
      </c>
      <c r="C2523" t="s">
        <v>52</v>
      </c>
      <c r="D2523" t="str">
        <f>IF(COUNTIFS(Verweise!$A$2:$A$4542,Übersicht!$C$7,Verweise!$B$2:$B$4542,B2523)=1,"Feiertag",IF(C2523="Samstag","",IF(C2523="Sonntag","",Übersicht!$C$8)))</f>
        <v>Feiertag</v>
      </c>
    </row>
    <row r="2524" spans="1:4" x14ac:dyDescent="0.25">
      <c r="A2524" t="s">
        <v>68</v>
      </c>
      <c r="B2524" s="48">
        <v>45201</v>
      </c>
      <c r="C2524" t="s">
        <v>53</v>
      </c>
      <c r="D2524" t="str">
        <f>IF(COUNTIFS(Verweise!$A$2:$A$4542,Übersicht!$C$7,Verweise!$B$2:$B$4542,B2524)=1,"Feiertag",IF(C2524="Samstag","",IF(C2524="Sonntag","",Übersicht!$C$8)))</f>
        <v>Feiertag</v>
      </c>
    </row>
    <row r="2525" spans="1:4" x14ac:dyDescent="0.25">
      <c r="A2525" t="s">
        <v>68</v>
      </c>
      <c r="B2525" s="48">
        <v>45230</v>
      </c>
      <c r="C2525" t="s">
        <v>54</v>
      </c>
      <c r="D2525" t="str">
        <f>IF(COUNTIFS(Verweise!$A$2:$A$4542,Übersicht!$C$7,Verweise!$B$2:$B$4542,B2525)=1,"Feiertag",IF(C2525="Samstag","",IF(C2525="Sonntag","",Übersicht!$C$8)))</f>
        <v>Feiertag</v>
      </c>
    </row>
    <row r="2526" spans="1:4" x14ac:dyDescent="0.25">
      <c r="A2526" t="s">
        <v>68</v>
      </c>
      <c r="B2526" s="48">
        <v>45284</v>
      </c>
      <c r="C2526" t="s">
        <v>55</v>
      </c>
      <c r="D2526" t="str">
        <f>IF(COUNTIFS(Verweise!$A$2:$A$4542,Übersicht!$C$7,Verweise!$B$2:$B$4542,B2526)=1,"Feiertag",IF(C2526="Samstag","",IF(C2526="Sonntag","",Übersicht!$C$8)))</f>
        <v>Feiertag</v>
      </c>
    </row>
    <row r="2527" spans="1:4" x14ac:dyDescent="0.25">
      <c r="A2527" t="s">
        <v>68</v>
      </c>
      <c r="B2527" s="48">
        <v>45285</v>
      </c>
      <c r="C2527" t="s">
        <v>56</v>
      </c>
      <c r="D2527" t="str">
        <f>IF(COUNTIFS(Verweise!$A$2:$A$4542,Übersicht!$C$7,Verweise!$B$2:$B$4542,B2527)=1,"Feiertag",IF(C2527="Samstag","",IF(C2527="Sonntag","",Übersicht!$C$8)))</f>
        <v>Feiertag</v>
      </c>
    </row>
    <row r="2528" spans="1:4" x14ac:dyDescent="0.25">
      <c r="A2528" t="s">
        <v>69</v>
      </c>
      <c r="B2528" s="48">
        <v>44926</v>
      </c>
      <c r="C2528" t="s">
        <v>43</v>
      </c>
      <c r="D2528" t="str">
        <f>IF(COUNTIFS(Verweise!$A$2:$A$4542,Übersicht!$C$7,Verweise!$B$2:$B$4542,B2528)=1,"Feiertag",IF(C2528="Samstag","",IF(C2528="Sonntag","",Übersicht!$C$8)))</f>
        <v>Feiertag</v>
      </c>
    </row>
    <row r="2529" spans="1:4" x14ac:dyDescent="0.25">
      <c r="A2529" t="s">
        <v>69</v>
      </c>
      <c r="B2529" s="48">
        <v>45010</v>
      </c>
      <c r="C2529" t="s">
        <v>45</v>
      </c>
      <c r="D2529" t="str">
        <f>IF(COUNTIFS(Verweise!$A$2:$A$4542,Übersicht!$C$7,Verweise!$B$2:$B$4542,B2529)=1,"Feiertag",IF(C2529="Samstag","",IF(C2529="Sonntag","",Übersicht!$C$8)))</f>
        <v>Feiertag</v>
      </c>
    </row>
    <row r="2530" spans="1:4" x14ac:dyDescent="0.25">
      <c r="A2530" t="s">
        <v>69</v>
      </c>
      <c r="B2530" s="48">
        <v>45012</v>
      </c>
      <c r="C2530" t="s">
        <v>46</v>
      </c>
      <c r="D2530" t="str">
        <f>IF(COUNTIFS(Verweise!$A$2:$A$4542,Übersicht!$C$7,Verweise!$B$2:$B$4542,B2530)=1,"Feiertag",IF(C2530="Samstag","",IF(C2530="Sonntag","",Übersicht!$C$8)))</f>
        <v>Feiertag</v>
      </c>
    </row>
    <row r="2531" spans="1:4" x14ac:dyDescent="0.25">
      <c r="A2531" t="s">
        <v>69</v>
      </c>
      <c r="B2531" s="48">
        <v>45013</v>
      </c>
      <c r="C2531" t="s">
        <v>47</v>
      </c>
      <c r="D2531" t="str">
        <f>IF(COUNTIFS(Verweise!$A$2:$A$4542,Übersicht!$C$7,Verweise!$B$2:$B$4542,B2531)=1,"Feiertag",IF(C2531="Samstag","",IF(C2531="Sonntag","",Übersicht!$C$8)))</f>
        <v>Feiertag</v>
      </c>
    </row>
    <row r="2532" spans="1:4" x14ac:dyDescent="0.25">
      <c r="A2532" t="s">
        <v>69</v>
      </c>
      <c r="B2532" s="48">
        <v>45046</v>
      </c>
      <c r="C2532" t="s">
        <v>48</v>
      </c>
      <c r="D2532" t="str">
        <f>IF(COUNTIFS(Verweise!$A$2:$A$4542,Übersicht!$C$7,Verweise!$B$2:$B$4542,B2532)=1,"Feiertag",IF(C2532="Samstag","",IF(C2532="Sonntag","",Übersicht!$C$8)))</f>
        <v>Feiertag</v>
      </c>
    </row>
    <row r="2533" spans="1:4" x14ac:dyDescent="0.25">
      <c r="A2533" t="s">
        <v>69</v>
      </c>
      <c r="B2533" s="48">
        <v>45051</v>
      </c>
      <c r="C2533" t="s">
        <v>49</v>
      </c>
      <c r="D2533" t="str">
        <f>IF(COUNTIFS(Verweise!$A$2:$A$4542,Übersicht!$C$7,Verweise!$B$2:$B$4542,B2533)=1,"Feiertag",IF(C2533="Samstag","",IF(C2533="Sonntag","",Übersicht!$C$8)))</f>
        <v>Feiertag</v>
      </c>
    </row>
    <row r="2534" spans="1:4" x14ac:dyDescent="0.25">
      <c r="A2534" t="s">
        <v>69</v>
      </c>
      <c r="B2534" s="48">
        <v>45061</v>
      </c>
      <c r="C2534" t="s">
        <v>50</v>
      </c>
      <c r="D2534" t="str">
        <f>IF(COUNTIFS(Verweise!$A$2:$A$4542,Übersicht!$C$7,Verweise!$B$2:$B$4542,B2534)=1,"Feiertag",IF(C2534="Samstag","",IF(C2534="Sonntag","",Übersicht!$C$8)))</f>
        <v>Feiertag</v>
      </c>
    </row>
    <row r="2535" spans="1:4" x14ac:dyDescent="0.25">
      <c r="A2535" t="s">
        <v>69</v>
      </c>
      <c r="B2535" s="48">
        <v>45062</v>
      </c>
      <c r="C2535" t="s">
        <v>51</v>
      </c>
      <c r="D2535" t="str">
        <f>IF(COUNTIFS(Verweise!$A$2:$A$4542,Übersicht!$C$7,Verweise!$B$2:$B$4542,B2535)=1,"Feiertag",IF(C2535="Samstag","",IF(C2535="Sonntag","",Übersicht!$C$8)))</f>
        <v>Feiertag</v>
      </c>
    </row>
    <row r="2536" spans="1:4" x14ac:dyDescent="0.25">
      <c r="A2536" t="s">
        <v>69</v>
      </c>
      <c r="B2536" s="48">
        <v>45072</v>
      </c>
      <c r="C2536" t="s">
        <v>52</v>
      </c>
      <c r="D2536" t="str">
        <f>IF(COUNTIFS(Verweise!$A$2:$A$4542,Übersicht!$C$7,Verweise!$B$2:$B$4542,B2536)=1,"Feiertag",IF(C2536="Samstag","",IF(C2536="Sonntag","",Übersicht!$C$8)))</f>
        <v>Feiertag</v>
      </c>
    </row>
    <row r="2537" spans="1:4" x14ac:dyDescent="0.25">
      <c r="A2537" t="s">
        <v>69</v>
      </c>
      <c r="B2537" s="48">
        <v>45201</v>
      </c>
      <c r="C2537" t="s">
        <v>53</v>
      </c>
      <c r="D2537" t="str">
        <f>IF(COUNTIFS(Verweise!$A$2:$A$4542,Übersicht!$C$7,Verweise!$B$2:$B$4542,B2537)=1,"Feiertag",IF(C2537="Samstag","",IF(C2537="Sonntag","",Übersicht!$C$8)))</f>
        <v>Feiertag</v>
      </c>
    </row>
    <row r="2538" spans="1:4" x14ac:dyDescent="0.25">
      <c r="A2538" t="s">
        <v>69</v>
      </c>
      <c r="B2538" s="48">
        <v>45230</v>
      </c>
      <c r="C2538" t="s">
        <v>54</v>
      </c>
      <c r="D2538" t="str">
        <f>IF(COUNTIFS(Verweise!$A$2:$A$4542,Übersicht!$C$7,Verweise!$B$2:$B$4542,B2538)=1,"Feiertag",IF(C2538="Samstag","",IF(C2538="Sonntag","",Übersicht!$C$8)))</f>
        <v>Feiertag</v>
      </c>
    </row>
    <row r="2539" spans="1:4" x14ac:dyDescent="0.25">
      <c r="A2539" t="s">
        <v>69</v>
      </c>
      <c r="B2539" s="48">
        <v>45284</v>
      </c>
      <c r="C2539" t="s">
        <v>55</v>
      </c>
      <c r="D2539" t="str">
        <f>IF(COUNTIFS(Verweise!$A$2:$A$4542,Übersicht!$C$7,Verweise!$B$2:$B$4542,B2539)=1,"Feiertag",IF(C2539="Samstag","",IF(C2539="Sonntag","",Übersicht!$C$8)))</f>
        <v>Feiertag</v>
      </c>
    </row>
    <row r="2540" spans="1:4" x14ac:dyDescent="0.25">
      <c r="A2540" t="s">
        <v>69</v>
      </c>
      <c r="B2540" s="48">
        <v>45285</v>
      </c>
      <c r="C2540" t="s">
        <v>56</v>
      </c>
      <c r="D2540" t="str">
        <f>IF(COUNTIFS(Verweise!$A$2:$A$4542,Übersicht!$C$7,Verweise!$B$2:$B$4542,B2540)=1,"Feiertag",IF(C2540="Samstag","",IF(C2540="Sonntag","",Übersicht!$C$8)))</f>
        <v>Feiertag</v>
      </c>
    </row>
    <row r="2541" spans="1:4" x14ac:dyDescent="0.25">
      <c r="A2541" t="s">
        <v>70</v>
      </c>
      <c r="B2541" s="48">
        <v>44926</v>
      </c>
      <c r="C2541" t="s">
        <v>43</v>
      </c>
      <c r="D2541" t="str">
        <f>IF(COUNTIFS(Verweise!$A$2:$A$4542,Übersicht!$C$7,Verweise!$B$2:$B$4542,B2541)=1,"Feiertag",IF(C2541="Samstag","",IF(C2541="Sonntag","",Übersicht!$C$8)))</f>
        <v>Feiertag</v>
      </c>
    </row>
    <row r="2542" spans="1:4" x14ac:dyDescent="0.25">
      <c r="A2542" t="s">
        <v>70</v>
      </c>
      <c r="B2542" s="48">
        <v>45010</v>
      </c>
      <c r="C2542" t="s">
        <v>45</v>
      </c>
      <c r="D2542" t="str">
        <f>IF(COUNTIFS(Verweise!$A$2:$A$4542,Übersicht!$C$7,Verweise!$B$2:$B$4542,B2542)=1,"Feiertag",IF(C2542="Samstag","",IF(C2542="Sonntag","",Übersicht!$C$8)))</f>
        <v>Feiertag</v>
      </c>
    </row>
    <row r="2543" spans="1:4" x14ac:dyDescent="0.25">
      <c r="A2543" t="s">
        <v>70</v>
      </c>
      <c r="B2543" s="48">
        <v>45012</v>
      </c>
      <c r="C2543" t="s">
        <v>46</v>
      </c>
      <c r="D2543" t="str">
        <f>IF(COUNTIFS(Verweise!$A$2:$A$4542,Übersicht!$C$7,Verweise!$B$2:$B$4542,B2543)=1,"Feiertag",IF(C2543="Samstag","",IF(C2543="Sonntag","",Übersicht!$C$8)))</f>
        <v>Feiertag</v>
      </c>
    </row>
    <row r="2544" spans="1:4" x14ac:dyDescent="0.25">
      <c r="A2544" t="s">
        <v>70</v>
      </c>
      <c r="B2544" s="48">
        <v>45013</v>
      </c>
      <c r="C2544" t="s">
        <v>47</v>
      </c>
      <c r="D2544" t="str">
        <f>IF(COUNTIFS(Verweise!$A$2:$A$4542,Übersicht!$C$7,Verweise!$B$2:$B$4542,B2544)=1,"Feiertag",IF(C2544="Samstag","",IF(C2544="Sonntag","",Übersicht!$C$8)))</f>
        <v>Feiertag</v>
      </c>
    </row>
    <row r="2545" spans="1:4" x14ac:dyDescent="0.25">
      <c r="A2545" t="s">
        <v>70</v>
      </c>
      <c r="B2545" s="48">
        <v>45046</v>
      </c>
      <c r="C2545" t="s">
        <v>48</v>
      </c>
      <c r="D2545" t="str">
        <f>IF(COUNTIFS(Verweise!$A$2:$A$4542,Übersicht!$C$7,Verweise!$B$2:$B$4542,B2545)=1,"Feiertag",IF(C2545="Samstag","",IF(C2545="Sonntag","",Übersicht!$C$8)))</f>
        <v>Feiertag</v>
      </c>
    </row>
    <row r="2546" spans="1:4" x14ac:dyDescent="0.25">
      <c r="A2546" t="s">
        <v>70</v>
      </c>
      <c r="B2546" s="48">
        <v>45051</v>
      </c>
      <c r="C2546" t="s">
        <v>49</v>
      </c>
      <c r="D2546" t="str">
        <f>IF(COUNTIFS(Verweise!$A$2:$A$4542,Übersicht!$C$7,Verweise!$B$2:$B$4542,B2546)=1,"Feiertag",IF(C2546="Samstag","",IF(C2546="Sonntag","",Übersicht!$C$8)))</f>
        <v>Feiertag</v>
      </c>
    </row>
    <row r="2547" spans="1:4" x14ac:dyDescent="0.25">
      <c r="A2547" t="s">
        <v>70</v>
      </c>
      <c r="B2547" s="48">
        <v>45061</v>
      </c>
      <c r="C2547" t="s">
        <v>50</v>
      </c>
      <c r="D2547" t="str">
        <f>IF(COUNTIFS(Verweise!$A$2:$A$4542,Übersicht!$C$7,Verweise!$B$2:$B$4542,B2547)=1,"Feiertag",IF(C2547="Samstag","",IF(C2547="Sonntag","",Übersicht!$C$8)))</f>
        <v>Feiertag</v>
      </c>
    </row>
    <row r="2548" spans="1:4" x14ac:dyDescent="0.25">
      <c r="A2548" t="s">
        <v>70</v>
      </c>
      <c r="B2548" s="48">
        <v>45062</v>
      </c>
      <c r="C2548" t="s">
        <v>51</v>
      </c>
      <c r="D2548" t="str">
        <f>IF(COUNTIFS(Verweise!$A$2:$A$4542,Übersicht!$C$7,Verweise!$B$2:$B$4542,B2548)=1,"Feiertag",IF(C2548="Samstag","",IF(C2548="Sonntag","",Übersicht!$C$8)))</f>
        <v>Feiertag</v>
      </c>
    </row>
    <row r="2549" spans="1:4" x14ac:dyDescent="0.25">
      <c r="A2549" t="s">
        <v>70</v>
      </c>
      <c r="B2549" s="48">
        <v>45072</v>
      </c>
      <c r="C2549" t="s">
        <v>52</v>
      </c>
      <c r="D2549" t="str">
        <f>IF(COUNTIFS(Verweise!$A$2:$A$4542,Übersicht!$C$7,Verweise!$B$2:$B$4542,B2549)=1,"Feiertag",IF(C2549="Samstag","",IF(C2549="Sonntag","",Übersicht!$C$8)))</f>
        <v>Feiertag</v>
      </c>
    </row>
    <row r="2550" spans="1:4" x14ac:dyDescent="0.25">
      <c r="A2550" t="s">
        <v>70</v>
      </c>
      <c r="B2550" s="48">
        <v>45152</v>
      </c>
      <c r="C2550" t="s">
        <v>59</v>
      </c>
      <c r="D2550" t="str">
        <f>IF(COUNTIFS(Verweise!$A$2:$A$4542,Übersicht!$C$7,Verweise!$B$2:$B$4542,B2550)=1,"Feiertag",IF(C2550="Samstag","",IF(C2550="Sonntag","",Übersicht!$C$8)))</f>
        <v>Büro</v>
      </c>
    </row>
    <row r="2551" spans="1:4" x14ac:dyDescent="0.25">
      <c r="A2551" t="s">
        <v>70</v>
      </c>
      <c r="B2551" s="48">
        <v>45201</v>
      </c>
      <c r="C2551" t="s">
        <v>53</v>
      </c>
      <c r="D2551" t="str">
        <f>IF(COUNTIFS(Verweise!$A$2:$A$4542,Übersicht!$C$7,Verweise!$B$2:$B$4542,B2551)=1,"Feiertag",IF(C2551="Samstag","",IF(C2551="Sonntag","",Übersicht!$C$8)))</f>
        <v>Feiertag</v>
      </c>
    </row>
    <row r="2552" spans="1:4" x14ac:dyDescent="0.25">
      <c r="A2552" t="s">
        <v>70</v>
      </c>
      <c r="B2552" s="48">
        <v>45230</v>
      </c>
      <c r="C2552" t="s">
        <v>54</v>
      </c>
      <c r="D2552" t="str">
        <f>IF(COUNTIFS(Verweise!$A$2:$A$4542,Übersicht!$C$7,Verweise!$B$2:$B$4542,B2552)=1,"Feiertag",IF(C2552="Samstag","",IF(C2552="Sonntag","",Übersicht!$C$8)))</f>
        <v>Feiertag</v>
      </c>
    </row>
    <row r="2553" spans="1:4" x14ac:dyDescent="0.25">
      <c r="A2553" t="s">
        <v>70</v>
      </c>
      <c r="B2553" s="48">
        <v>45284</v>
      </c>
      <c r="C2553" t="s">
        <v>55</v>
      </c>
      <c r="D2553" t="str">
        <f>IF(COUNTIFS(Verweise!$A$2:$A$4542,Übersicht!$C$7,Verweise!$B$2:$B$4542,B2553)=1,"Feiertag",IF(C2553="Samstag","",IF(C2553="Sonntag","",Übersicht!$C$8)))</f>
        <v>Feiertag</v>
      </c>
    </row>
    <row r="2554" spans="1:4" x14ac:dyDescent="0.25">
      <c r="A2554" t="s">
        <v>70</v>
      </c>
      <c r="B2554" s="48">
        <v>45285</v>
      </c>
      <c r="C2554" t="s">
        <v>56</v>
      </c>
      <c r="D2554" t="str">
        <f>IF(COUNTIFS(Verweise!$A$2:$A$4542,Übersicht!$C$7,Verweise!$B$2:$B$4542,B2554)=1,"Feiertag",IF(C2554="Samstag","",IF(C2554="Sonntag","",Übersicht!$C$8)))</f>
        <v>Feiertag</v>
      </c>
    </row>
    <row r="2555" spans="1:4" x14ac:dyDescent="0.25">
      <c r="A2555" t="s">
        <v>71</v>
      </c>
      <c r="B2555" s="48">
        <v>44926</v>
      </c>
      <c r="C2555" t="s">
        <v>43</v>
      </c>
      <c r="D2555" t="str">
        <f>IF(COUNTIFS(Verweise!$A$2:$A$4542,Übersicht!$C$7,Verweise!$B$2:$B$4542,B2555)=1,"Feiertag",IF(C2555="Samstag","",IF(C2555="Sonntag","",Übersicht!$C$8)))</f>
        <v>Feiertag</v>
      </c>
    </row>
    <row r="2556" spans="1:4" x14ac:dyDescent="0.25">
      <c r="A2556" t="s">
        <v>71</v>
      </c>
      <c r="B2556" s="48">
        <v>45010</v>
      </c>
      <c r="C2556" t="s">
        <v>45</v>
      </c>
      <c r="D2556" t="str">
        <f>IF(COUNTIFS(Verweise!$A$2:$A$4542,Übersicht!$C$7,Verweise!$B$2:$B$4542,B2556)=1,"Feiertag",IF(C2556="Samstag","",IF(C2556="Sonntag","",Übersicht!$C$8)))</f>
        <v>Feiertag</v>
      </c>
    </row>
    <row r="2557" spans="1:4" x14ac:dyDescent="0.25">
      <c r="A2557" t="s">
        <v>71</v>
      </c>
      <c r="B2557" s="48">
        <v>45012</v>
      </c>
      <c r="C2557" t="s">
        <v>46</v>
      </c>
      <c r="D2557" t="str">
        <f>IF(COUNTIFS(Verweise!$A$2:$A$4542,Übersicht!$C$7,Verweise!$B$2:$B$4542,B2557)=1,"Feiertag",IF(C2557="Samstag","",IF(C2557="Sonntag","",Übersicht!$C$8)))</f>
        <v>Feiertag</v>
      </c>
    </row>
    <row r="2558" spans="1:4" x14ac:dyDescent="0.25">
      <c r="A2558" t="s">
        <v>71</v>
      </c>
      <c r="B2558" s="48">
        <v>45013</v>
      </c>
      <c r="C2558" t="s">
        <v>47</v>
      </c>
      <c r="D2558" t="str">
        <f>IF(COUNTIFS(Verweise!$A$2:$A$4542,Übersicht!$C$7,Verweise!$B$2:$B$4542,B2558)=1,"Feiertag",IF(C2558="Samstag","",IF(C2558="Sonntag","",Übersicht!$C$8)))</f>
        <v>Feiertag</v>
      </c>
    </row>
    <row r="2559" spans="1:4" x14ac:dyDescent="0.25">
      <c r="A2559" t="s">
        <v>71</v>
      </c>
      <c r="B2559" s="48">
        <v>45046</v>
      </c>
      <c r="C2559" t="s">
        <v>48</v>
      </c>
      <c r="D2559" t="str">
        <f>IF(COUNTIFS(Verweise!$A$2:$A$4542,Übersicht!$C$7,Verweise!$B$2:$B$4542,B2559)=1,"Feiertag",IF(C2559="Samstag","",IF(C2559="Sonntag","",Übersicht!$C$8)))</f>
        <v>Feiertag</v>
      </c>
    </row>
    <row r="2560" spans="1:4" x14ac:dyDescent="0.25">
      <c r="A2560" t="s">
        <v>71</v>
      </c>
      <c r="B2560" s="48">
        <v>45051</v>
      </c>
      <c r="C2560" t="s">
        <v>49</v>
      </c>
      <c r="D2560" t="str">
        <f>IF(COUNTIFS(Verweise!$A$2:$A$4542,Übersicht!$C$7,Verweise!$B$2:$B$4542,B2560)=1,"Feiertag",IF(C2560="Samstag","",IF(C2560="Sonntag","",Übersicht!$C$8)))</f>
        <v>Feiertag</v>
      </c>
    </row>
    <row r="2561" spans="1:4" x14ac:dyDescent="0.25">
      <c r="A2561" t="s">
        <v>71</v>
      </c>
      <c r="B2561" s="48">
        <v>45061</v>
      </c>
      <c r="C2561" t="s">
        <v>50</v>
      </c>
      <c r="D2561" t="str">
        <f>IF(COUNTIFS(Verweise!$A$2:$A$4542,Übersicht!$C$7,Verweise!$B$2:$B$4542,B2561)=1,"Feiertag",IF(C2561="Samstag","",IF(C2561="Sonntag","",Übersicht!$C$8)))</f>
        <v>Feiertag</v>
      </c>
    </row>
    <row r="2562" spans="1:4" x14ac:dyDescent="0.25">
      <c r="A2562" t="s">
        <v>71</v>
      </c>
      <c r="B2562" s="48">
        <v>45062</v>
      </c>
      <c r="C2562" t="s">
        <v>51</v>
      </c>
      <c r="D2562" t="str">
        <f>IF(COUNTIFS(Verweise!$A$2:$A$4542,Übersicht!$C$7,Verweise!$B$2:$B$4542,B2562)=1,"Feiertag",IF(C2562="Samstag","",IF(C2562="Sonntag","",Übersicht!$C$8)))</f>
        <v>Feiertag</v>
      </c>
    </row>
    <row r="2563" spans="1:4" x14ac:dyDescent="0.25">
      <c r="A2563" t="s">
        <v>71</v>
      </c>
      <c r="B2563" s="48">
        <v>45201</v>
      </c>
      <c r="C2563" t="s">
        <v>53</v>
      </c>
      <c r="D2563" t="str">
        <f>IF(COUNTIFS(Verweise!$A$2:$A$4542,Übersicht!$C$7,Verweise!$B$2:$B$4542,B2563)=1,"Feiertag",IF(C2563="Samstag","",IF(C2563="Sonntag","",Übersicht!$C$8)))</f>
        <v>Feiertag</v>
      </c>
    </row>
    <row r="2564" spans="1:4" x14ac:dyDescent="0.25">
      <c r="A2564" t="s">
        <v>71</v>
      </c>
      <c r="B2564" s="48">
        <v>45229</v>
      </c>
      <c r="C2564" t="s">
        <v>62</v>
      </c>
      <c r="D2564" t="str">
        <f>IF(COUNTIFS(Verweise!$A$2:$A$4542,Übersicht!$C$7,Verweise!$B$2:$B$4542,B2564)=1,"Feiertag",IF(C2564="Samstag","",IF(C2564="Sonntag","",Übersicht!$C$8)))</f>
        <v>Büro</v>
      </c>
    </row>
    <row r="2565" spans="1:4" x14ac:dyDescent="0.25">
      <c r="A2565" t="s">
        <v>71</v>
      </c>
      <c r="B2565" s="48">
        <v>45246</v>
      </c>
      <c r="C2565" t="s">
        <v>72</v>
      </c>
      <c r="D2565" t="str">
        <f>IF(COUNTIFS(Verweise!$A$2:$A$4542,Übersicht!$C$7,Verweise!$B$2:$B$4542,B2565)=1,"Feiertag",IF(C2565="Samstag","",IF(C2565="Sonntag","",Übersicht!$C$8)))</f>
        <v>Büro</v>
      </c>
    </row>
    <row r="2566" spans="1:4" x14ac:dyDescent="0.25">
      <c r="A2566" t="s">
        <v>71</v>
      </c>
      <c r="B2566" s="48">
        <v>45284</v>
      </c>
      <c r="C2566" t="s">
        <v>55</v>
      </c>
      <c r="D2566" t="str">
        <f>IF(COUNTIFS(Verweise!$A$2:$A$4542,Übersicht!$C$7,Verweise!$B$2:$B$4542,B2566)=1,"Feiertag",IF(C2566="Samstag","",IF(C2566="Sonntag","",Übersicht!$C$8)))</f>
        <v>Feiertag</v>
      </c>
    </row>
    <row r="2567" spans="1:4" x14ac:dyDescent="0.25">
      <c r="A2567" t="s">
        <v>71</v>
      </c>
      <c r="B2567" s="48">
        <v>45285</v>
      </c>
      <c r="C2567" t="s">
        <v>56</v>
      </c>
      <c r="D2567" t="str">
        <f>IF(COUNTIFS(Verweise!$A$2:$A$4542,Übersicht!$C$7,Verweise!$B$2:$B$4542,B2567)=1,"Feiertag",IF(C2567="Samstag","",IF(C2567="Sonntag","",Übersicht!$C$8)))</f>
        <v>Feiertag</v>
      </c>
    </row>
    <row r="2568" spans="1:4" x14ac:dyDescent="0.25">
      <c r="A2568" t="s">
        <v>73</v>
      </c>
      <c r="B2568" s="48">
        <v>44926</v>
      </c>
      <c r="C2568" t="s">
        <v>43</v>
      </c>
      <c r="D2568" t="str">
        <f>IF(COUNTIFS(Verweise!$A$2:$A$4542,Übersicht!$C$7,Verweise!$B$2:$B$4542,B2568)=1,"Feiertag",IF(C2568="Samstag","",IF(C2568="Sonntag","",Übersicht!$C$8)))</f>
        <v>Feiertag</v>
      </c>
    </row>
    <row r="2569" spans="1:4" x14ac:dyDescent="0.25">
      <c r="A2569" t="s">
        <v>73</v>
      </c>
      <c r="B2569" s="48">
        <v>45010</v>
      </c>
      <c r="C2569" t="s">
        <v>45</v>
      </c>
      <c r="D2569" t="str">
        <f>IF(COUNTIFS(Verweise!$A$2:$A$4542,Übersicht!$C$7,Verweise!$B$2:$B$4542,B2569)=1,"Feiertag",IF(C2569="Samstag","",IF(C2569="Sonntag","",Übersicht!$C$8)))</f>
        <v>Feiertag</v>
      </c>
    </row>
    <row r="2570" spans="1:4" x14ac:dyDescent="0.25">
      <c r="A2570" t="s">
        <v>73</v>
      </c>
      <c r="B2570" s="48">
        <v>45012</v>
      </c>
      <c r="C2570" t="s">
        <v>46</v>
      </c>
      <c r="D2570" t="str">
        <f>IF(COUNTIFS(Verweise!$A$2:$A$4542,Übersicht!$C$7,Verweise!$B$2:$B$4542,B2570)=1,"Feiertag",IF(C2570="Samstag","",IF(C2570="Sonntag","",Übersicht!$C$8)))</f>
        <v>Feiertag</v>
      </c>
    </row>
    <row r="2571" spans="1:4" x14ac:dyDescent="0.25">
      <c r="A2571" t="s">
        <v>73</v>
      </c>
      <c r="B2571" s="48">
        <v>45013</v>
      </c>
      <c r="C2571" t="s">
        <v>47</v>
      </c>
      <c r="D2571" t="str">
        <f>IF(COUNTIFS(Verweise!$A$2:$A$4542,Übersicht!$C$7,Verweise!$B$2:$B$4542,B2571)=1,"Feiertag",IF(C2571="Samstag","",IF(C2571="Sonntag","",Übersicht!$C$8)))</f>
        <v>Feiertag</v>
      </c>
    </row>
    <row r="2572" spans="1:4" x14ac:dyDescent="0.25">
      <c r="A2572" t="s">
        <v>73</v>
      </c>
      <c r="B2572" s="48">
        <v>45046</v>
      </c>
      <c r="C2572" t="s">
        <v>48</v>
      </c>
      <c r="D2572" t="str">
        <f>IF(COUNTIFS(Verweise!$A$2:$A$4542,Übersicht!$C$7,Verweise!$B$2:$B$4542,B2572)=1,"Feiertag",IF(C2572="Samstag","",IF(C2572="Sonntag","",Übersicht!$C$8)))</f>
        <v>Feiertag</v>
      </c>
    </row>
    <row r="2573" spans="1:4" x14ac:dyDescent="0.25">
      <c r="A2573" t="s">
        <v>73</v>
      </c>
      <c r="B2573" s="48">
        <v>45051</v>
      </c>
      <c r="C2573" t="s">
        <v>49</v>
      </c>
      <c r="D2573" t="str">
        <f>IF(COUNTIFS(Verweise!$A$2:$A$4542,Übersicht!$C$7,Verweise!$B$2:$B$4542,B2573)=1,"Feiertag",IF(C2573="Samstag","",IF(C2573="Sonntag","",Übersicht!$C$8)))</f>
        <v>Feiertag</v>
      </c>
    </row>
    <row r="2574" spans="1:4" x14ac:dyDescent="0.25">
      <c r="A2574" t="s">
        <v>73</v>
      </c>
      <c r="B2574" s="48">
        <v>45061</v>
      </c>
      <c r="C2574" t="s">
        <v>50</v>
      </c>
      <c r="D2574" t="str">
        <f>IF(COUNTIFS(Verweise!$A$2:$A$4542,Übersicht!$C$7,Verweise!$B$2:$B$4542,B2574)=1,"Feiertag",IF(C2574="Samstag","",IF(C2574="Sonntag","",Übersicht!$C$8)))</f>
        <v>Feiertag</v>
      </c>
    </row>
    <row r="2575" spans="1:4" x14ac:dyDescent="0.25">
      <c r="A2575" t="s">
        <v>73</v>
      </c>
      <c r="B2575" s="48">
        <v>45062</v>
      </c>
      <c r="C2575" t="s">
        <v>51</v>
      </c>
      <c r="D2575" t="str">
        <f>IF(COUNTIFS(Verweise!$A$2:$A$4542,Übersicht!$C$7,Verweise!$B$2:$B$4542,B2575)=1,"Feiertag",IF(C2575="Samstag","",IF(C2575="Sonntag","",Übersicht!$C$8)))</f>
        <v>Feiertag</v>
      </c>
    </row>
    <row r="2576" spans="1:4" x14ac:dyDescent="0.25">
      <c r="A2576" t="s">
        <v>73</v>
      </c>
      <c r="B2576" s="48">
        <v>45072</v>
      </c>
      <c r="C2576" t="s">
        <v>52</v>
      </c>
      <c r="D2576" t="str">
        <f>IF(COUNTIFS(Verweise!$A$2:$A$4542,Übersicht!$C$7,Verweise!$B$2:$B$4542,B2576)=1,"Feiertag",IF(C2576="Samstag","",IF(C2576="Sonntag","",Übersicht!$C$8)))</f>
        <v>Feiertag</v>
      </c>
    </row>
    <row r="2577" spans="1:4" x14ac:dyDescent="0.25">
      <c r="A2577" t="s">
        <v>73</v>
      </c>
      <c r="B2577" s="48">
        <v>45201</v>
      </c>
      <c r="C2577" t="s">
        <v>53</v>
      </c>
      <c r="D2577" t="str">
        <f>IF(COUNTIFS(Verweise!$A$2:$A$4542,Übersicht!$C$7,Verweise!$B$2:$B$4542,B2577)=1,"Feiertag",IF(C2577="Samstag","",IF(C2577="Sonntag","",Übersicht!$C$8)))</f>
        <v>Feiertag</v>
      </c>
    </row>
    <row r="2578" spans="1:4" x14ac:dyDescent="0.25">
      <c r="A2578" t="s">
        <v>73</v>
      </c>
      <c r="B2578" s="48">
        <v>45229</v>
      </c>
      <c r="C2578" t="s">
        <v>62</v>
      </c>
      <c r="D2578" t="str">
        <f>IF(COUNTIFS(Verweise!$A$2:$A$4542,Übersicht!$C$7,Verweise!$B$2:$B$4542,B2578)=1,"Feiertag",IF(C2578="Samstag","",IF(C2578="Sonntag","",Übersicht!$C$8)))</f>
        <v>Büro</v>
      </c>
    </row>
    <row r="2579" spans="1:4" x14ac:dyDescent="0.25">
      <c r="A2579" t="s">
        <v>73</v>
      </c>
      <c r="B2579" s="48">
        <v>45246</v>
      </c>
      <c r="C2579" t="s">
        <v>72</v>
      </c>
      <c r="D2579" t="str">
        <f>IF(COUNTIFS(Verweise!$A$2:$A$4542,Übersicht!$C$7,Verweise!$B$2:$B$4542,B2579)=1,"Feiertag",IF(C2579="Samstag","",IF(C2579="Sonntag","",Übersicht!$C$8)))</f>
        <v>Büro</v>
      </c>
    </row>
    <row r="2580" spans="1:4" x14ac:dyDescent="0.25">
      <c r="A2580" t="s">
        <v>73</v>
      </c>
      <c r="B2580" s="48">
        <v>45284</v>
      </c>
      <c r="C2580" t="s">
        <v>55</v>
      </c>
      <c r="D2580" t="str">
        <f>IF(COUNTIFS(Verweise!$A$2:$A$4542,Übersicht!$C$7,Verweise!$B$2:$B$4542,B2580)=1,"Feiertag",IF(C2580="Samstag","",IF(C2580="Sonntag","",Übersicht!$C$8)))</f>
        <v>Feiertag</v>
      </c>
    </row>
    <row r="2581" spans="1:4" x14ac:dyDescent="0.25">
      <c r="A2581" t="s">
        <v>73</v>
      </c>
      <c r="B2581" s="48">
        <v>45285</v>
      </c>
      <c r="C2581" t="s">
        <v>56</v>
      </c>
      <c r="D2581" t="str">
        <f>IF(COUNTIFS(Verweise!$A$2:$A$4542,Übersicht!$C$7,Verweise!$B$2:$B$4542,B2581)=1,"Feiertag",IF(C2581="Samstag","",IF(C2581="Sonntag","",Übersicht!$C$8)))</f>
        <v>Feiertag</v>
      </c>
    </row>
    <row r="2582" spans="1:4" x14ac:dyDescent="0.25">
      <c r="A2582" t="s">
        <v>74</v>
      </c>
      <c r="B2582" s="48">
        <v>44926</v>
      </c>
      <c r="C2582" t="s">
        <v>43</v>
      </c>
      <c r="D2582" t="str">
        <f>IF(COUNTIFS(Verweise!$A$2:$A$4542,Übersicht!$C$7,Verweise!$B$2:$B$4542,B2582)=1,"Feiertag",IF(C2582="Samstag","",IF(C2582="Sonntag","",Übersicht!$C$8)))</f>
        <v>Feiertag</v>
      </c>
    </row>
    <row r="2583" spans="1:4" x14ac:dyDescent="0.25">
      <c r="A2583" t="s">
        <v>74</v>
      </c>
      <c r="B2583" s="48">
        <v>44931</v>
      </c>
      <c r="C2583" t="s">
        <v>44</v>
      </c>
      <c r="D2583" t="str">
        <f>IF(COUNTIFS(Verweise!$A$2:$A$4542,Übersicht!$C$7,Verweise!$B$2:$B$4542,B2583)=1,"Feiertag",IF(C2583="Samstag","",IF(C2583="Sonntag","",Übersicht!$C$8)))</f>
        <v>Büro</v>
      </c>
    </row>
    <row r="2584" spans="1:4" x14ac:dyDescent="0.25">
      <c r="A2584" t="s">
        <v>74</v>
      </c>
      <c r="B2584" s="48">
        <v>45010</v>
      </c>
      <c r="C2584" t="s">
        <v>45</v>
      </c>
      <c r="D2584" t="str">
        <f>IF(COUNTIFS(Verweise!$A$2:$A$4542,Übersicht!$C$7,Verweise!$B$2:$B$4542,B2584)=1,"Feiertag",IF(C2584="Samstag","",IF(C2584="Sonntag","",Übersicht!$C$8)))</f>
        <v>Feiertag</v>
      </c>
    </row>
    <row r="2585" spans="1:4" x14ac:dyDescent="0.25">
      <c r="A2585" t="s">
        <v>74</v>
      </c>
      <c r="B2585" s="48">
        <v>45012</v>
      </c>
      <c r="C2585" t="s">
        <v>46</v>
      </c>
      <c r="D2585" t="str">
        <f>IF(COUNTIFS(Verweise!$A$2:$A$4542,Übersicht!$C$7,Verweise!$B$2:$B$4542,B2585)=1,"Feiertag",IF(C2585="Samstag","",IF(C2585="Sonntag","",Übersicht!$C$8)))</f>
        <v>Feiertag</v>
      </c>
    </row>
    <row r="2586" spans="1:4" x14ac:dyDescent="0.25">
      <c r="A2586" t="s">
        <v>74</v>
      </c>
      <c r="B2586" s="48">
        <v>45013</v>
      </c>
      <c r="C2586" t="s">
        <v>47</v>
      </c>
      <c r="D2586" t="str">
        <f>IF(COUNTIFS(Verweise!$A$2:$A$4542,Übersicht!$C$7,Verweise!$B$2:$B$4542,B2586)=1,"Feiertag",IF(C2586="Samstag","",IF(C2586="Sonntag","",Übersicht!$C$8)))</f>
        <v>Feiertag</v>
      </c>
    </row>
    <row r="2587" spans="1:4" x14ac:dyDescent="0.25">
      <c r="A2587" t="s">
        <v>74</v>
      </c>
      <c r="B2587" s="48">
        <v>45046</v>
      </c>
      <c r="C2587" t="s">
        <v>48</v>
      </c>
      <c r="D2587" t="str">
        <f>IF(COUNTIFS(Verweise!$A$2:$A$4542,Übersicht!$C$7,Verweise!$B$2:$B$4542,B2587)=1,"Feiertag",IF(C2587="Samstag","",IF(C2587="Sonntag","",Übersicht!$C$8)))</f>
        <v>Feiertag</v>
      </c>
    </row>
    <row r="2588" spans="1:4" x14ac:dyDescent="0.25">
      <c r="A2588" t="s">
        <v>74</v>
      </c>
      <c r="B2588" s="48">
        <v>45051</v>
      </c>
      <c r="C2588" t="s">
        <v>49</v>
      </c>
      <c r="D2588" t="str">
        <f>IF(COUNTIFS(Verweise!$A$2:$A$4542,Übersicht!$C$7,Verweise!$B$2:$B$4542,B2588)=1,"Feiertag",IF(C2588="Samstag","",IF(C2588="Sonntag","",Übersicht!$C$8)))</f>
        <v>Feiertag</v>
      </c>
    </row>
    <row r="2589" spans="1:4" x14ac:dyDescent="0.25">
      <c r="A2589" t="s">
        <v>74</v>
      </c>
      <c r="B2589" s="48">
        <v>45061</v>
      </c>
      <c r="C2589" t="s">
        <v>50</v>
      </c>
      <c r="D2589" t="str">
        <f>IF(COUNTIFS(Verweise!$A$2:$A$4542,Übersicht!$C$7,Verweise!$B$2:$B$4542,B2589)=1,"Feiertag",IF(C2589="Samstag","",IF(C2589="Sonntag","",Übersicht!$C$8)))</f>
        <v>Feiertag</v>
      </c>
    </row>
    <row r="2590" spans="1:4" x14ac:dyDescent="0.25">
      <c r="A2590" t="s">
        <v>74</v>
      </c>
      <c r="B2590" s="48">
        <v>45062</v>
      </c>
      <c r="C2590" t="s">
        <v>51</v>
      </c>
      <c r="D2590" t="str">
        <f>IF(COUNTIFS(Verweise!$A$2:$A$4542,Übersicht!$C$7,Verweise!$B$2:$B$4542,B2590)=1,"Feiertag",IF(C2590="Samstag","",IF(C2590="Sonntag","",Übersicht!$C$8)))</f>
        <v>Feiertag</v>
      </c>
    </row>
    <row r="2591" spans="1:4" x14ac:dyDescent="0.25">
      <c r="A2591" t="s">
        <v>74</v>
      </c>
      <c r="B2591" s="48">
        <v>45201</v>
      </c>
      <c r="C2591" t="s">
        <v>53</v>
      </c>
      <c r="D2591" t="str">
        <f>IF(COUNTIFS(Verweise!$A$2:$A$4542,Übersicht!$C$7,Verweise!$B$2:$B$4542,B2591)=1,"Feiertag",IF(C2591="Samstag","",IF(C2591="Sonntag","",Übersicht!$C$8)))</f>
        <v>Feiertag</v>
      </c>
    </row>
    <row r="2592" spans="1:4" x14ac:dyDescent="0.25">
      <c r="A2592" t="s">
        <v>74</v>
      </c>
      <c r="B2592" s="48">
        <v>45229</v>
      </c>
      <c r="C2592" t="s">
        <v>62</v>
      </c>
      <c r="D2592" t="str">
        <f>IF(COUNTIFS(Verweise!$A$2:$A$4542,Übersicht!$C$7,Verweise!$B$2:$B$4542,B2592)=1,"Feiertag",IF(C2592="Samstag","",IF(C2592="Sonntag","",Übersicht!$C$8)))</f>
        <v>Büro</v>
      </c>
    </row>
    <row r="2593" spans="1:4" x14ac:dyDescent="0.25">
      <c r="A2593" t="s">
        <v>74</v>
      </c>
      <c r="B2593" s="48">
        <v>45284</v>
      </c>
      <c r="C2593" t="s">
        <v>55</v>
      </c>
      <c r="D2593" t="str">
        <f>IF(COUNTIFS(Verweise!$A$2:$A$4542,Übersicht!$C$7,Verweise!$B$2:$B$4542,B2593)=1,"Feiertag",IF(C2593="Samstag","",IF(C2593="Sonntag","",Übersicht!$C$8)))</f>
        <v>Feiertag</v>
      </c>
    </row>
    <row r="2594" spans="1:4" x14ac:dyDescent="0.25">
      <c r="A2594" t="s">
        <v>74</v>
      </c>
      <c r="B2594" s="48">
        <v>45285</v>
      </c>
      <c r="C2594" t="s">
        <v>56</v>
      </c>
      <c r="D2594" t="str">
        <f>IF(COUNTIFS(Verweise!$A$2:$A$4542,Übersicht!$C$7,Verweise!$B$2:$B$4542,B2594)=1,"Feiertag",IF(C2594="Samstag","",IF(C2594="Sonntag","",Übersicht!$C$8)))</f>
        <v>Feiertag</v>
      </c>
    </row>
    <row r="2595" spans="1:4" x14ac:dyDescent="0.25">
      <c r="A2595" t="s">
        <v>75</v>
      </c>
      <c r="B2595" s="48">
        <v>44926</v>
      </c>
      <c r="C2595" t="s">
        <v>43</v>
      </c>
      <c r="D2595" t="str">
        <f>IF(COUNTIFS(Verweise!$A$2:$A$4542,Übersicht!$C$7,Verweise!$B$2:$B$4542,B2595)=1,"Feiertag",IF(C2595="Samstag","",IF(C2595="Sonntag","",Übersicht!$C$8)))</f>
        <v>Feiertag</v>
      </c>
    </row>
    <row r="2596" spans="1:4" x14ac:dyDescent="0.25">
      <c r="A2596" t="s">
        <v>75</v>
      </c>
      <c r="B2596" s="48">
        <v>45010</v>
      </c>
      <c r="C2596" t="s">
        <v>45</v>
      </c>
      <c r="D2596" t="str">
        <f>IF(COUNTIFS(Verweise!$A$2:$A$4542,Übersicht!$C$7,Verweise!$B$2:$B$4542,B2596)=1,"Feiertag",IF(C2596="Samstag","",IF(C2596="Sonntag","",Übersicht!$C$8)))</f>
        <v>Feiertag</v>
      </c>
    </row>
    <row r="2597" spans="1:4" x14ac:dyDescent="0.25">
      <c r="A2597" t="s">
        <v>75</v>
      </c>
      <c r="B2597" s="48">
        <v>45012</v>
      </c>
      <c r="C2597" t="s">
        <v>46</v>
      </c>
      <c r="D2597" t="str">
        <f>IF(COUNTIFS(Verweise!$A$2:$A$4542,Übersicht!$C$7,Verweise!$B$2:$B$4542,B2597)=1,"Feiertag",IF(C2597="Samstag","",IF(C2597="Sonntag","",Übersicht!$C$8)))</f>
        <v>Feiertag</v>
      </c>
    </row>
    <row r="2598" spans="1:4" x14ac:dyDescent="0.25">
      <c r="A2598" t="s">
        <v>75</v>
      </c>
      <c r="B2598" s="48">
        <v>45013</v>
      </c>
      <c r="C2598" t="s">
        <v>47</v>
      </c>
      <c r="D2598" t="str">
        <f>IF(COUNTIFS(Verweise!$A$2:$A$4542,Übersicht!$C$7,Verweise!$B$2:$B$4542,B2598)=1,"Feiertag",IF(C2598="Samstag","",IF(C2598="Sonntag","",Übersicht!$C$8)))</f>
        <v>Feiertag</v>
      </c>
    </row>
    <row r="2599" spans="1:4" x14ac:dyDescent="0.25">
      <c r="A2599" t="s">
        <v>75</v>
      </c>
      <c r="B2599" s="48">
        <v>45046</v>
      </c>
      <c r="C2599" t="s">
        <v>48</v>
      </c>
      <c r="D2599" t="str">
        <f>IF(COUNTIFS(Verweise!$A$2:$A$4542,Übersicht!$C$7,Verweise!$B$2:$B$4542,B2599)=1,"Feiertag",IF(C2599="Samstag","",IF(C2599="Sonntag","",Übersicht!$C$8)))</f>
        <v>Feiertag</v>
      </c>
    </row>
    <row r="2600" spans="1:4" x14ac:dyDescent="0.25">
      <c r="A2600" t="s">
        <v>75</v>
      </c>
      <c r="B2600" s="48">
        <v>45051</v>
      </c>
      <c r="C2600" t="s">
        <v>49</v>
      </c>
      <c r="D2600" t="str">
        <f>IF(COUNTIFS(Verweise!$A$2:$A$4542,Übersicht!$C$7,Verweise!$B$2:$B$4542,B2600)=1,"Feiertag",IF(C2600="Samstag","",IF(C2600="Sonntag","",Übersicht!$C$8)))</f>
        <v>Feiertag</v>
      </c>
    </row>
    <row r="2601" spans="1:4" x14ac:dyDescent="0.25">
      <c r="A2601" t="s">
        <v>75</v>
      </c>
      <c r="B2601" s="48">
        <v>45061</v>
      </c>
      <c r="C2601" t="s">
        <v>50</v>
      </c>
      <c r="D2601" t="str">
        <f>IF(COUNTIFS(Verweise!$A$2:$A$4542,Übersicht!$C$7,Verweise!$B$2:$B$4542,B2601)=1,"Feiertag",IF(C2601="Samstag","",IF(C2601="Sonntag","",Übersicht!$C$8)))</f>
        <v>Feiertag</v>
      </c>
    </row>
    <row r="2602" spans="1:4" x14ac:dyDescent="0.25">
      <c r="A2602" t="s">
        <v>75</v>
      </c>
      <c r="B2602" s="48">
        <v>45062</v>
      </c>
      <c r="C2602" t="s">
        <v>51</v>
      </c>
      <c r="D2602" t="str">
        <f>IF(COUNTIFS(Verweise!$A$2:$A$4542,Übersicht!$C$7,Verweise!$B$2:$B$4542,B2602)=1,"Feiertag",IF(C2602="Samstag","",IF(C2602="Sonntag","",Übersicht!$C$8)))</f>
        <v>Feiertag</v>
      </c>
    </row>
    <row r="2603" spans="1:4" x14ac:dyDescent="0.25">
      <c r="A2603" t="s">
        <v>75</v>
      </c>
      <c r="B2603" s="48">
        <v>45201</v>
      </c>
      <c r="C2603" t="s">
        <v>53</v>
      </c>
      <c r="D2603" t="str">
        <f>IF(COUNTIFS(Verweise!$A$2:$A$4542,Übersicht!$C$7,Verweise!$B$2:$B$4542,B2603)=1,"Feiertag",IF(C2603="Samstag","",IF(C2603="Sonntag","",Übersicht!$C$8)))</f>
        <v>Feiertag</v>
      </c>
    </row>
    <row r="2604" spans="1:4" x14ac:dyDescent="0.25">
      <c r="A2604" t="s">
        <v>75</v>
      </c>
      <c r="B2604" s="48">
        <v>45284</v>
      </c>
      <c r="C2604" t="s">
        <v>55</v>
      </c>
      <c r="D2604" t="str">
        <f>IF(COUNTIFS(Verweise!$A$2:$A$4542,Übersicht!$C$7,Verweise!$B$2:$B$4542,B2604)=1,"Feiertag",IF(C2604="Samstag","",IF(C2604="Sonntag","",Übersicht!$C$8)))</f>
        <v>Feiertag</v>
      </c>
    </row>
    <row r="2605" spans="1:4" x14ac:dyDescent="0.25">
      <c r="A2605" t="s">
        <v>75</v>
      </c>
      <c r="B2605" s="48">
        <v>45285</v>
      </c>
      <c r="C2605" t="s">
        <v>56</v>
      </c>
      <c r="D2605" t="str">
        <f>IF(COUNTIFS(Verweise!$A$2:$A$4542,Übersicht!$C$7,Verweise!$B$2:$B$4542,B2605)=1,"Feiertag",IF(C2605="Samstag","",IF(C2605="Sonntag","",Übersicht!$C$8)))</f>
        <v>Feiertag</v>
      </c>
    </row>
    <row r="2606" spans="1:4" x14ac:dyDescent="0.25">
      <c r="A2606" t="s">
        <v>76</v>
      </c>
      <c r="B2606" s="48">
        <v>44926</v>
      </c>
      <c r="C2606" t="s">
        <v>43</v>
      </c>
      <c r="D2606" t="str">
        <f>IF(COUNTIFS(Verweise!$A$2:$A$4542,Übersicht!$C$7,Verweise!$B$2:$B$4542,B2606)=1,"Feiertag",IF(C2606="Samstag","",IF(C2606="Sonntag","",Übersicht!$C$8)))</f>
        <v>Feiertag</v>
      </c>
    </row>
    <row r="2607" spans="1:4" x14ac:dyDescent="0.25">
      <c r="A2607" t="s">
        <v>76</v>
      </c>
      <c r="B2607" s="48">
        <v>45010</v>
      </c>
      <c r="C2607" t="s">
        <v>45</v>
      </c>
      <c r="D2607" t="str">
        <f>IF(COUNTIFS(Verweise!$A$2:$A$4542,Übersicht!$C$7,Verweise!$B$2:$B$4542,B2607)=1,"Feiertag",IF(C2607="Samstag","",IF(C2607="Sonntag","",Übersicht!$C$8)))</f>
        <v>Feiertag</v>
      </c>
    </row>
    <row r="2608" spans="1:4" x14ac:dyDescent="0.25">
      <c r="A2608" t="s">
        <v>76</v>
      </c>
      <c r="B2608" s="48">
        <v>45012</v>
      </c>
      <c r="C2608" t="s">
        <v>46</v>
      </c>
      <c r="D2608" t="str">
        <f>IF(COUNTIFS(Verweise!$A$2:$A$4542,Übersicht!$C$7,Verweise!$B$2:$B$4542,B2608)=1,"Feiertag",IF(C2608="Samstag","",IF(C2608="Sonntag","",Übersicht!$C$8)))</f>
        <v>Feiertag</v>
      </c>
    </row>
    <row r="2609" spans="1:4" x14ac:dyDescent="0.25">
      <c r="A2609" t="s">
        <v>76</v>
      </c>
      <c r="B2609" s="48">
        <v>45013</v>
      </c>
      <c r="C2609" t="s">
        <v>47</v>
      </c>
      <c r="D2609" t="str">
        <f>IF(COUNTIFS(Verweise!$A$2:$A$4542,Übersicht!$C$7,Verweise!$B$2:$B$4542,B2609)=1,"Feiertag",IF(C2609="Samstag","",IF(C2609="Sonntag","",Übersicht!$C$8)))</f>
        <v>Feiertag</v>
      </c>
    </row>
    <row r="2610" spans="1:4" x14ac:dyDescent="0.25">
      <c r="A2610" t="s">
        <v>76</v>
      </c>
      <c r="B2610" s="48">
        <v>45046</v>
      </c>
      <c r="C2610" t="s">
        <v>48</v>
      </c>
      <c r="D2610" t="str">
        <f>IF(COUNTIFS(Verweise!$A$2:$A$4542,Übersicht!$C$7,Verweise!$B$2:$B$4542,B2610)=1,"Feiertag",IF(C2610="Samstag","",IF(C2610="Sonntag","",Übersicht!$C$8)))</f>
        <v>Feiertag</v>
      </c>
    </row>
    <row r="2611" spans="1:4" x14ac:dyDescent="0.25">
      <c r="A2611" t="s">
        <v>76</v>
      </c>
      <c r="B2611" s="48">
        <v>45051</v>
      </c>
      <c r="C2611" t="s">
        <v>49</v>
      </c>
      <c r="D2611" t="str">
        <f>IF(COUNTIFS(Verweise!$A$2:$A$4542,Übersicht!$C$7,Verweise!$B$2:$B$4542,B2611)=1,"Feiertag",IF(C2611="Samstag","",IF(C2611="Sonntag","",Übersicht!$C$8)))</f>
        <v>Feiertag</v>
      </c>
    </row>
    <row r="2612" spans="1:4" x14ac:dyDescent="0.25">
      <c r="A2612" t="s">
        <v>76</v>
      </c>
      <c r="B2612" s="48">
        <v>45061</v>
      </c>
      <c r="C2612" t="s">
        <v>50</v>
      </c>
      <c r="D2612" t="str">
        <f>IF(COUNTIFS(Verweise!$A$2:$A$4542,Übersicht!$C$7,Verweise!$B$2:$B$4542,B2612)=1,"Feiertag",IF(C2612="Samstag","",IF(C2612="Sonntag","",Übersicht!$C$8)))</f>
        <v>Feiertag</v>
      </c>
    </row>
    <row r="2613" spans="1:4" x14ac:dyDescent="0.25">
      <c r="A2613" t="s">
        <v>76</v>
      </c>
      <c r="B2613" s="48">
        <v>45062</v>
      </c>
      <c r="C2613" t="s">
        <v>51</v>
      </c>
      <c r="D2613" t="str">
        <f>IF(COUNTIFS(Verweise!$A$2:$A$4542,Übersicht!$C$7,Verweise!$B$2:$B$4542,B2613)=1,"Feiertag",IF(C2613="Samstag","",IF(C2613="Sonntag","",Übersicht!$C$8)))</f>
        <v>Feiertag</v>
      </c>
    </row>
    <row r="2614" spans="1:4" x14ac:dyDescent="0.25">
      <c r="A2614" t="s">
        <v>76</v>
      </c>
      <c r="B2614" s="48">
        <v>45201</v>
      </c>
      <c r="C2614" t="s">
        <v>53</v>
      </c>
      <c r="D2614" t="str">
        <f>IF(COUNTIFS(Verweise!$A$2:$A$4542,Übersicht!$C$7,Verweise!$B$2:$B$4542,B2614)=1,"Feiertag",IF(C2614="Samstag","",IF(C2614="Sonntag","",Übersicht!$C$8)))</f>
        <v>Feiertag</v>
      </c>
    </row>
    <row r="2615" spans="1:4" x14ac:dyDescent="0.25">
      <c r="A2615" t="s">
        <v>76</v>
      </c>
      <c r="B2615" s="48">
        <v>45229</v>
      </c>
      <c r="C2615" t="s">
        <v>62</v>
      </c>
      <c r="D2615" t="str">
        <f>IF(COUNTIFS(Verweise!$A$2:$A$4542,Übersicht!$C$7,Verweise!$B$2:$B$4542,B2615)=1,"Feiertag",IF(C2615="Samstag","",IF(C2615="Sonntag","",Übersicht!$C$8)))</f>
        <v>Büro</v>
      </c>
    </row>
    <row r="2616" spans="1:4" x14ac:dyDescent="0.25">
      <c r="A2616" t="s">
        <v>76</v>
      </c>
      <c r="B2616" s="48">
        <v>45284</v>
      </c>
      <c r="C2616" t="s">
        <v>55</v>
      </c>
      <c r="D2616" t="str">
        <f>IF(COUNTIFS(Verweise!$A$2:$A$4542,Übersicht!$C$7,Verweise!$B$2:$B$4542,B2616)=1,"Feiertag",IF(C2616="Samstag","",IF(C2616="Sonntag","",Übersicht!$C$8)))</f>
        <v>Feiertag</v>
      </c>
    </row>
    <row r="2617" spans="1:4" x14ac:dyDescent="0.25">
      <c r="A2617" t="s">
        <v>76</v>
      </c>
      <c r="B2617" s="48">
        <v>45285</v>
      </c>
      <c r="C2617" t="s">
        <v>56</v>
      </c>
      <c r="D2617" t="str">
        <f>IF(COUNTIFS(Verweise!$A$2:$A$4542,Übersicht!$C$7,Verweise!$B$2:$B$4542,B2617)=1,"Feiertag",IF(C2617="Samstag","",IF(C2617="Sonntag","",Übersicht!$C$8)))</f>
        <v>Feiertag</v>
      </c>
    </row>
    <row r="2618" spans="1:4" x14ac:dyDescent="0.25">
      <c r="A2618" t="s">
        <v>77</v>
      </c>
      <c r="B2618" s="48">
        <v>44926</v>
      </c>
      <c r="C2618" t="s">
        <v>43</v>
      </c>
      <c r="D2618" t="str">
        <f>IF(COUNTIFS(Verweise!$A$2:$A$4542,Übersicht!$C$7,Verweise!$B$2:$B$4542,B2618)=1,"Feiertag",IF(C2618="Samstag","",IF(C2618="Sonntag","",Übersicht!$C$8)))</f>
        <v>Feiertag</v>
      </c>
    </row>
    <row r="2619" spans="1:4" x14ac:dyDescent="0.25">
      <c r="A2619" t="s">
        <v>77</v>
      </c>
      <c r="B2619" s="48">
        <v>45010</v>
      </c>
      <c r="C2619" t="s">
        <v>45</v>
      </c>
      <c r="D2619" t="str">
        <f>IF(COUNTIFS(Verweise!$A$2:$A$4542,Übersicht!$C$7,Verweise!$B$2:$B$4542,B2619)=1,"Feiertag",IF(C2619="Samstag","",IF(C2619="Sonntag","",Übersicht!$C$8)))</f>
        <v>Feiertag</v>
      </c>
    </row>
    <row r="2620" spans="1:4" x14ac:dyDescent="0.25">
      <c r="A2620" t="s">
        <v>77</v>
      </c>
      <c r="B2620" s="48">
        <v>45012</v>
      </c>
      <c r="C2620" t="s">
        <v>46</v>
      </c>
      <c r="D2620" t="str">
        <f>IF(COUNTIFS(Verweise!$A$2:$A$4542,Übersicht!$C$7,Verweise!$B$2:$B$4542,B2620)=1,"Feiertag",IF(C2620="Samstag","",IF(C2620="Sonntag","",Übersicht!$C$8)))</f>
        <v>Feiertag</v>
      </c>
    </row>
    <row r="2621" spans="1:4" x14ac:dyDescent="0.25">
      <c r="A2621" t="s">
        <v>77</v>
      </c>
      <c r="B2621" s="48">
        <v>45013</v>
      </c>
      <c r="C2621" t="s">
        <v>47</v>
      </c>
      <c r="D2621" t="str">
        <f>IF(COUNTIFS(Verweise!$A$2:$A$4542,Übersicht!$C$7,Verweise!$B$2:$B$4542,B2621)=1,"Feiertag",IF(C2621="Samstag","",IF(C2621="Sonntag","",Übersicht!$C$8)))</f>
        <v>Feiertag</v>
      </c>
    </row>
    <row r="2622" spans="1:4" x14ac:dyDescent="0.25">
      <c r="A2622" t="s">
        <v>77</v>
      </c>
      <c r="B2622" s="48">
        <v>45046</v>
      </c>
      <c r="C2622" t="s">
        <v>48</v>
      </c>
      <c r="D2622" t="str">
        <f>IF(COUNTIFS(Verweise!$A$2:$A$4542,Übersicht!$C$7,Verweise!$B$2:$B$4542,B2622)=1,"Feiertag",IF(C2622="Samstag","",IF(C2622="Sonntag","",Übersicht!$C$8)))</f>
        <v>Feiertag</v>
      </c>
    </row>
    <row r="2623" spans="1:4" x14ac:dyDescent="0.25">
      <c r="A2623" t="s">
        <v>77</v>
      </c>
      <c r="B2623" s="48">
        <v>45051</v>
      </c>
      <c r="C2623" t="s">
        <v>49</v>
      </c>
      <c r="D2623" t="str">
        <f>IF(COUNTIFS(Verweise!$A$2:$A$4542,Übersicht!$C$7,Verweise!$B$2:$B$4542,B2623)=1,"Feiertag",IF(C2623="Samstag","",IF(C2623="Sonntag","",Übersicht!$C$8)))</f>
        <v>Feiertag</v>
      </c>
    </row>
    <row r="2624" spans="1:4" x14ac:dyDescent="0.25">
      <c r="A2624" t="s">
        <v>77</v>
      </c>
      <c r="B2624" s="48">
        <v>45061</v>
      </c>
      <c r="C2624" t="s">
        <v>50</v>
      </c>
      <c r="D2624" t="str">
        <f>IF(COUNTIFS(Verweise!$A$2:$A$4542,Übersicht!$C$7,Verweise!$B$2:$B$4542,B2624)=1,"Feiertag",IF(C2624="Samstag","",IF(C2624="Sonntag","",Übersicht!$C$8)))</f>
        <v>Feiertag</v>
      </c>
    </row>
    <row r="2625" spans="1:4" x14ac:dyDescent="0.25">
      <c r="A2625" t="s">
        <v>77</v>
      </c>
      <c r="B2625" s="48">
        <v>45062</v>
      </c>
      <c r="C2625" t="s">
        <v>51</v>
      </c>
      <c r="D2625" t="str">
        <f>IF(COUNTIFS(Verweise!$A$2:$A$4542,Übersicht!$C$7,Verweise!$B$2:$B$4542,B2625)=1,"Feiertag",IF(C2625="Samstag","",IF(C2625="Sonntag","",Übersicht!$C$8)))</f>
        <v>Feiertag</v>
      </c>
    </row>
    <row r="2626" spans="1:4" x14ac:dyDescent="0.25">
      <c r="A2626" t="s">
        <v>77</v>
      </c>
      <c r="B2626" s="48">
        <v>45072</v>
      </c>
      <c r="C2626" t="s">
        <v>52</v>
      </c>
      <c r="D2626" t="str">
        <f>IF(COUNTIFS(Verweise!$A$2:$A$4542,Übersicht!$C$7,Verweise!$B$2:$B$4542,B2626)=1,"Feiertag",IF(C2626="Samstag","",IF(C2626="Sonntag","",Übersicht!$C$8)))</f>
        <v>Feiertag</v>
      </c>
    </row>
    <row r="2627" spans="1:4" x14ac:dyDescent="0.25">
      <c r="A2627" t="s">
        <v>77</v>
      </c>
      <c r="B2627" s="48">
        <v>45201</v>
      </c>
      <c r="C2627" t="s">
        <v>53</v>
      </c>
      <c r="D2627" t="str">
        <f>IF(COUNTIFS(Verweise!$A$2:$A$4542,Übersicht!$C$7,Verweise!$B$2:$B$4542,B2627)=1,"Feiertag",IF(C2627="Samstag","",IF(C2627="Sonntag","",Übersicht!$C$8)))</f>
        <v>Feiertag</v>
      </c>
    </row>
    <row r="2628" spans="1:4" x14ac:dyDescent="0.25">
      <c r="A2628" t="s">
        <v>77</v>
      </c>
      <c r="B2628" s="48">
        <v>45229</v>
      </c>
      <c r="C2628" t="s">
        <v>62</v>
      </c>
      <c r="D2628" t="str">
        <f>IF(COUNTIFS(Verweise!$A$2:$A$4542,Übersicht!$C$7,Verweise!$B$2:$B$4542,B2628)=1,"Feiertag",IF(C2628="Samstag","",IF(C2628="Sonntag","",Übersicht!$C$8)))</f>
        <v>Büro</v>
      </c>
    </row>
    <row r="2629" spans="1:4" x14ac:dyDescent="0.25">
      <c r="A2629" t="s">
        <v>77</v>
      </c>
      <c r="B2629" s="48">
        <v>45284</v>
      </c>
      <c r="C2629" t="s">
        <v>55</v>
      </c>
      <c r="D2629" t="str">
        <f>IF(COUNTIFS(Verweise!$A$2:$A$4542,Übersicht!$C$7,Verweise!$B$2:$B$4542,B2629)=1,"Feiertag",IF(C2629="Samstag","",IF(C2629="Sonntag","",Übersicht!$C$8)))</f>
        <v>Feiertag</v>
      </c>
    </row>
    <row r="2630" spans="1:4" x14ac:dyDescent="0.25">
      <c r="A2630" t="s">
        <v>77</v>
      </c>
      <c r="B2630" s="48">
        <v>45285</v>
      </c>
      <c r="C2630" t="s">
        <v>56</v>
      </c>
      <c r="D2630" t="str">
        <f>IF(COUNTIFS(Verweise!$A$2:$A$4542,Übersicht!$C$7,Verweise!$B$2:$B$4542,B2630)=1,"Feiertag",IF(C2630="Samstag","",IF(C2630="Sonntag","",Übersicht!$C$8)))</f>
        <v>Feiertag</v>
      </c>
    </row>
    <row r="2631" spans="1:4" x14ac:dyDescent="0.25">
      <c r="A2631" t="s">
        <v>42</v>
      </c>
      <c r="B2631" s="48">
        <v>45291</v>
      </c>
      <c r="C2631" t="s">
        <v>43</v>
      </c>
      <c r="D2631" t="str">
        <f>IF(COUNTIFS(Verweise!$A$2:$A$4542,Übersicht!$C$7,Verweise!$B$2:$B$4542,B2631)=1,"Feiertag",IF(C2631="Samstag","",IF(C2631="Sonntag","",Übersicht!$C$8)))</f>
        <v>Feiertag</v>
      </c>
    </row>
    <row r="2632" spans="1:4" x14ac:dyDescent="0.25">
      <c r="A2632" t="s">
        <v>42</v>
      </c>
      <c r="B2632" s="48">
        <v>45296</v>
      </c>
      <c r="C2632" t="s">
        <v>44</v>
      </c>
      <c r="D2632" t="str">
        <f>IF(COUNTIFS(Verweise!$A$2:$A$4542,Übersicht!$C$7,Verweise!$B$2:$B$4542,B2632)=1,"Feiertag",IF(C2632="Samstag","",IF(C2632="Sonntag","",Übersicht!$C$8)))</f>
        <v>Büro</v>
      </c>
    </row>
    <row r="2633" spans="1:4" x14ac:dyDescent="0.25">
      <c r="A2633" t="s">
        <v>42</v>
      </c>
      <c r="B2633" s="48">
        <v>45395</v>
      </c>
      <c r="C2633" t="s">
        <v>45</v>
      </c>
      <c r="D2633" t="str">
        <f>IF(COUNTIFS(Verweise!$A$2:$A$4542,Übersicht!$C$7,Verweise!$B$2:$B$4542,B2633)=1,"Feiertag",IF(C2633="Samstag","",IF(C2633="Sonntag","",Übersicht!$C$8)))</f>
        <v>Feiertag</v>
      </c>
    </row>
    <row r="2634" spans="1:4" x14ac:dyDescent="0.25">
      <c r="A2634" t="s">
        <v>42</v>
      </c>
      <c r="B2634" s="48">
        <v>45397</v>
      </c>
      <c r="C2634" t="s">
        <v>46</v>
      </c>
      <c r="D2634" t="str">
        <f>IF(COUNTIFS(Verweise!$A$2:$A$4542,Übersicht!$C$7,Verweise!$B$2:$B$4542,B2634)=1,"Feiertag",IF(C2634="Samstag","",IF(C2634="Sonntag","",Übersicht!$C$8)))</f>
        <v>Feiertag</v>
      </c>
    </row>
    <row r="2635" spans="1:4" x14ac:dyDescent="0.25">
      <c r="A2635" t="s">
        <v>42</v>
      </c>
      <c r="B2635" s="48">
        <v>45398</v>
      </c>
      <c r="C2635" t="s">
        <v>47</v>
      </c>
      <c r="D2635" t="str">
        <f>IF(COUNTIFS(Verweise!$A$2:$A$4542,Übersicht!$C$7,Verweise!$B$2:$B$4542,B2635)=1,"Feiertag",IF(C2635="Samstag","",IF(C2635="Sonntag","",Übersicht!$C$8)))</f>
        <v>Feiertag</v>
      </c>
    </row>
    <row r="2636" spans="1:4" x14ac:dyDescent="0.25">
      <c r="A2636" t="s">
        <v>42</v>
      </c>
      <c r="B2636" s="48">
        <v>45412</v>
      </c>
      <c r="C2636" t="s">
        <v>48</v>
      </c>
      <c r="D2636" t="str">
        <f>IF(COUNTIFS(Verweise!$A$2:$A$4542,Übersicht!$C$7,Verweise!$B$2:$B$4542,B2636)=1,"Feiertag",IF(C2636="Samstag","",IF(C2636="Sonntag","",Übersicht!$C$8)))</f>
        <v>Feiertag</v>
      </c>
    </row>
    <row r="2637" spans="1:4" x14ac:dyDescent="0.25">
      <c r="A2637" t="s">
        <v>42</v>
      </c>
      <c r="B2637" s="48">
        <v>45436</v>
      </c>
      <c r="C2637" t="s">
        <v>49</v>
      </c>
      <c r="D2637" t="str">
        <f>IF(COUNTIFS(Verweise!$A$2:$A$4542,Übersicht!$C$7,Verweise!$B$2:$B$4542,B2637)=1,"Feiertag",IF(C2637="Samstag","",IF(C2637="Sonntag","",Übersicht!$C$8)))</f>
        <v>Feiertag</v>
      </c>
    </row>
    <row r="2638" spans="1:4" x14ac:dyDescent="0.25">
      <c r="A2638" t="s">
        <v>42</v>
      </c>
      <c r="B2638" s="48">
        <v>45446</v>
      </c>
      <c r="C2638" t="s">
        <v>50</v>
      </c>
      <c r="D2638" t="str">
        <f>IF(COUNTIFS(Verweise!$A$2:$A$4542,Übersicht!$C$7,Verweise!$B$2:$B$4542,B2638)=1,"Feiertag",IF(C2638="Samstag","",IF(C2638="Sonntag","",Übersicht!$C$8)))</f>
        <v>Feiertag</v>
      </c>
    </row>
    <row r="2639" spans="1:4" x14ac:dyDescent="0.25">
      <c r="A2639" t="s">
        <v>42</v>
      </c>
      <c r="B2639" s="48">
        <v>45447</v>
      </c>
      <c r="C2639" t="s">
        <v>51</v>
      </c>
      <c r="D2639" t="str">
        <f>IF(COUNTIFS(Verweise!$A$2:$A$4542,Übersicht!$C$7,Verweise!$B$2:$B$4542,B2639)=1,"Feiertag",IF(C2639="Samstag","",IF(C2639="Sonntag","",Übersicht!$C$8)))</f>
        <v>Feiertag</v>
      </c>
    </row>
    <row r="2640" spans="1:4" x14ac:dyDescent="0.25">
      <c r="A2640" t="s">
        <v>42</v>
      </c>
      <c r="B2640" s="48">
        <v>45457</v>
      </c>
      <c r="C2640" t="s">
        <v>52</v>
      </c>
      <c r="D2640" t="str">
        <f>IF(COUNTIFS(Verweise!$A$2:$A$4542,Übersicht!$C$7,Verweise!$B$2:$B$4542,B2640)=1,"Feiertag",IF(C2640="Samstag","",IF(C2640="Sonntag","",Übersicht!$C$8)))</f>
        <v>Feiertag</v>
      </c>
    </row>
    <row r="2641" spans="1:4" x14ac:dyDescent="0.25">
      <c r="A2641" t="s">
        <v>42</v>
      </c>
      <c r="B2641" s="48">
        <v>45567</v>
      </c>
      <c r="C2641" t="s">
        <v>53</v>
      </c>
      <c r="D2641" t="str">
        <f>IF(COUNTIFS(Verweise!$A$2:$A$4542,Übersicht!$C$7,Verweise!$B$2:$B$4542,B2641)=1,"Feiertag",IF(C2641="Samstag","",IF(C2641="Sonntag","",Übersicht!$C$8)))</f>
        <v>Feiertag</v>
      </c>
    </row>
    <row r="2642" spans="1:4" x14ac:dyDescent="0.25">
      <c r="A2642" t="s">
        <v>42</v>
      </c>
      <c r="B2642" s="48">
        <v>45596</v>
      </c>
      <c r="C2642" t="s">
        <v>54</v>
      </c>
      <c r="D2642" t="str">
        <f>IF(COUNTIFS(Verweise!$A$2:$A$4542,Übersicht!$C$7,Verweise!$B$2:$B$4542,B2642)=1,"Feiertag",IF(C2642="Samstag","",IF(C2642="Sonntag","",Übersicht!$C$8)))</f>
        <v>Feiertag</v>
      </c>
    </row>
    <row r="2643" spans="1:4" x14ac:dyDescent="0.25">
      <c r="A2643" t="s">
        <v>42</v>
      </c>
      <c r="B2643" s="48">
        <v>45650</v>
      </c>
      <c r="C2643" t="s">
        <v>55</v>
      </c>
      <c r="D2643" t="str">
        <f>IF(COUNTIFS(Verweise!$A$2:$A$4542,Übersicht!$C$7,Verweise!$B$2:$B$4542,B2643)=1,"Feiertag",IF(C2643="Samstag","",IF(C2643="Sonntag","",Übersicht!$C$8)))</f>
        <v>Feiertag</v>
      </c>
    </row>
    <row r="2644" spans="1:4" x14ac:dyDescent="0.25">
      <c r="A2644" t="s">
        <v>42</v>
      </c>
      <c r="B2644" s="48">
        <v>45651</v>
      </c>
      <c r="C2644" t="s">
        <v>56</v>
      </c>
      <c r="D2644" t="str">
        <f>IF(COUNTIFS(Verweise!$A$2:$A$4542,Übersicht!$C$7,Verweise!$B$2:$B$4542,B2644)=1,"Feiertag",IF(C2644="Samstag","",IF(C2644="Sonntag","",Übersicht!$C$8)))</f>
        <v>Feiertag</v>
      </c>
    </row>
    <row r="2645" spans="1:4" x14ac:dyDescent="0.25">
      <c r="A2645" t="s">
        <v>57</v>
      </c>
      <c r="B2645" s="48">
        <v>45291</v>
      </c>
      <c r="C2645" t="s">
        <v>43</v>
      </c>
      <c r="D2645" t="str">
        <f>IF(COUNTIFS(Verweise!$A$2:$A$4542,Übersicht!$C$7,Verweise!$B$2:$B$4542,B2645)=1,"Feiertag",IF(C2645="Samstag","",IF(C2645="Sonntag","",Übersicht!$C$8)))</f>
        <v>Feiertag</v>
      </c>
    </row>
    <row r="2646" spans="1:4" x14ac:dyDescent="0.25">
      <c r="A2646" t="s">
        <v>57</v>
      </c>
      <c r="B2646" s="48">
        <v>45296</v>
      </c>
      <c r="C2646" t="s">
        <v>44</v>
      </c>
      <c r="D2646" t="str">
        <f>IF(COUNTIFS(Verweise!$A$2:$A$4542,Übersicht!$C$7,Verweise!$B$2:$B$4542,B2646)=1,"Feiertag",IF(C2646="Samstag","",IF(C2646="Sonntag","",Übersicht!$C$8)))</f>
        <v>Büro</v>
      </c>
    </row>
    <row r="2647" spans="1:4" x14ac:dyDescent="0.25">
      <c r="A2647" t="s">
        <v>57</v>
      </c>
      <c r="B2647" s="48">
        <v>45395</v>
      </c>
      <c r="C2647" t="s">
        <v>45</v>
      </c>
      <c r="D2647" t="str">
        <f>IF(COUNTIFS(Verweise!$A$2:$A$4542,Übersicht!$C$7,Verweise!$B$2:$B$4542,B2647)=1,"Feiertag",IF(C2647="Samstag","",IF(C2647="Sonntag","",Übersicht!$C$8)))</f>
        <v>Feiertag</v>
      </c>
    </row>
    <row r="2648" spans="1:4" x14ac:dyDescent="0.25">
      <c r="A2648" t="s">
        <v>57</v>
      </c>
      <c r="B2648" s="48">
        <v>45397</v>
      </c>
      <c r="C2648" t="s">
        <v>46</v>
      </c>
      <c r="D2648" t="str">
        <f>IF(COUNTIFS(Verweise!$A$2:$A$4542,Übersicht!$C$7,Verweise!$B$2:$B$4542,B2648)=1,"Feiertag",IF(C2648="Samstag","",IF(C2648="Sonntag","",Übersicht!$C$8)))</f>
        <v>Feiertag</v>
      </c>
    </row>
    <row r="2649" spans="1:4" x14ac:dyDescent="0.25">
      <c r="A2649" t="s">
        <v>57</v>
      </c>
      <c r="B2649" s="48">
        <v>45398</v>
      </c>
      <c r="C2649" t="s">
        <v>47</v>
      </c>
      <c r="D2649" t="str">
        <f>IF(COUNTIFS(Verweise!$A$2:$A$4542,Übersicht!$C$7,Verweise!$B$2:$B$4542,B2649)=1,"Feiertag",IF(C2649="Samstag","",IF(C2649="Sonntag","",Übersicht!$C$8)))</f>
        <v>Feiertag</v>
      </c>
    </row>
    <row r="2650" spans="1:4" x14ac:dyDescent="0.25">
      <c r="A2650" t="s">
        <v>57</v>
      </c>
      <c r="B2650" s="48">
        <v>45412</v>
      </c>
      <c r="C2650" t="s">
        <v>48</v>
      </c>
      <c r="D2650" t="str">
        <f>IF(COUNTIFS(Verweise!$A$2:$A$4542,Übersicht!$C$7,Verweise!$B$2:$B$4542,B2650)=1,"Feiertag",IF(C2650="Samstag","",IF(C2650="Sonntag","",Übersicht!$C$8)))</f>
        <v>Feiertag</v>
      </c>
    </row>
    <row r="2651" spans="1:4" x14ac:dyDescent="0.25">
      <c r="A2651" t="s">
        <v>57</v>
      </c>
      <c r="B2651" s="48">
        <v>45436</v>
      </c>
      <c r="C2651" t="s">
        <v>49</v>
      </c>
      <c r="D2651" t="str">
        <f>IF(COUNTIFS(Verweise!$A$2:$A$4542,Übersicht!$C$7,Verweise!$B$2:$B$4542,B2651)=1,"Feiertag",IF(C2651="Samstag","",IF(C2651="Sonntag","",Übersicht!$C$8)))</f>
        <v>Feiertag</v>
      </c>
    </row>
    <row r="2652" spans="1:4" x14ac:dyDescent="0.25">
      <c r="A2652" t="s">
        <v>57</v>
      </c>
      <c r="B2652" s="48">
        <v>45446</v>
      </c>
      <c r="C2652" t="s">
        <v>50</v>
      </c>
      <c r="D2652" t="str">
        <f>IF(COUNTIFS(Verweise!$A$2:$A$4542,Übersicht!$C$7,Verweise!$B$2:$B$4542,B2652)=1,"Feiertag",IF(C2652="Samstag","",IF(C2652="Sonntag","",Übersicht!$C$8)))</f>
        <v>Feiertag</v>
      </c>
    </row>
    <row r="2653" spans="1:4" x14ac:dyDescent="0.25">
      <c r="A2653" t="s">
        <v>57</v>
      </c>
      <c r="B2653" s="48">
        <v>45447</v>
      </c>
      <c r="C2653" t="s">
        <v>51</v>
      </c>
      <c r="D2653" t="str">
        <f>IF(COUNTIFS(Verweise!$A$2:$A$4542,Übersicht!$C$7,Verweise!$B$2:$B$4542,B2653)=1,"Feiertag",IF(C2653="Samstag","",IF(C2653="Sonntag","",Übersicht!$C$8)))</f>
        <v>Feiertag</v>
      </c>
    </row>
    <row r="2654" spans="1:4" x14ac:dyDescent="0.25">
      <c r="A2654" t="s">
        <v>57</v>
      </c>
      <c r="B2654" s="48">
        <v>45457</v>
      </c>
      <c r="C2654" t="s">
        <v>52</v>
      </c>
      <c r="D2654" t="str">
        <f>IF(COUNTIFS(Verweise!$A$2:$A$4542,Übersicht!$C$7,Verweise!$B$2:$B$4542,B2654)=1,"Feiertag",IF(C2654="Samstag","",IF(C2654="Sonntag","",Übersicht!$C$8)))</f>
        <v>Feiertag</v>
      </c>
    </row>
    <row r="2655" spans="1:4" x14ac:dyDescent="0.25">
      <c r="A2655" t="s">
        <v>57</v>
      </c>
      <c r="B2655" s="48">
        <v>45567</v>
      </c>
      <c r="C2655" t="s">
        <v>53</v>
      </c>
      <c r="D2655" t="str">
        <f>IF(COUNTIFS(Verweise!$A$2:$A$4542,Übersicht!$C$7,Verweise!$B$2:$B$4542,B2655)=1,"Feiertag",IF(C2655="Samstag","",IF(C2655="Sonntag","",Übersicht!$C$8)))</f>
        <v>Feiertag</v>
      </c>
    </row>
    <row r="2656" spans="1:4" x14ac:dyDescent="0.25">
      <c r="A2656" t="s">
        <v>57</v>
      </c>
      <c r="B2656" s="48">
        <v>45596</v>
      </c>
      <c r="C2656" t="s">
        <v>54</v>
      </c>
      <c r="D2656" t="str">
        <f>IF(COUNTIFS(Verweise!$A$2:$A$4542,Übersicht!$C$7,Verweise!$B$2:$B$4542,B2656)=1,"Feiertag",IF(C2656="Samstag","",IF(C2656="Sonntag","",Übersicht!$C$8)))</f>
        <v>Feiertag</v>
      </c>
    </row>
    <row r="2657" spans="1:4" x14ac:dyDescent="0.25">
      <c r="A2657" t="s">
        <v>57</v>
      </c>
      <c r="B2657" s="48">
        <v>45650</v>
      </c>
      <c r="C2657" t="s">
        <v>55</v>
      </c>
      <c r="D2657" t="str">
        <f>IF(COUNTIFS(Verweise!$A$2:$A$4542,Übersicht!$C$7,Verweise!$B$2:$B$4542,B2657)=1,"Feiertag",IF(C2657="Samstag","",IF(C2657="Sonntag","",Übersicht!$C$8)))</f>
        <v>Feiertag</v>
      </c>
    </row>
    <row r="2658" spans="1:4" x14ac:dyDescent="0.25">
      <c r="A2658" t="s">
        <v>57</v>
      </c>
      <c r="B2658" s="48">
        <v>45651</v>
      </c>
      <c r="C2658" t="s">
        <v>56</v>
      </c>
      <c r="D2658" t="str">
        <f>IF(COUNTIFS(Verweise!$A$2:$A$4542,Übersicht!$C$7,Verweise!$B$2:$B$4542,B2658)=1,"Feiertag",IF(C2658="Samstag","",IF(C2658="Sonntag","",Übersicht!$C$8)))</f>
        <v>Feiertag</v>
      </c>
    </row>
    <row r="2659" spans="1:4" x14ac:dyDescent="0.25">
      <c r="A2659" t="s">
        <v>58</v>
      </c>
      <c r="B2659" s="48">
        <v>45291</v>
      </c>
      <c r="C2659" t="s">
        <v>43</v>
      </c>
      <c r="D2659" t="str">
        <f>IF(COUNTIFS(Verweise!$A$2:$A$4542,Übersicht!$C$7,Verweise!$B$2:$B$4542,B2659)=1,"Feiertag",IF(C2659="Samstag","",IF(C2659="Sonntag","",Übersicht!$C$8)))</f>
        <v>Feiertag</v>
      </c>
    </row>
    <row r="2660" spans="1:4" x14ac:dyDescent="0.25">
      <c r="A2660" t="s">
        <v>58</v>
      </c>
      <c r="B2660" s="48">
        <v>45296</v>
      </c>
      <c r="C2660" t="s">
        <v>44</v>
      </c>
      <c r="D2660" t="str">
        <f>IF(COUNTIFS(Verweise!$A$2:$A$4542,Übersicht!$C$7,Verweise!$B$2:$B$4542,B2660)=1,"Feiertag",IF(C2660="Samstag","",IF(C2660="Sonntag","",Übersicht!$C$8)))</f>
        <v>Büro</v>
      </c>
    </row>
    <row r="2661" spans="1:4" x14ac:dyDescent="0.25">
      <c r="A2661" t="s">
        <v>58</v>
      </c>
      <c r="B2661" s="48">
        <v>45395</v>
      </c>
      <c r="C2661" t="s">
        <v>45</v>
      </c>
      <c r="D2661" t="str">
        <f>IF(COUNTIFS(Verweise!$A$2:$A$4542,Übersicht!$C$7,Verweise!$B$2:$B$4542,B2661)=1,"Feiertag",IF(C2661="Samstag","",IF(C2661="Sonntag","",Übersicht!$C$8)))</f>
        <v>Feiertag</v>
      </c>
    </row>
    <row r="2662" spans="1:4" x14ac:dyDescent="0.25">
      <c r="A2662" t="s">
        <v>58</v>
      </c>
      <c r="B2662" s="48">
        <v>45397</v>
      </c>
      <c r="C2662" t="s">
        <v>46</v>
      </c>
      <c r="D2662" t="str">
        <f>IF(COUNTIFS(Verweise!$A$2:$A$4542,Übersicht!$C$7,Verweise!$B$2:$B$4542,B2662)=1,"Feiertag",IF(C2662="Samstag","",IF(C2662="Sonntag","",Übersicht!$C$8)))</f>
        <v>Feiertag</v>
      </c>
    </row>
    <row r="2663" spans="1:4" x14ac:dyDescent="0.25">
      <c r="A2663" t="s">
        <v>58</v>
      </c>
      <c r="B2663" s="48">
        <v>45398</v>
      </c>
      <c r="C2663" t="s">
        <v>47</v>
      </c>
      <c r="D2663" t="str">
        <f>IF(COUNTIFS(Verweise!$A$2:$A$4542,Übersicht!$C$7,Verweise!$B$2:$B$4542,B2663)=1,"Feiertag",IF(C2663="Samstag","",IF(C2663="Sonntag","",Übersicht!$C$8)))</f>
        <v>Feiertag</v>
      </c>
    </row>
    <row r="2664" spans="1:4" x14ac:dyDescent="0.25">
      <c r="A2664" t="s">
        <v>58</v>
      </c>
      <c r="B2664" s="48">
        <v>45412</v>
      </c>
      <c r="C2664" t="s">
        <v>48</v>
      </c>
      <c r="D2664" t="str">
        <f>IF(COUNTIFS(Verweise!$A$2:$A$4542,Übersicht!$C$7,Verweise!$B$2:$B$4542,B2664)=1,"Feiertag",IF(C2664="Samstag","",IF(C2664="Sonntag","",Übersicht!$C$8)))</f>
        <v>Feiertag</v>
      </c>
    </row>
    <row r="2665" spans="1:4" x14ac:dyDescent="0.25">
      <c r="A2665" t="s">
        <v>58</v>
      </c>
      <c r="B2665" s="48">
        <v>45436</v>
      </c>
      <c r="C2665" t="s">
        <v>49</v>
      </c>
      <c r="D2665" t="str">
        <f>IF(COUNTIFS(Verweise!$A$2:$A$4542,Übersicht!$C$7,Verweise!$B$2:$B$4542,B2665)=1,"Feiertag",IF(C2665="Samstag","",IF(C2665="Sonntag","",Übersicht!$C$8)))</f>
        <v>Feiertag</v>
      </c>
    </row>
    <row r="2666" spans="1:4" x14ac:dyDescent="0.25">
      <c r="A2666" t="s">
        <v>58</v>
      </c>
      <c r="B2666" s="48">
        <v>45446</v>
      </c>
      <c r="C2666" t="s">
        <v>50</v>
      </c>
      <c r="D2666" t="str">
        <f>IF(COUNTIFS(Verweise!$A$2:$A$4542,Übersicht!$C$7,Verweise!$B$2:$B$4542,B2666)=1,"Feiertag",IF(C2666="Samstag","",IF(C2666="Sonntag","",Übersicht!$C$8)))</f>
        <v>Feiertag</v>
      </c>
    </row>
    <row r="2667" spans="1:4" x14ac:dyDescent="0.25">
      <c r="A2667" t="s">
        <v>58</v>
      </c>
      <c r="B2667" s="48">
        <v>45447</v>
      </c>
      <c r="C2667" t="s">
        <v>51</v>
      </c>
      <c r="D2667" t="str">
        <f>IF(COUNTIFS(Verweise!$A$2:$A$4542,Übersicht!$C$7,Verweise!$B$2:$B$4542,B2667)=1,"Feiertag",IF(C2667="Samstag","",IF(C2667="Sonntag","",Übersicht!$C$8)))</f>
        <v>Feiertag</v>
      </c>
    </row>
    <row r="2668" spans="1:4" x14ac:dyDescent="0.25">
      <c r="A2668" t="s">
        <v>58</v>
      </c>
      <c r="B2668" s="48">
        <v>45457</v>
      </c>
      <c r="C2668" t="s">
        <v>52</v>
      </c>
      <c r="D2668" t="str">
        <f>IF(COUNTIFS(Verweise!$A$2:$A$4542,Übersicht!$C$7,Verweise!$B$2:$B$4542,B2668)=1,"Feiertag",IF(C2668="Samstag","",IF(C2668="Sonntag","",Übersicht!$C$8)))</f>
        <v>Feiertag</v>
      </c>
    </row>
    <row r="2669" spans="1:4" x14ac:dyDescent="0.25">
      <c r="A2669" t="s">
        <v>58</v>
      </c>
      <c r="B2669" s="48">
        <v>45518</v>
      </c>
      <c r="C2669" t="s">
        <v>59</v>
      </c>
      <c r="D2669" t="str">
        <f>IF(COUNTIFS(Verweise!$A$2:$A$4542,Übersicht!$C$7,Verweise!$B$2:$B$4542,B2669)=1,"Feiertag",IF(C2669="Samstag","",IF(C2669="Sonntag","",Übersicht!$C$8)))</f>
        <v>Büro</v>
      </c>
    </row>
    <row r="2670" spans="1:4" x14ac:dyDescent="0.25">
      <c r="A2670" t="s">
        <v>58</v>
      </c>
      <c r="B2670" s="48">
        <v>45567</v>
      </c>
      <c r="C2670" t="s">
        <v>53</v>
      </c>
      <c r="D2670" t="str">
        <f>IF(COUNTIFS(Verweise!$A$2:$A$4542,Übersicht!$C$7,Verweise!$B$2:$B$4542,B2670)=1,"Feiertag",IF(C2670="Samstag","",IF(C2670="Sonntag","",Übersicht!$C$8)))</f>
        <v>Feiertag</v>
      </c>
    </row>
    <row r="2671" spans="1:4" x14ac:dyDescent="0.25">
      <c r="A2671" t="s">
        <v>58</v>
      </c>
      <c r="B2671" s="48">
        <v>45596</v>
      </c>
      <c r="C2671" t="s">
        <v>54</v>
      </c>
      <c r="D2671" t="str">
        <f>IF(COUNTIFS(Verweise!$A$2:$A$4542,Übersicht!$C$7,Verweise!$B$2:$B$4542,B2671)=1,"Feiertag",IF(C2671="Samstag","",IF(C2671="Sonntag","",Übersicht!$C$8)))</f>
        <v>Feiertag</v>
      </c>
    </row>
    <row r="2672" spans="1:4" x14ac:dyDescent="0.25">
      <c r="A2672" t="s">
        <v>58</v>
      </c>
      <c r="B2672" s="48">
        <v>45650</v>
      </c>
      <c r="C2672" t="s">
        <v>55</v>
      </c>
      <c r="D2672" t="str">
        <f>IF(COUNTIFS(Verweise!$A$2:$A$4542,Übersicht!$C$7,Verweise!$B$2:$B$4542,B2672)=1,"Feiertag",IF(C2672="Samstag","",IF(C2672="Sonntag","",Übersicht!$C$8)))</f>
        <v>Feiertag</v>
      </c>
    </row>
    <row r="2673" spans="1:4" x14ac:dyDescent="0.25">
      <c r="A2673" t="s">
        <v>58</v>
      </c>
      <c r="B2673" s="48">
        <v>45651</v>
      </c>
      <c r="C2673" t="s">
        <v>56</v>
      </c>
      <c r="D2673" t="str">
        <f>IF(COUNTIFS(Verweise!$A$2:$A$4542,Übersicht!$C$7,Verweise!$B$2:$B$4542,B2673)=1,"Feiertag",IF(C2673="Samstag","",IF(C2673="Sonntag","",Übersicht!$C$8)))</f>
        <v>Feiertag</v>
      </c>
    </row>
    <row r="2674" spans="1:4" x14ac:dyDescent="0.25">
      <c r="A2674" t="s">
        <v>60</v>
      </c>
      <c r="B2674" s="48">
        <v>45291</v>
      </c>
      <c r="C2674" t="s">
        <v>43</v>
      </c>
      <c r="D2674" t="str">
        <f>IF(COUNTIFS(Verweise!$A$2:$A$4542,Übersicht!$C$7,Verweise!$B$2:$B$4542,B2674)=1,"Feiertag",IF(C2674="Samstag","",IF(C2674="Sonntag","",Übersicht!$C$8)))</f>
        <v>Feiertag</v>
      </c>
    </row>
    <row r="2675" spans="1:4" x14ac:dyDescent="0.25">
      <c r="A2675" t="s">
        <v>60</v>
      </c>
      <c r="B2675" s="48">
        <v>45395</v>
      </c>
      <c r="C2675" t="s">
        <v>45</v>
      </c>
      <c r="D2675" t="str">
        <f>IF(COUNTIFS(Verweise!$A$2:$A$4542,Übersicht!$C$7,Verweise!$B$2:$B$4542,B2675)=1,"Feiertag",IF(C2675="Samstag","",IF(C2675="Sonntag","",Übersicht!$C$8)))</f>
        <v>Feiertag</v>
      </c>
    </row>
    <row r="2676" spans="1:4" x14ac:dyDescent="0.25">
      <c r="A2676" t="s">
        <v>60</v>
      </c>
      <c r="B2676" s="48">
        <v>45397</v>
      </c>
      <c r="C2676" t="s">
        <v>46</v>
      </c>
      <c r="D2676" t="str">
        <f>IF(COUNTIFS(Verweise!$A$2:$A$4542,Übersicht!$C$7,Verweise!$B$2:$B$4542,B2676)=1,"Feiertag",IF(C2676="Samstag","",IF(C2676="Sonntag","",Übersicht!$C$8)))</f>
        <v>Feiertag</v>
      </c>
    </row>
    <row r="2677" spans="1:4" x14ac:dyDescent="0.25">
      <c r="A2677" t="s">
        <v>60</v>
      </c>
      <c r="B2677" s="48">
        <v>45398</v>
      </c>
      <c r="C2677" t="s">
        <v>47</v>
      </c>
      <c r="D2677" t="str">
        <f>IF(COUNTIFS(Verweise!$A$2:$A$4542,Übersicht!$C$7,Verweise!$B$2:$B$4542,B2677)=1,"Feiertag",IF(C2677="Samstag","",IF(C2677="Sonntag","",Übersicht!$C$8)))</f>
        <v>Feiertag</v>
      </c>
    </row>
    <row r="2678" spans="1:4" x14ac:dyDescent="0.25">
      <c r="A2678" t="s">
        <v>60</v>
      </c>
      <c r="B2678" s="48">
        <v>45412</v>
      </c>
      <c r="C2678" t="s">
        <v>48</v>
      </c>
      <c r="D2678" t="str">
        <f>IF(COUNTIFS(Verweise!$A$2:$A$4542,Übersicht!$C$7,Verweise!$B$2:$B$4542,B2678)=1,"Feiertag",IF(C2678="Samstag","",IF(C2678="Sonntag","",Übersicht!$C$8)))</f>
        <v>Feiertag</v>
      </c>
    </row>
    <row r="2679" spans="1:4" x14ac:dyDescent="0.25">
      <c r="A2679" t="s">
        <v>60</v>
      </c>
      <c r="B2679" s="48">
        <v>45436</v>
      </c>
      <c r="C2679" t="s">
        <v>49</v>
      </c>
      <c r="D2679" t="str">
        <f>IF(COUNTIFS(Verweise!$A$2:$A$4542,Übersicht!$C$7,Verweise!$B$2:$B$4542,B2679)=1,"Feiertag",IF(C2679="Samstag","",IF(C2679="Sonntag","",Übersicht!$C$8)))</f>
        <v>Feiertag</v>
      </c>
    </row>
    <row r="2680" spans="1:4" x14ac:dyDescent="0.25">
      <c r="A2680" t="s">
        <v>60</v>
      </c>
      <c r="B2680" s="48">
        <v>45446</v>
      </c>
      <c r="C2680" t="s">
        <v>50</v>
      </c>
      <c r="D2680" t="str">
        <f>IF(COUNTIFS(Verweise!$A$2:$A$4542,Übersicht!$C$7,Verweise!$B$2:$B$4542,B2680)=1,"Feiertag",IF(C2680="Samstag","",IF(C2680="Sonntag","",Übersicht!$C$8)))</f>
        <v>Feiertag</v>
      </c>
    </row>
    <row r="2681" spans="1:4" x14ac:dyDescent="0.25">
      <c r="A2681" t="s">
        <v>60</v>
      </c>
      <c r="B2681" s="48">
        <v>45447</v>
      </c>
      <c r="C2681" t="s">
        <v>51</v>
      </c>
      <c r="D2681" t="str">
        <f>IF(COUNTIFS(Verweise!$A$2:$A$4542,Übersicht!$C$7,Verweise!$B$2:$B$4542,B2681)=1,"Feiertag",IF(C2681="Samstag","",IF(C2681="Sonntag","",Übersicht!$C$8)))</f>
        <v>Feiertag</v>
      </c>
    </row>
    <row r="2682" spans="1:4" x14ac:dyDescent="0.25">
      <c r="A2682" t="s">
        <v>60</v>
      </c>
      <c r="B2682" s="48">
        <v>45567</v>
      </c>
      <c r="C2682" t="s">
        <v>53</v>
      </c>
      <c r="D2682" t="str">
        <f>IF(COUNTIFS(Verweise!$A$2:$A$4542,Übersicht!$C$7,Verweise!$B$2:$B$4542,B2682)=1,"Feiertag",IF(C2682="Samstag","",IF(C2682="Sonntag","",Übersicht!$C$8)))</f>
        <v>Feiertag</v>
      </c>
    </row>
    <row r="2683" spans="1:4" x14ac:dyDescent="0.25">
      <c r="A2683" t="s">
        <v>60</v>
      </c>
      <c r="B2683" s="48">
        <v>45650</v>
      </c>
      <c r="C2683" t="s">
        <v>55</v>
      </c>
      <c r="D2683" t="str">
        <f>IF(COUNTIFS(Verweise!$A$2:$A$4542,Übersicht!$C$7,Verweise!$B$2:$B$4542,B2683)=1,"Feiertag",IF(C2683="Samstag","",IF(C2683="Sonntag","",Übersicht!$C$8)))</f>
        <v>Feiertag</v>
      </c>
    </row>
    <row r="2684" spans="1:4" x14ac:dyDescent="0.25">
      <c r="A2684" t="s">
        <v>60</v>
      </c>
      <c r="B2684" s="48">
        <v>45651</v>
      </c>
      <c r="C2684" t="s">
        <v>56</v>
      </c>
      <c r="D2684" t="str">
        <f>IF(COUNTIFS(Verweise!$A$2:$A$4542,Übersicht!$C$7,Verweise!$B$2:$B$4542,B2684)=1,"Feiertag",IF(C2684="Samstag","",IF(C2684="Sonntag","",Übersicht!$C$8)))</f>
        <v>Feiertag</v>
      </c>
    </row>
    <row r="2685" spans="1:4" x14ac:dyDescent="0.25">
      <c r="A2685" t="s">
        <v>61</v>
      </c>
      <c r="B2685" s="48">
        <v>45291</v>
      </c>
      <c r="C2685" t="s">
        <v>43</v>
      </c>
      <c r="D2685" t="str">
        <f>IF(COUNTIFS(Verweise!$A$2:$A$4542,Übersicht!$C$7,Verweise!$B$2:$B$4542,B2685)=1,"Feiertag",IF(C2685="Samstag","",IF(C2685="Sonntag","",Übersicht!$C$8)))</f>
        <v>Feiertag</v>
      </c>
    </row>
    <row r="2686" spans="1:4" x14ac:dyDescent="0.25">
      <c r="A2686" t="s">
        <v>61</v>
      </c>
      <c r="B2686" s="48">
        <v>45395</v>
      </c>
      <c r="C2686" t="s">
        <v>45</v>
      </c>
      <c r="D2686" t="str">
        <f>IF(COUNTIFS(Verweise!$A$2:$A$4542,Übersicht!$C$7,Verweise!$B$2:$B$4542,B2686)=1,"Feiertag",IF(C2686="Samstag","",IF(C2686="Sonntag","",Übersicht!$C$8)))</f>
        <v>Feiertag</v>
      </c>
    </row>
    <row r="2687" spans="1:4" x14ac:dyDescent="0.25">
      <c r="A2687" t="s">
        <v>61</v>
      </c>
      <c r="B2687" s="48">
        <v>45397</v>
      </c>
      <c r="C2687" t="s">
        <v>46</v>
      </c>
      <c r="D2687" t="str">
        <f>IF(COUNTIFS(Verweise!$A$2:$A$4542,Übersicht!$C$7,Verweise!$B$2:$B$4542,B2687)=1,"Feiertag",IF(C2687="Samstag","",IF(C2687="Sonntag","",Übersicht!$C$8)))</f>
        <v>Feiertag</v>
      </c>
    </row>
    <row r="2688" spans="1:4" x14ac:dyDescent="0.25">
      <c r="A2688" t="s">
        <v>61</v>
      </c>
      <c r="B2688" s="48">
        <v>45398</v>
      </c>
      <c r="C2688" t="s">
        <v>47</v>
      </c>
      <c r="D2688" t="str">
        <f>IF(COUNTIFS(Verweise!$A$2:$A$4542,Übersicht!$C$7,Verweise!$B$2:$B$4542,B2688)=1,"Feiertag",IF(C2688="Samstag","",IF(C2688="Sonntag","",Übersicht!$C$8)))</f>
        <v>Feiertag</v>
      </c>
    </row>
    <row r="2689" spans="1:4" x14ac:dyDescent="0.25">
      <c r="A2689" t="s">
        <v>61</v>
      </c>
      <c r="B2689" s="48">
        <v>45412</v>
      </c>
      <c r="C2689" t="s">
        <v>48</v>
      </c>
      <c r="D2689" t="str">
        <f>IF(COUNTIFS(Verweise!$A$2:$A$4542,Übersicht!$C$7,Verweise!$B$2:$B$4542,B2689)=1,"Feiertag",IF(C2689="Samstag","",IF(C2689="Sonntag","",Übersicht!$C$8)))</f>
        <v>Feiertag</v>
      </c>
    </row>
    <row r="2690" spans="1:4" x14ac:dyDescent="0.25">
      <c r="A2690" t="s">
        <v>61</v>
      </c>
      <c r="B2690" s="48">
        <v>45436</v>
      </c>
      <c r="C2690" t="s">
        <v>49</v>
      </c>
      <c r="D2690" t="str">
        <f>IF(COUNTIFS(Verweise!$A$2:$A$4542,Übersicht!$C$7,Verweise!$B$2:$B$4542,B2690)=1,"Feiertag",IF(C2690="Samstag","",IF(C2690="Sonntag","",Übersicht!$C$8)))</f>
        <v>Feiertag</v>
      </c>
    </row>
    <row r="2691" spans="1:4" x14ac:dyDescent="0.25">
      <c r="A2691" t="s">
        <v>61</v>
      </c>
      <c r="B2691" s="48">
        <v>45446</v>
      </c>
      <c r="C2691" t="s">
        <v>50</v>
      </c>
      <c r="D2691" t="str">
        <f>IF(COUNTIFS(Verweise!$A$2:$A$4542,Übersicht!$C$7,Verweise!$B$2:$B$4542,B2691)=1,"Feiertag",IF(C2691="Samstag","",IF(C2691="Sonntag","",Übersicht!$C$8)))</f>
        <v>Feiertag</v>
      </c>
    </row>
    <row r="2692" spans="1:4" x14ac:dyDescent="0.25">
      <c r="A2692" t="s">
        <v>61</v>
      </c>
      <c r="B2692" s="48">
        <v>45447</v>
      </c>
      <c r="C2692" t="s">
        <v>51</v>
      </c>
      <c r="D2692" t="str">
        <f>IF(COUNTIFS(Verweise!$A$2:$A$4542,Übersicht!$C$7,Verweise!$B$2:$B$4542,B2692)=1,"Feiertag",IF(C2692="Samstag","",IF(C2692="Sonntag","",Übersicht!$C$8)))</f>
        <v>Feiertag</v>
      </c>
    </row>
    <row r="2693" spans="1:4" x14ac:dyDescent="0.25">
      <c r="A2693" t="s">
        <v>61</v>
      </c>
      <c r="B2693" s="48">
        <v>45567</v>
      </c>
      <c r="C2693" t="s">
        <v>53</v>
      </c>
      <c r="D2693" t="str">
        <f>IF(COUNTIFS(Verweise!$A$2:$A$4542,Übersicht!$C$7,Verweise!$B$2:$B$4542,B2693)=1,"Feiertag",IF(C2693="Samstag","",IF(C2693="Sonntag","",Übersicht!$C$8)))</f>
        <v>Feiertag</v>
      </c>
    </row>
    <row r="2694" spans="1:4" x14ac:dyDescent="0.25">
      <c r="A2694" t="s">
        <v>61</v>
      </c>
      <c r="B2694" s="48">
        <v>45595</v>
      </c>
      <c r="C2694" t="s">
        <v>62</v>
      </c>
      <c r="D2694" t="str">
        <f>IF(COUNTIFS(Verweise!$A$2:$A$4542,Übersicht!$C$7,Verweise!$B$2:$B$4542,B2694)=1,"Feiertag",IF(C2694="Samstag","",IF(C2694="Sonntag","",Übersicht!$C$8)))</f>
        <v>Büro</v>
      </c>
    </row>
    <row r="2695" spans="1:4" x14ac:dyDescent="0.25">
      <c r="A2695" t="s">
        <v>61</v>
      </c>
      <c r="B2695" s="48">
        <v>45650</v>
      </c>
      <c r="C2695" t="s">
        <v>55</v>
      </c>
      <c r="D2695" t="str">
        <f>IF(COUNTIFS(Verweise!$A$2:$A$4542,Übersicht!$C$7,Verweise!$B$2:$B$4542,B2695)=1,"Feiertag",IF(C2695="Samstag","",IF(C2695="Sonntag","",Übersicht!$C$8)))</f>
        <v>Feiertag</v>
      </c>
    </row>
    <row r="2696" spans="1:4" x14ac:dyDescent="0.25">
      <c r="A2696" t="s">
        <v>61</v>
      </c>
      <c r="B2696" s="48">
        <v>45651</v>
      </c>
      <c r="C2696" t="s">
        <v>56</v>
      </c>
      <c r="D2696" t="str">
        <f>IF(COUNTIFS(Verweise!$A$2:$A$4542,Übersicht!$C$7,Verweise!$B$2:$B$4542,B2696)=1,"Feiertag",IF(C2696="Samstag","",IF(C2696="Sonntag","",Übersicht!$C$8)))</f>
        <v>Feiertag</v>
      </c>
    </row>
    <row r="2697" spans="1:4" x14ac:dyDescent="0.25">
      <c r="A2697" t="s">
        <v>63</v>
      </c>
      <c r="B2697" s="48">
        <v>45291</v>
      </c>
      <c r="C2697" t="s">
        <v>43</v>
      </c>
      <c r="D2697" t="str">
        <f>IF(COUNTIFS(Verweise!$A$2:$A$4542,Übersicht!$C$7,Verweise!$B$2:$B$4542,B2697)=1,"Feiertag",IF(C2697="Samstag","",IF(C2697="Sonntag","",Übersicht!$C$8)))</f>
        <v>Feiertag</v>
      </c>
    </row>
    <row r="2698" spans="1:4" x14ac:dyDescent="0.25">
      <c r="A2698" t="s">
        <v>63</v>
      </c>
      <c r="B2698" s="48">
        <v>45395</v>
      </c>
      <c r="C2698" t="s">
        <v>45</v>
      </c>
      <c r="D2698" t="str">
        <f>IF(COUNTIFS(Verweise!$A$2:$A$4542,Übersicht!$C$7,Verweise!$B$2:$B$4542,B2698)=1,"Feiertag",IF(C2698="Samstag","",IF(C2698="Sonntag","",Übersicht!$C$8)))</f>
        <v>Feiertag</v>
      </c>
    </row>
    <row r="2699" spans="1:4" x14ac:dyDescent="0.25">
      <c r="A2699" t="s">
        <v>63</v>
      </c>
      <c r="B2699" s="48">
        <v>45397</v>
      </c>
      <c r="C2699" t="s">
        <v>46</v>
      </c>
      <c r="D2699" t="str">
        <f>IF(COUNTIFS(Verweise!$A$2:$A$4542,Übersicht!$C$7,Verweise!$B$2:$B$4542,B2699)=1,"Feiertag",IF(C2699="Samstag","",IF(C2699="Sonntag","",Übersicht!$C$8)))</f>
        <v>Feiertag</v>
      </c>
    </row>
    <row r="2700" spans="1:4" x14ac:dyDescent="0.25">
      <c r="A2700" t="s">
        <v>63</v>
      </c>
      <c r="B2700" s="48">
        <v>45398</v>
      </c>
      <c r="C2700" t="s">
        <v>47</v>
      </c>
      <c r="D2700" t="str">
        <f>IF(COUNTIFS(Verweise!$A$2:$A$4542,Übersicht!$C$7,Verweise!$B$2:$B$4542,B2700)=1,"Feiertag",IF(C2700="Samstag","",IF(C2700="Sonntag","",Übersicht!$C$8)))</f>
        <v>Feiertag</v>
      </c>
    </row>
    <row r="2701" spans="1:4" x14ac:dyDescent="0.25">
      <c r="A2701" t="s">
        <v>63</v>
      </c>
      <c r="B2701" s="48">
        <v>45412</v>
      </c>
      <c r="C2701" t="s">
        <v>48</v>
      </c>
      <c r="D2701" t="str">
        <f>IF(COUNTIFS(Verweise!$A$2:$A$4542,Übersicht!$C$7,Verweise!$B$2:$B$4542,B2701)=1,"Feiertag",IF(C2701="Samstag","",IF(C2701="Sonntag","",Übersicht!$C$8)))</f>
        <v>Feiertag</v>
      </c>
    </row>
    <row r="2702" spans="1:4" x14ac:dyDescent="0.25">
      <c r="A2702" t="s">
        <v>63</v>
      </c>
      <c r="B2702" s="48">
        <v>45436</v>
      </c>
      <c r="C2702" t="s">
        <v>49</v>
      </c>
      <c r="D2702" t="str">
        <f>IF(COUNTIFS(Verweise!$A$2:$A$4542,Übersicht!$C$7,Verweise!$B$2:$B$4542,B2702)=1,"Feiertag",IF(C2702="Samstag","",IF(C2702="Sonntag","",Übersicht!$C$8)))</f>
        <v>Feiertag</v>
      </c>
    </row>
    <row r="2703" spans="1:4" x14ac:dyDescent="0.25">
      <c r="A2703" t="s">
        <v>63</v>
      </c>
      <c r="B2703" s="48">
        <v>45446</v>
      </c>
      <c r="C2703" t="s">
        <v>50</v>
      </c>
      <c r="D2703" t="str">
        <f>IF(COUNTIFS(Verweise!$A$2:$A$4542,Übersicht!$C$7,Verweise!$B$2:$B$4542,B2703)=1,"Feiertag",IF(C2703="Samstag","",IF(C2703="Sonntag","",Übersicht!$C$8)))</f>
        <v>Feiertag</v>
      </c>
    </row>
    <row r="2704" spans="1:4" x14ac:dyDescent="0.25">
      <c r="A2704" t="s">
        <v>63</v>
      </c>
      <c r="B2704" s="48">
        <v>45447</v>
      </c>
      <c r="C2704" t="s">
        <v>51</v>
      </c>
      <c r="D2704" t="str">
        <f>IF(COUNTIFS(Verweise!$A$2:$A$4542,Übersicht!$C$7,Verweise!$B$2:$B$4542,B2704)=1,"Feiertag",IF(C2704="Samstag","",IF(C2704="Sonntag","",Übersicht!$C$8)))</f>
        <v>Feiertag</v>
      </c>
    </row>
    <row r="2705" spans="1:4" x14ac:dyDescent="0.25">
      <c r="A2705" t="s">
        <v>63</v>
      </c>
      <c r="B2705" s="48">
        <v>45567</v>
      </c>
      <c r="C2705" t="s">
        <v>53</v>
      </c>
      <c r="D2705" t="str">
        <f>IF(COUNTIFS(Verweise!$A$2:$A$4542,Übersicht!$C$7,Verweise!$B$2:$B$4542,B2705)=1,"Feiertag",IF(C2705="Samstag","",IF(C2705="Sonntag","",Übersicht!$C$8)))</f>
        <v>Feiertag</v>
      </c>
    </row>
    <row r="2706" spans="1:4" x14ac:dyDescent="0.25">
      <c r="A2706" t="s">
        <v>63</v>
      </c>
      <c r="B2706" s="48">
        <v>45650</v>
      </c>
      <c r="C2706" t="s">
        <v>55</v>
      </c>
      <c r="D2706" t="str">
        <f>IF(COUNTIFS(Verweise!$A$2:$A$4542,Übersicht!$C$7,Verweise!$B$2:$B$4542,B2706)=1,"Feiertag",IF(C2706="Samstag","",IF(C2706="Sonntag","",Übersicht!$C$8)))</f>
        <v>Feiertag</v>
      </c>
    </row>
    <row r="2707" spans="1:4" x14ac:dyDescent="0.25">
      <c r="A2707" t="s">
        <v>63</v>
      </c>
      <c r="B2707" s="48">
        <v>45651</v>
      </c>
      <c r="C2707" t="s">
        <v>56</v>
      </c>
      <c r="D2707" t="str">
        <f>IF(COUNTIFS(Verweise!$A$2:$A$4542,Übersicht!$C$7,Verweise!$B$2:$B$4542,B2707)=1,"Feiertag",IF(C2707="Samstag","",IF(C2707="Sonntag","",Übersicht!$C$8)))</f>
        <v>Feiertag</v>
      </c>
    </row>
    <row r="2708" spans="1:4" x14ac:dyDescent="0.25">
      <c r="A2708" t="s">
        <v>64</v>
      </c>
      <c r="B2708" s="48">
        <v>45291</v>
      </c>
      <c r="C2708" t="s">
        <v>43</v>
      </c>
      <c r="D2708" t="str">
        <f>IF(COUNTIFS(Verweise!$A$2:$A$4542,Übersicht!$C$7,Verweise!$B$2:$B$4542,B2708)=1,"Feiertag",IF(C2708="Samstag","",IF(C2708="Sonntag","",Übersicht!$C$8)))</f>
        <v>Feiertag</v>
      </c>
    </row>
    <row r="2709" spans="1:4" x14ac:dyDescent="0.25">
      <c r="A2709" t="s">
        <v>64</v>
      </c>
      <c r="B2709" s="48">
        <v>45395</v>
      </c>
      <c r="C2709" t="s">
        <v>45</v>
      </c>
      <c r="D2709" t="str">
        <f>IF(COUNTIFS(Verweise!$A$2:$A$4542,Übersicht!$C$7,Verweise!$B$2:$B$4542,B2709)=1,"Feiertag",IF(C2709="Samstag","",IF(C2709="Sonntag","",Übersicht!$C$8)))</f>
        <v>Feiertag</v>
      </c>
    </row>
    <row r="2710" spans="1:4" x14ac:dyDescent="0.25">
      <c r="A2710" t="s">
        <v>64</v>
      </c>
      <c r="B2710" s="48">
        <v>45397</v>
      </c>
      <c r="C2710" t="s">
        <v>46</v>
      </c>
      <c r="D2710" t="str">
        <f>IF(COUNTIFS(Verweise!$A$2:$A$4542,Übersicht!$C$7,Verweise!$B$2:$B$4542,B2710)=1,"Feiertag",IF(C2710="Samstag","",IF(C2710="Sonntag","",Übersicht!$C$8)))</f>
        <v>Feiertag</v>
      </c>
    </row>
    <row r="2711" spans="1:4" x14ac:dyDescent="0.25">
      <c r="A2711" t="s">
        <v>64</v>
      </c>
      <c r="B2711" s="48">
        <v>45398</v>
      </c>
      <c r="C2711" t="s">
        <v>47</v>
      </c>
      <c r="D2711" t="str">
        <f>IF(COUNTIFS(Verweise!$A$2:$A$4542,Übersicht!$C$7,Verweise!$B$2:$B$4542,B2711)=1,"Feiertag",IF(C2711="Samstag","",IF(C2711="Sonntag","",Übersicht!$C$8)))</f>
        <v>Feiertag</v>
      </c>
    </row>
    <row r="2712" spans="1:4" x14ac:dyDescent="0.25">
      <c r="A2712" t="s">
        <v>64</v>
      </c>
      <c r="B2712" s="48">
        <v>45412</v>
      </c>
      <c r="C2712" t="s">
        <v>48</v>
      </c>
      <c r="D2712" t="str">
        <f>IF(COUNTIFS(Verweise!$A$2:$A$4542,Übersicht!$C$7,Verweise!$B$2:$B$4542,B2712)=1,"Feiertag",IF(C2712="Samstag","",IF(C2712="Sonntag","",Übersicht!$C$8)))</f>
        <v>Feiertag</v>
      </c>
    </row>
    <row r="2713" spans="1:4" x14ac:dyDescent="0.25">
      <c r="A2713" t="s">
        <v>64</v>
      </c>
      <c r="B2713" s="48">
        <v>45436</v>
      </c>
      <c r="C2713" t="s">
        <v>49</v>
      </c>
      <c r="D2713" t="str">
        <f>IF(COUNTIFS(Verweise!$A$2:$A$4542,Übersicht!$C$7,Verweise!$B$2:$B$4542,B2713)=1,"Feiertag",IF(C2713="Samstag","",IF(C2713="Sonntag","",Übersicht!$C$8)))</f>
        <v>Feiertag</v>
      </c>
    </row>
    <row r="2714" spans="1:4" x14ac:dyDescent="0.25">
      <c r="A2714" t="s">
        <v>64</v>
      </c>
      <c r="B2714" s="48">
        <v>45446</v>
      </c>
      <c r="C2714" t="s">
        <v>50</v>
      </c>
      <c r="D2714" t="str">
        <f>IF(COUNTIFS(Verweise!$A$2:$A$4542,Übersicht!$C$7,Verweise!$B$2:$B$4542,B2714)=1,"Feiertag",IF(C2714="Samstag","",IF(C2714="Sonntag","",Übersicht!$C$8)))</f>
        <v>Feiertag</v>
      </c>
    </row>
    <row r="2715" spans="1:4" x14ac:dyDescent="0.25">
      <c r="A2715" t="s">
        <v>64</v>
      </c>
      <c r="B2715" s="48">
        <v>45447</v>
      </c>
      <c r="C2715" t="s">
        <v>51</v>
      </c>
      <c r="D2715" t="str">
        <f>IF(COUNTIFS(Verweise!$A$2:$A$4542,Übersicht!$C$7,Verweise!$B$2:$B$4542,B2715)=1,"Feiertag",IF(C2715="Samstag","",IF(C2715="Sonntag","",Übersicht!$C$8)))</f>
        <v>Feiertag</v>
      </c>
    </row>
    <row r="2716" spans="1:4" x14ac:dyDescent="0.25">
      <c r="A2716" t="s">
        <v>64</v>
      </c>
      <c r="B2716" s="48">
        <v>45567</v>
      </c>
      <c r="C2716" t="s">
        <v>53</v>
      </c>
      <c r="D2716" t="str">
        <f>IF(COUNTIFS(Verweise!$A$2:$A$4542,Übersicht!$C$7,Verweise!$B$2:$B$4542,B2716)=1,"Feiertag",IF(C2716="Samstag","",IF(C2716="Sonntag","",Übersicht!$C$8)))</f>
        <v>Feiertag</v>
      </c>
    </row>
    <row r="2717" spans="1:4" x14ac:dyDescent="0.25">
      <c r="A2717" t="s">
        <v>64</v>
      </c>
      <c r="B2717" s="48">
        <v>45650</v>
      </c>
      <c r="C2717" t="s">
        <v>55</v>
      </c>
      <c r="D2717" t="str">
        <f>IF(COUNTIFS(Verweise!$A$2:$A$4542,Übersicht!$C$7,Verweise!$B$2:$B$4542,B2717)=1,"Feiertag",IF(C2717="Samstag","",IF(C2717="Sonntag","",Übersicht!$C$8)))</f>
        <v>Feiertag</v>
      </c>
    </row>
    <row r="2718" spans="1:4" x14ac:dyDescent="0.25">
      <c r="A2718" t="s">
        <v>64</v>
      </c>
      <c r="B2718" s="48">
        <v>45651</v>
      </c>
      <c r="C2718" t="s">
        <v>56</v>
      </c>
      <c r="D2718" t="str">
        <f>IF(COUNTIFS(Verweise!$A$2:$A$4542,Übersicht!$C$7,Verweise!$B$2:$B$4542,B2718)=1,"Feiertag",IF(C2718="Samstag","",IF(C2718="Sonntag","",Übersicht!$C$8)))</f>
        <v>Feiertag</v>
      </c>
    </row>
    <row r="2719" spans="1:4" x14ac:dyDescent="0.25">
      <c r="A2719" t="s">
        <v>65</v>
      </c>
      <c r="B2719" s="48">
        <v>45291</v>
      </c>
      <c r="C2719" t="s">
        <v>43</v>
      </c>
      <c r="D2719" t="str">
        <f>IF(COUNTIFS(Verweise!$A$2:$A$4542,Übersicht!$C$7,Verweise!$B$2:$B$4542,B2719)=1,"Feiertag",IF(C2719="Samstag","",IF(C2719="Sonntag","",Übersicht!$C$8)))</f>
        <v>Feiertag</v>
      </c>
    </row>
    <row r="2720" spans="1:4" x14ac:dyDescent="0.25">
      <c r="A2720" t="s">
        <v>65</v>
      </c>
      <c r="B2720" s="48">
        <v>45395</v>
      </c>
      <c r="C2720" t="s">
        <v>45</v>
      </c>
      <c r="D2720" t="str">
        <f>IF(COUNTIFS(Verweise!$A$2:$A$4542,Übersicht!$C$7,Verweise!$B$2:$B$4542,B2720)=1,"Feiertag",IF(C2720="Samstag","",IF(C2720="Sonntag","",Übersicht!$C$8)))</f>
        <v>Feiertag</v>
      </c>
    </row>
    <row r="2721" spans="1:4" x14ac:dyDescent="0.25">
      <c r="A2721" t="s">
        <v>65</v>
      </c>
      <c r="B2721" s="48">
        <v>45397</v>
      </c>
      <c r="C2721" t="s">
        <v>46</v>
      </c>
      <c r="D2721" t="str">
        <f>IF(COUNTIFS(Verweise!$A$2:$A$4542,Übersicht!$C$7,Verweise!$B$2:$B$4542,B2721)=1,"Feiertag",IF(C2721="Samstag","",IF(C2721="Sonntag","",Übersicht!$C$8)))</f>
        <v>Feiertag</v>
      </c>
    </row>
    <row r="2722" spans="1:4" x14ac:dyDescent="0.25">
      <c r="A2722" t="s">
        <v>65</v>
      </c>
      <c r="B2722" s="48">
        <v>45398</v>
      </c>
      <c r="C2722" t="s">
        <v>47</v>
      </c>
      <c r="D2722" t="str">
        <f>IF(COUNTIFS(Verweise!$A$2:$A$4542,Übersicht!$C$7,Verweise!$B$2:$B$4542,B2722)=1,"Feiertag",IF(C2722="Samstag","",IF(C2722="Sonntag","",Übersicht!$C$8)))</f>
        <v>Feiertag</v>
      </c>
    </row>
    <row r="2723" spans="1:4" x14ac:dyDescent="0.25">
      <c r="A2723" t="s">
        <v>65</v>
      </c>
      <c r="B2723" s="48">
        <v>45412</v>
      </c>
      <c r="C2723" t="s">
        <v>48</v>
      </c>
      <c r="D2723" t="str">
        <f>IF(COUNTIFS(Verweise!$A$2:$A$4542,Übersicht!$C$7,Verweise!$B$2:$B$4542,B2723)=1,"Feiertag",IF(C2723="Samstag","",IF(C2723="Sonntag","",Übersicht!$C$8)))</f>
        <v>Feiertag</v>
      </c>
    </row>
    <row r="2724" spans="1:4" x14ac:dyDescent="0.25">
      <c r="A2724" t="s">
        <v>65</v>
      </c>
      <c r="B2724" s="48">
        <v>45436</v>
      </c>
      <c r="C2724" t="s">
        <v>49</v>
      </c>
      <c r="D2724" t="str">
        <f>IF(COUNTIFS(Verweise!$A$2:$A$4542,Übersicht!$C$7,Verweise!$B$2:$B$4542,B2724)=1,"Feiertag",IF(C2724="Samstag","",IF(C2724="Sonntag","",Übersicht!$C$8)))</f>
        <v>Feiertag</v>
      </c>
    </row>
    <row r="2725" spans="1:4" x14ac:dyDescent="0.25">
      <c r="A2725" t="s">
        <v>65</v>
      </c>
      <c r="B2725" s="48">
        <v>45446</v>
      </c>
      <c r="C2725" t="s">
        <v>50</v>
      </c>
      <c r="D2725" t="str">
        <f>IF(COUNTIFS(Verweise!$A$2:$A$4542,Übersicht!$C$7,Verweise!$B$2:$B$4542,B2725)=1,"Feiertag",IF(C2725="Samstag","",IF(C2725="Sonntag","",Übersicht!$C$8)))</f>
        <v>Feiertag</v>
      </c>
    </row>
    <row r="2726" spans="1:4" x14ac:dyDescent="0.25">
      <c r="A2726" t="s">
        <v>65</v>
      </c>
      <c r="B2726" s="48">
        <v>45447</v>
      </c>
      <c r="C2726" t="s">
        <v>51</v>
      </c>
      <c r="D2726" t="str">
        <f>IF(COUNTIFS(Verweise!$A$2:$A$4542,Übersicht!$C$7,Verweise!$B$2:$B$4542,B2726)=1,"Feiertag",IF(C2726="Samstag","",IF(C2726="Sonntag","",Übersicht!$C$8)))</f>
        <v>Feiertag</v>
      </c>
    </row>
    <row r="2727" spans="1:4" x14ac:dyDescent="0.25">
      <c r="A2727" t="s">
        <v>65</v>
      </c>
      <c r="B2727" s="48">
        <v>45457</v>
      </c>
      <c r="C2727" t="s">
        <v>52</v>
      </c>
      <c r="D2727" t="str">
        <f>IF(COUNTIFS(Verweise!$A$2:$A$4542,Übersicht!$C$7,Verweise!$B$2:$B$4542,B2727)=1,"Feiertag",IF(C2727="Samstag","",IF(C2727="Sonntag","",Übersicht!$C$8)))</f>
        <v>Feiertag</v>
      </c>
    </row>
    <row r="2728" spans="1:4" x14ac:dyDescent="0.25">
      <c r="A2728" t="s">
        <v>65</v>
      </c>
      <c r="B2728" s="48">
        <v>45567</v>
      </c>
      <c r="C2728" t="s">
        <v>53</v>
      </c>
      <c r="D2728" t="str">
        <f>IF(COUNTIFS(Verweise!$A$2:$A$4542,Übersicht!$C$7,Verweise!$B$2:$B$4542,B2728)=1,"Feiertag",IF(C2728="Samstag","",IF(C2728="Sonntag","",Übersicht!$C$8)))</f>
        <v>Feiertag</v>
      </c>
    </row>
    <row r="2729" spans="1:4" x14ac:dyDescent="0.25">
      <c r="A2729" t="s">
        <v>65</v>
      </c>
      <c r="B2729" s="48">
        <v>45650</v>
      </c>
      <c r="C2729" t="s">
        <v>55</v>
      </c>
      <c r="D2729" t="str">
        <f>IF(COUNTIFS(Verweise!$A$2:$A$4542,Übersicht!$C$7,Verweise!$B$2:$B$4542,B2729)=1,"Feiertag",IF(C2729="Samstag","",IF(C2729="Sonntag","",Übersicht!$C$8)))</f>
        <v>Feiertag</v>
      </c>
    </row>
    <row r="2730" spans="1:4" x14ac:dyDescent="0.25">
      <c r="A2730" t="s">
        <v>65</v>
      </c>
      <c r="B2730" s="48">
        <v>45651</v>
      </c>
      <c r="C2730" t="s">
        <v>56</v>
      </c>
      <c r="D2730" t="str">
        <f>IF(COUNTIFS(Verweise!$A$2:$A$4542,Übersicht!$C$7,Verweise!$B$2:$B$4542,B2730)=1,"Feiertag",IF(C2730="Samstag","",IF(C2730="Sonntag","",Übersicht!$C$8)))</f>
        <v>Feiertag</v>
      </c>
    </row>
    <row r="2731" spans="1:4" x14ac:dyDescent="0.25">
      <c r="A2731" t="s">
        <v>66</v>
      </c>
      <c r="B2731" s="48">
        <v>45291</v>
      </c>
      <c r="C2731" t="s">
        <v>43</v>
      </c>
      <c r="D2731" t="str">
        <f>IF(COUNTIFS(Verweise!$A$2:$A$4542,Übersicht!$C$7,Verweise!$B$2:$B$4542,B2731)=1,"Feiertag",IF(C2731="Samstag","",IF(C2731="Sonntag","",Übersicht!$C$8)))</f>
        <v>Feiertag</v>
      </c>
    </row>
    <row r="2732" spans="1:4" x14ac:dyDescent="0.25">
      <c r="A2732" t="s">
        <v>66</v>
      </c>
      <c r="B2732" s="48">
        <v>45395</v>
      </c>
      <c r="C2732" t="s">
        <v>45</v>
      </c>
      <c r="D2732" t="str">
        <f>IF(COUNTIFS(Verweise!$A$2:$A$4542,Übersicht!$C$7,Verweise!$B$2:$B$4542,B2732)=1,"Feiertag",IF(C2732="Samstag","",IF(C2732="Sonntag","",Übersicht!$C$8)))</f>
        <v>Feiertag</v>
      </c>
    </row>
    <row r="2733" spans="1:4" x14ac:dyDescent="0.25">
      <c r="A2733" t="s">
        <v>66</v>
      </c>
      <c r="B2733" s="48">
        <v>45397</v>
      </c>
      <c r="C2733" t="s">
        <v>46</v>
      </c>
      <c r="D2733" t="str">
        <f>IF(COUNTIFS(Verweise!$A$2:$A$4542,Übersicht!$C$7,Verweise!$B$2:$B$4542,B2733)=1,"Feiertag",IF(C2733="Samstag","",IF(C2733="Sonntag","",Übersicht!$C$8)))</f>
        <v>Feiertag</v>
      </c>
    </row>
    <row r="2734" spans="1:4" x14ac:dyDescent="0.25">
      <c r="A2734" t="s">
        <v>66</v>
      </c>
      <c r="B2734" s="48">
        <v>45398</v>
      </c>
      <c r="C2734" t="s">
        <v>47</v>
      </c>
      <c r="D2734" t="str">
        <f>IF(COUNTIFS(Verweise!$A$2:$A$4542,Übersicht!$C$7,Verweise!$B$2:$B$4542,B2734)=1,"Feiertag",IF(C2734="Samstag","",IF(C2734="Sonntag","",Übersicht!$C$8)))</f>
        <v>Feiertag</v>
      </c>
    </row>
    <row r="2735" spans="1:4" x14ac:dyDescent="0.25">
      <c r="A2735" t="s">
        <v>66</v>
      </c>
      <c r="B2735" s="48">
        <v>45412</v>
      </c>
      <c r="C2735" t="s">
        <v>48</v>
      </c>
      <c r="D2735" t="str">
        <f>IF(COUNTIFS(Verweise!$A$2:$A$4542,Übersicht!$C$7,Verweise!$B$2:$B$4542,B2735)=1,"Feiertag",IF(C2735="Samstag","",IF(C2735="Sonntag","",Übersicht!$C$8)))</f>
        <v>Feiertag</v>
      </c>
    </row>
    <row r="2736" spans="1:4" x14ac:dyDescent="0.25">
      <c r="A2736" t="s">
        <v>66</v>
      </c>
      <c r="B2736" s="48">
        <v>45436</v>
      </c>
      <c r="C2736" t="s">
        <v>49</v>
      </c>
      <c r="D2736" t="str">
        <f>IF(COUNTIFS(Verweise!$A$2:$A$4542,Übersicht!$C$7,Verweise!$B$2:$B$4542,B2736)=1,"Feiertag",IF(C2736="Samstag","",IF(C2736="Sonntag","",Übersicht!$C$8)))</f>
        <v>Feiertag</v>
      </c>
    </row>
    <row r="2737" spans="1:4" x14ac:dyDescent="0.25">
      <c r="A2737" t="s">
        <v>66</v>
      </c>
      <c r="B2737" s="48">
        <v>45446</v>
      </c>
      <c r="C2737" t="s">
        <v>50</v>
      </c>
      <c r="D2737" t="str">
        <f>IF(COUNTIFS(Verweise!$A$2:$A$4542,Übersicht!$C$7,Verweise!$B$2:$B$4542,B2737)=1,"Feiertag",IF(C2737="Samstag","",IF(C2737="Sonntag","",Übersicht!$C$8)))</f>
        <v>Feiertag</v>
      </c>
    </row>
    <row r="2738" spans="1:4" x14ac:dyDescent="0.25">
      <c r="A2738" t="s">
        <v>66</v>
      </c>
      <c r="B2738" s="48">
        <v>45447</v>
      </c>
      <c r="C2738" t="s">
        <v>51</v>
      </c>
      <c r="D2738" t="str">
        <f>IF(COUNTIFS(Verweise!$A$2:$A$4542,Übersicht!$C$7,Verweise!$B$2:$B$4542,B2738)=1,"Feiertag",IF(C2738="Samstag","",IF(C2738="Sonntag","",Übersicht!$C$8)))</f>
        <v>Feiertag</v>
      </c>
    </row>
    <row r="2739" spans="1:4" x14ac:dyDescent="0.25">
      <c r="A2739" t="s">
        <v>66</v>
      </c>
      <c r="B2739" s="48">
        <v>45567</v>
      </c>
      <c r="C2739" t="s">
        <v>53</v>
      </c>
      <c r="D2739" t="str">
        <f>IF(COUNTIFS(Verweise!$A$2:$A$4542,Übersicht!$C$7,Verweise!$B$2:$B$4542,B2739)=1,"Feiertag",IF(C2739="Samstag","",IF(C2739="Sonntag","",Übersicht!$C$8)))</f>
        <v>Feiertag</v>
      </c>
    </row>
    <row r="2740" spans="1:4" x14ac:dyDescent="0.25">
      <c r="A2740" t="s">
        <v>66</v>
      </c>
      <c r="B2740" s="48">
        <v>45595</v>
      </c>
      <c r="C2740" t="s">
        <v>62</v>
      </c>
      <c r="D2740" t="str">
        <f>IF(COUNTIFS(Verweise!$A$2:$A$4542,Übersicht!$C$7,Verweise!$B$2:$B$4542,B2740)=1,"Feiertag",IF(C2740="Samstag","",IF(C2740="Sonntag","",Übersicht!$C$8)))</f>
        <v>Büro</v>
      </c>
    </row>
    <row r="2741" spans="1:4" x14ac:dyDescent="0.25">
      <c r="A2741" t="s">
        <v>66</v>
      </c>
      <c r="B2741" s="48">
        <v>45650</v>
      </c>
      <c r="C2741" t="s">
        <v>55</v>
      </c>
      <c r="D2741" t="str">
        <f>IF(COUNTIFS(Verweise!$A$2:$A$4542,Übersicht!$C$7,Verweise!$B$2:$B$4542,B2741)=1,"Feiertag",IF(C2741="Samstag","",IF(C2741="Sonntag","",Übersicht!$C$8)))</f>
        <v>Feiertag</v>
      </c>
    </row>
    <row r="2742" spans="1:4" x14ac:dyDescent="0.25">
      <c r="A2742" t="s">
        <v>66</v>
      </c>
      <c r="B2742" s="48">
        <v>45651</v>
      </c>
      <c r="C2742" t="s">
        <v>56</v>
      </c>
      <c r="D2742" t="str">
        <f>IF(COUNTIFS(Verweise!$A$2:$A$4542,Übersicht!$C$7,Verweise!$B$2:$B$4542,B2742)=1,"Feiertag",IF(C2742="Samstag","",IF(C2742="Sonntag","",Übersicht!$C$8)))</f>
        <v>Feiertag</v>
      </c>
    </row>
    <row r="2743" spans="1:4" x14ac:dyDescent="0.25">
      <c r="A2743" t="s">
        <v>67</v>
      </c>
      <c r="B2743" s="48">
        <v>45291</v>
      </c>
      <c r="C2743" t="s">
        <v>43</v>
      </c>
      <c r="D2743" t="str">
        <f>IF(COUNTIFS(Verweise!$A$2:$A$4542,Übersicht!$C$7,Verweise!$B$2:$B$4542,B2743)=1,"Feiertag",IF(C2743="Samstag","",IF(C2743="Sonntag","",Übersicht!$C$8)))</f>
        <v>Feiertag</v>
      </c>
    </row>
    <row r="2744" spans="1:4" x14ac:dyDescent="0.25">
      <c r="A2744" t="s">
        <v>67</v>
      </c>
      <c r="B2744" s="48">
        <v>45395</v>
      </c>
      <c r="C2744" t="s">
        <v>45</v>
      </c>
      <c r="D2744" t="str">
        <f>IF(COUNTIFS(Verweise!$A$2:$A$4542,Übersicht!$C$7,Verweise!$B$2:$B$4542,B2744)=1,"Feiertag",IF(C2744="Samstag","",IF(C2744="Sonntag","",Übersicht!$C$8)))</f>
        <v>Feiertag</v>
      </c>
    </row>
    <row r="2745" spans="1:4" x14ac:dyDescent="0.25">
      <c r="A2745" t="s">
        <v>67</v>
      </c>
      <c r="B2745" s="48">
        <v>45397</v>
      </c>
      <c r="C2745" t="s">
        <v>46</v>
      </c>
      <c r="D2745" t="str">
        <f>IF(COUNTIFS(Verweise!$A$2:$A$4542,Übersicht!$C$7,Verweise!$B$2:$B$4542,B2745)=1,"Feiertag",IF(C2745="Samstag","",IF(C2745="Sonntag","",Übersicht!$C$8)))</f>
        <v>Feiertag</v>
      </c>
    </row>
    <row r="2746" spans="1:4" x14ac:dyDescent="0.25">
      <c r="A2746" t="s">
        <v>67</v>
      </c>
      <c r="B2746" s="48">
        <v>45398</v>
      </c>
      <c r="C2746" t="s">
        <v>47</v>
      </c>
      <c r="D2746" t="str">
        <f>IF(COUNTIFS(Verweise!$A$2:$A$4542,Übersicht!$C$7,Verweise!$B$2:$B$4542,B2746)=1,"Feiertag",IF(C2746="Samstag","",IF(C2746="Sonntag","",Übersicht!$C$8)))</f>
        <v>Feiertag</v>
      </c>
    </row>
    <row r="2747" spans="1:4" x14ac:dyDescent="0.25">
      <c r="A2747" t="s">
        <v>67</v>
      </c>
      <c r="B2747" s="48">
        <v>45412</v>
      </c>
      <c r="C2747" t="s">
        <v>48</v>
      </c>
      <c r="D2747" t="str">
        <f>IF(COUNTIFS(Verweise!$A$2:$A$4542,Übersicht!$C$7,Verweise!$B$2:$B$4542,B2747)=1,"Feiertag",IF(C2747="Samstag","",IF(C2747="Sonntag","",Übersicht!$C$8)))</f>
        <v>Feiertag</v>
      </c>
    </row>
    <row r="2748" spans="1:4" x14ac:dyDescent="0.25">
      <c r="A2748" t="s">
        <v>67</v>
      </c>
      <c r="B2748" s="48">
        <v>45436</v>
      </c>
      <c r="C2748" t="s">
        <v>49</v>
      </c>
      <c r="D2748" t="str">
        <f>IF(COUNTIFS(Verweise!$A$2:$A$4542,Übersicht!$C$7,Verweise!$B$2:$B$4542,B2748)=1,"Feiertag",IF(C2748="Samstag","",IF(C2748="Sonntag","",Übersicht!$C$8)))</f>
        <v>Feiertag</v>
      </c>
    </row>
    <row r="2749" spans="1:4" x14ac:dyDescent="0.25">
      <c r="A2749" t="s">
        <v>67</v>
      </c>
      <c r="B2749" s="48">
        <v>45446</v>
      </c>
      <c r="C2749" t="s">
        <v>50</v>
      </c>
      <c r="D2749" t="str">
        <f>IF(COUNTIFS(Verweise!$A$2:$A$4542,Übersicht!$C$7,Verweise!$B$2:$B$4542,B2749)=1,"Feiertag",IF(C2749="Samstag","",IF(C2749="Sonntag","",Übersicht!$C$8)))</f>
        <v>Feiertag</v>
      </c>
    </row>
    <row r="2750" spans="1:4" x14ac:dyDescent="0.25">
      <c r="A2750" t="s">
        <v>67</v>
      </c>
      <c r="B2750" s="48">
        <v>45447</v>
      </c>
      <c r="C2750" t="s">
        <v>51</v>
      </c>
      <c r="D2750" t="str">
        <f>IF(COUNTIFS(Verweise!$A$2:$A$4542,Übersicht!$C$7,Verweise!$B$2:$B$4542,B2750)=1,"Feiertag",IF(C2750="Samstag","",IF(C2750="Sonntag","",Übersicht!$C$8)))</f>
        <v>Feiertag</v>
      </c>
    </row>
    <row r="2751" spans="1:4" x14ac:dyDescent="0.25">
      <c r="A2751" t="s">
        <v>67</v>
      </c>
      <c r="B2751" s="48">
        <v>45567</v>
      </c>
      <c r="C2751" t="s">
        <v>53</v>
      </c>
      <c r="D2751" t="str">
        <f>IF(COUNTIFS(Verweise!$A$2:$A$4542,Übersicht!$C$7,Verweise!$B$2:$B$4542,B2751)=1,"Feiertag",IF(C2751="Samstag","",IF(C2751="Sonntag","",Übersicht!$C$8)))</f>
        <v>Feiertag</v>
      </c>
    </row>
    <row r="2752" spans="1:4" x14ac:dyDescent="0.25">
      <c r="A2752" t="s">
        <v>67</v>
      </c>
      <c r="B2752" s="48">
        <v>45650</v>
      </c>
      <c r="C2752" t="s">
        <v>55</v>
      </c>
      <c r="D2752" t="str">
        <f>IF(COUNTIFS(Verweise!$A$2:$A$4542,Übersicht!$C$7,Verweise!$B$2:$B$4542,B2752)=1,"Feiertag",IF(C2752="Samstag","",IF(C2752="Sonntag","",Übersicht!$C$8)))</f>
        <v>Feiertag</v>
      </c>
    </row>
    <row r="2753" spans="1:4" x14ac:dyDescent="0.25">
      <c r="A2753" t="s">
        <v>67</v>
      </c>
      <c r="B2753" s="48">
        <v>45651</v>
      </c>
      <c r="C2753" t="s">
        <v>56</v>
      </c>
      <c r="D2753" t="str">
        <f>IF(COUNTIFS(Verweise!$A$2:$A$4542,Übersicht!$C$7,Verweise!$B$2:$B$4542,B2753)=1,"Feiertag",IF(C2753="Samstag","",IF(C2753="Sonntag","",Übersicht!$C$8)))</f>
        <v>Feiertag</v>
      </c>
    </row>
    <row r="2754" spans="1:4" x14ac:dyDescent="0.25">
      <c r="A2754" t="s">
        <v>68</v>
      </c>
      <c r="B2754" s="48">
        <v>45291</v>
      </c>
      <c r="C2754" t="s">
        <v>43</v>
      </c>
      <c r="D2754" t="str">
        <f>IF(COUNTIFS(Verweise!$A$2:$A$4542,Übersicht!$C$7,Verweise!$B$2:$B$4542,B2754)=1,"Feiertag",IF(C2754="Samstag","",IF(C2754="Sonntag","",Übersicht!$C$8)))</f>
        <v>Feiertag</v>
      </c>
    </row>
    <row r="2755" spans="1:4" x14ac:dyDescent="0.25">
      <c r="A2755" t="s">
        <v>68</v>
      </c>
      <c r="B2755" s="48">
        <v>45395</v>
      </c>
      <c r="C2755" t="s">
        <v>45</v>
      </c>
      <c r="D2755" t="str">
        <f>IF(COUNTIFS(Verweise!$A$2:$A$4542,Übersicht!$C$7,Verweise!$B$2:$B$4542,B2755)=1,"Feiertag",IF(C2755="Samstag","",IF(C2755="Sonntag","",Übersicht!$C$8)))</f>
        <v>Feiertag</v>
      </c>
    </row>
    <row r="2756" spans="1:4" x14ac:dyDescent="0.25">
      <c r="A2756" t="s">
        <v>68</v>
      </c>
      <c r="B2756" s="48">
        <v>45397</v>
      </c>
      <c r="C2756" t="s">
        <v>46</v>
      </c>
      <c r="D2756" t="str">
        <f>IF(COUNTIFS(Verweise!$A$2:$A$4542,Übersicht!$C$7,Verweise!$B$2:$B$4542,B2756)=1,"Feiertag",IF(C2756="Samstag","",IF(C2756="Sonntag","",Übersicht!$C$8)))</f>
        <v>Feiertag</v>
      </c>
    </row>
    <row r="2757" spans="1:4" x14ac:dyDescent="0.25">
      <c r="A2757" t="s">
        <v>68</v>
      </c>
      <c r="B2757" s="48">
        <v>45398</v>
      </c>
      <c r="C2757" t="s">
        <v>47</v>
      </c>
      <c r="D2757" t="str">
        <f>IF(COUNTIFS(Verweise!$A$2:$A$4542,Übersicht!$C$7,Verweise!$B$2:$B$4542,B2757)=1,"Feiertag",IF(C2757="Samstag","",IF(C2757="Sonntag","",Übersicht!$C$8)))</f>
        <v>Feiertag</v>
      </c>
    </row>
    <row r="2758" spans="1:4" x14ac:dyDescent="0.25">
      <c r="A2758" t="s">
        <v>68</v>
      </c>
      <c r="B2758" s="48">
        <v>45412</v>
      </c>
      <c r="C2758" t="s">
        <v>48</v>
      </c>
      <c r="D2758" t="str">
        <f>IF(COUNTIFS(Verweise!$A$2:$A$4542,Übersicht!$C$7,Verweise!$B$2:$B$4542,B2758)=1,"Feiertag",IF(C2758="Samstag","",IF(C2758="Sonntag","",Übersicht!$C$8)))</f>
        <v>Feiertag</v>
      </c>
    </row>
    <row r="2759" spans="1:4" x14ac:dyDescent="0.25">
      <c r="A2759" t="s">
        <v>68</v>
      </c>
      <c r="B2759" s="48">
        <v>45436</v>
      </c>
      <c r="C2759" t="s">
        <v>49</v>
      </c>
      <c r="D2759" t="str">
        <f>IF(COUNTIFS(Verweise!$A$2:$A$4542,Übersicht!$C$7,Verweise!$B$2:$B$4542,B2759)=1,"Feiertag",IF(C2759="Samstag","",IF(C2759="Sonntag","",Übersicht!$C$8)))</f>
        <v>Feiertag</v>
      </c>
    </row>
    <row r="2760" spans="1:4" x14ac:dyDescent="0.25">
      <c r="A2760" t="s">
        <v>68</v>
      </c>
      <c r="B2760" s="48">
        <v>45446</v>
      </c>
      <c r="C2760" t="s">
        <v>50</v>
      </c>
      <c r="D2760" t="str">
        <f>IF(COUNTIFS(Verweise!$A$2:$A$4542,Übersicht!$C$7,Verweise!$B$2:$B$4542,B2760)=1,"Feiertag",IF(C2760="Samstag","",IF(C2760="Sonntag","",Übersicht!$C$8)))</f>
        <v>Feiertag</v>
      </c>
    </row>
    <row r="2761" spans="1:4" x14ac:dyDescent="0.25">
      <c r="A2761" t="s">
        <v>68</v>
      </c>
      <c r="B2761" s="48">
        <v>45447</v>
      </c>
      <c r="C2761" t="s">
        <v>51</v>
      </c>
      <c r="D2761" t="str">
        <f>IF(COUNTIFS(Verweise!$A$2:$A$4542,Übersicht!$C$7,Verweise!$B$2:$B$4542,B2761)=1,"Feiertag",IF(C2761="Samstag","",IF(C2761="Sonntag","",Übersicht!$C$8)))</f>
        <v>Feiertag</v>
      </c>
    </row>
    <row r="2762" spans="1:4" x14ac:dyDescent="0.25">
      <c r="A2762" t="s">
        <v>68</v>
      </c>
      <c r="B2762" s="48">
        <v>45457</v>
      </c>
      <c r="C2762" t="s">
        <v>52</v>
      </c>
      <c r="D2762" t="str">
        <f>IF(COUNTIFS(Verweise!$A$2:$A$4542,Übersicht!$C$7,Verweise!$B$2:$B$4542,B2762)=1,"Feiertag",IF(C2762="Samstag","",IF(C2762="Sonntag","",Übersicht!$C$8)))</f>
        <v>Feiertag</v>
      </c>
    </row>
    <row r="2763" spans="1:4" x14ac:dyDescent="0.25">
      <c r="A2763" t="s">
        <v>68</v>
      </c>
      <c r="B2763" s="48">
        <v>45567</v>
      </c>
      <c r="C2763" t="s">
        <v>53</v>
      </c>
      <c r="D2763" t="str">
        <f>IF(COUNTIFS(Verweise!$A$2:$A$4542,Übersicht!$C$7,Verweise!$B$2:$B$4542,B2763)=1,"Feiertag",IF(C2763="Samstag","",IF(C2763="Sonntag","",Übersicht!$C$8)))</f>
        <v>Feiertag</v>
      </c>
    </row>
    <row r="2764" spans="1:4" x14ac:dyDescent="0.25">
      <c r="A2764" t="s">
        <v>68</v>
      </c>
      <c r="B2764" s="48">
        <v>45596</v>
      </c>
      <c r="C2764" t="s">
        <v>54</v>
      </c>
      <c r="D2764" t="str">
        <f>IF(COUNTIFS(Verweise!$A$2:$A$4542,Übersicht!$C$7,Verweise!$B$2:$B$4542,B2764)=1,"Feiertag",IF(C2764="Samstag","",IF(C2764="Sonntag","",Übersicht!$C$8)))</f>
        <v>Feiertag</v>
      </c>
    </row>
    <row r="2765" spans="1:4" x14ac:dyDescent="0.25">
      <c r="A2765" t="s">
        <v>68</v>
      </c>
      <c r="B2765" s="48">
        <v>45650</v>
      </c>
      <c r="C2765" t="s">
        <v>55</v>
      </c>
      <c r="D2765" t="str">
        <f>IF(COUNTIFS(Verweise!$A$2:$A$4542,Übersicht!$C$7,Verweise!$B$2:$B$4542,B2765)=1,"Feiertag",IF(C2765="Samstag","",IF(C2765="Sonntag","",Übersicht!$C$8)))</f>
        <v>Feiertag</v>
      </c>
    </row>
    <row r="2766" spans="1:4" x14ac:dyDescent="0.25">
      <c r="A2766" t="s">
        <v>68</v>
      </c>
      <c r="B2766" s="48">
        <v>45651</v>
      </c>
      <c r="C2766" t="s">
        <v>56</v>
      </c>
      <c r="D2766" t="str">
        <f>IF(COUNTIFS(Verweise!$A$2:$A$4542,Übersicht!$C$7,Verweise!$B$2:$B$4542,B2766)=1,"Feiertag",IF(C2766="Samstag","",IF(C2766="Sonntag","",Übersicht!$C$8)))</f>
        <v>Feiertag</v>
      </c>
    </row>
    <row r="2767" spans="1:4" x14ac:dyDescent="0.25">
      <c r="A2767" t="s">
        <v>69</v>
      </c>
      <c r="B2767" s="48">
        <v>45291</v>
      </c>
      <c r="C2767" t="s">
        <v>43</v>
      </c>
      <c r="D2767" t="str">
        <f>IF(COUNTIFS(Verweise!$A$2:$A$4542,Übersicht!$C$7,Verweise!$B$2:$B$4542,B2767)=1,"Feiertag",IF(C2767="Samstag","",IF(C2767="Sonntag","",Übersicht!$C$8)))</f>
        <v>Feiertag</v>
      </c>
    </row>
    <row r="2768" spans="1:4" x14ac:dyDescent="0.25">
      <c r="A2768" t="s">
        <v>69</v>
      </c>
      <c r="B2768" s="48">
        <v>45395</v>
      </c>
      <c r="C2768" t="s">
        <v>45</v>
      </c>
      <c r="D2768" t="str">
        <f>IF(COUNTIFS(Verweise!$A$2:$A$4542,Übersicht!$C$7,Verweise!$B$2:$B$4542,B2768)=1,"Feiertag",IF(C2768="Samstag","",IF(C2768="Sonntag","",Übersicht!$C$8)))</f>
        <v>Feiertag</v>
      </c>
    </row>
    <row r="2769" spans="1:4" x14ac:dyDescent="0.25">
      <c r="A2769" t="s">
        <v>69</v>
      </c>
      <c r="B2769" s="48">
        <v>45397</v>
      </c>
      <c r="C2769" t="s">
        <v>46</v>
      </c>
      <c r="D2769" t="str">
        <f>IF(COUNTIFS(Verweise!$A$2:$A$4542,Übersicht!$C$7,Verweise!$B$2:$B$4542,B2769)=1,"Feiertag",IF(C2769="Samstag","",IF(C2769="Sonntag","",Übersicht!$C$8)))</f>
        <v>Feiertag</v>
      </c>
    </row>
    <row r="2770" spans="1:4" x14ac:dyDescent="0.25">
      <c r="A2770" t="s">
        <v>69</v>
      </c>
      <c r="B2770" s="48">
        <v>45398</v>
      </c>
      <c r="C2770" t="s">
        <v>47</v>
      </c>
      <c r="D2770" t="str">
        <f>IF(COUNTIFS(Verweise!$A$2:$A$4542,Übersicht!$C$7,Verweise!$B$2:$B$4542,B2770)=1,"Feiertag",IF(C2770="Samstag","",IF(C2770="Sonntag","",Übersicht!$C$8)))</f>
        <v>Feiertag</v>
      </c>
    </row>
    <row r="2771" spans="1:4" x14ac:dyDescent="0.25">
      <c r="A2771" t="s">
        <v>69</v>
      </c>
      <c r="B2771" s="48">
        <v>45412</v>
      </c>
      <c r="C2771" t="s">
        <v>48</v>
      </c>
      <c r="D2771" t="str">
        <f>IF(COUNTIFS(Verweise!$A$2:$A$4542,Übersicht!$C$7,Verweise!$B$2:$B$4542,B2771)=1,"Feiertag",IF(C2771="Samstag","",IF(C2771="Sonntag","",Übersicht!$C$8)))</f>
        <v>Feiertag</v>
      </c>
    </row>
    <row r="2772" spans="1:4" x14ac:dyDescent="0.25">
      <c r="A2772" t="s">
        <v>69</v>
      </c>
      <c r="B2772" s="48">
        <v>45436</v>
      </c>
      <c r="C2772" t="s">
        <v>49</v>
      </c>
      <c r="D2772" t="str">
        <f>IF(COUNTIFS(Verweise!$A$2:$A$4542,Übersicht!$C$7,Verweise!$B$2:$B$4542,B2772)=1,"Feiertag",IF(C2772="Samstag","",IF(C2772="Sonntag","",Übersicht!$C$8)))</f>
        <v>Feiertag</v>
      </c>
    </row>
    <row r="2773" spans="1:4" x14ac:dyDescent="0.25">
      <c r="A2773" t="s">
        <v>69</v>
      </c>
      <c r="B2773" s="48">
        <v>45446</v>
      </c>
      <c r="C2773" t="s">
        <v>50</v>
      </c>
      <c r="D2773" t="str">
        <f>IF(COUNTIFS(Verweise!$A$2:$A$4542,Übersicht!$C$7,Verweise!$B$2:$B$4542,B2773)=1,"Feiertag",IF(C2773="Samstag","",IF(C2773="Sonntag","",Übersicht!$C$8)))</f>
        <v>Feiertag</v>
      </c>
    </row>
    <row r="2774" spans="1:4" x14ac:dyDescent="0.25">
      <c r="A2774" t="s">
        <v>69</v>
      </c>
      <c r="B2774" s="48">
        <v>45447</v>
      </c>
      <c r="C2774" t="s">
        <v>51</v>
      </c>
      <c r="D2774" t="str">
        <f>IF(COUNTIFS(Verweise!$A$2:$A$4542,Übersicht!$C$7,Verweise!$B$2:$B$4542,B2774)=1,"Feiertag",IF(C2774="Samstag","",IF(C2774="Sonntag","",Übersicht!$C$8)))</f>
        <v>Feiertag</v>
      </c>
    </row>
    <row r="2775" spans="1:4" x14ac:dyDescent="0.25">
      <c r="A2775" t="s">
        <v>69</v>
      </c>
      <c r="B2775" s="48">
        <v>45457</v>
      </c>
      <c r="C2775" t="s">
        <v>52</v>
      </c>
      <c r="D2775" t="str">
        <f>IF(COUNTIFS(Verweise!$A$2:$A$4542,Übersicht!$C$7,Verweise!$B$2:$B$4542,B2775)=1,"Feiertag",IF(C2775="Samstag","",IF(C2775="Sonntag","",Übersicht!$C$8)))</f>
        <v>Feiertag</v>
      </c>
    </row>
    <row r="2776" spans="1:4" x14ac:dyDescent="0.25">
      <c r="A2776" t="s">
        <v>69</v>
      </c>
      <c r="B2776" s="48">
        <v>45567</v>
      </c>
      <c r="C2776" t="s">
        <v>53</v>
      </c>
      <c r="D2776" t="str">
        <f>IF(COUNTIFS(Verweise!$A$2:$A$4542,Übersicht!$C$7,Verweise!$B$2:$B$4542,B2776)=1,"Feiertag",IF(C2776="Samstag","",IF(C2776="Sonntag","",Übersicht!$C$8)))</f>
        <v>Feiertag</v>
      </c>
    </row>
    <row r="2777" spans="1:4" x14ac:dyDescent="0.25">
      <c r="A2777" t="s">
        <v>69</v>
      </c>
      <c r="B2777" s="48">
        <v>45596</v>
      </c>
      <c r="C2777" t="s">
        <v>54</v>
      </c>
      <c r="D2777" t="str">
        <f>IF(COUNTIFS(Verweise!$A$2:$A$4542,Übersicht!$C$7,Verweise!$B$2:$B$4542,B2777)=1,"Feiertag",IF(C2777="Samstag","",IF(C2777="Sonntag","",Übersicht!$C$8)))</f>
        <v>Feiertag</v>
      </c>
    </row>
    <row r="2778" spans="1:4" x14ac:dyDescent="0.25">
      <c r="A2778" t="s">
        <v>69</v>
      </c>
      <c r="B2778" s="48">
        <v>45650</v>
      </c>
      <c r="C2778" t="s">
        <v>55</v>
      </c>
      <c r="D2778" t="str">
        <f>IF(COUNTIFS(Verweise!$A$2:$A$4542,Übersicht!$C$7,Verweise!$B$2:$B$4542,B2778)=1,"Feiertag",IF(C2778="Samstag","",IF(C2778="Sonntag","",Übersicht!$C$8)))</f>
        <v>Feiertag</v>
      </c>
    </row>
    <row r="2779" spans="1:4" x14ac:dyDescent="0.25">
      <c r="A2779" t="s">
        <v>69</v>
      </c>
      <c r="B2779" s="48">
        <v>45651</v>
      </c>
      <c r="C2779" t="s">
        <v>56</v>
      </c>
      <c r="D2779" t="str">
        <f>IF(COUNTIFS(Verweise!$A$2:$A$4542,Übersicht!$C$7,Verweise!$B$2:$B$4542,B2779)=1,"Feiertag",IF(C2779="Samstag","",IF(C2779="Sonntag","",Übersicht!$C$8)))</f>
        <v>Feiertag</v>
      </c>
    </row>
    <row r="2780" spans="1:4" x14ac:dyDescent="0.25">
      <c r="A2780" t="s">
        <v>70</v>
      </c>
      <c r="B2780" s="48">
        <v>45291</v>
      </c>
      <c r="C2780" t="s">
        <v>43</v>
      </c>
      <c r="D2780" t="str">
        <f>IF(COUNTIFS(Verweise!$A$2:$A$4542,Übersicht!$C$7,Verweise!$B$2:$B$4542,B2780)=1,"Feiertag",IF(C2780="Samstag","",IF(C2780="Sonntag","",Übersicht!$C$8)))</f>
        <v>Feiertag</v>
      </c>
    </row>
    <row r="2781" spans="1:4" x14ac:dyDescent="0.25">
      <c r="A2781" t="s">
        <v>70</v>
      </c>
      <c r="B2781" s="48">
        <v>45395</v>
      </c>
      <c r="C2781" t="s">
        <v>45</v>
      </c>
      <c r="D2781" t="str">
        <f>IF(COUNTIFS(Verweise!$A$2:$A$4542,Übersicht!$C$7,Verweise!$B$2:$B$4542,B2781)=1,"Feiertag",IF(C2781="Samstag","",IF(C2781="Sonntag","",Übersicht!$C$8)))</f>
        <v>Feiertag</v>
      </c>
    </row>
    <row r="2782" spans="1:4" x14ac:dyDescent="0.25">
      <c r="A2782" t="s">
        <v>70</v>
      </c>
      <c r="B2782" s="48">
        <v>45397</v>
      </c>
      <c r="C2782" t="s">
        <v>46</v>
      </c>
      <c r="D2782" t="str">
        <f>IF(COUNTIFS(Verweise!$A$2:$A$4542,Übersicht!$C$7,Verweise!$B$2:$B$4542,B2782)=1,"Feiertag",IF(C2782="Samstag","",IF(C2782="Sonntag","",Übersicht!$C$8)))</f>
        <v>Feiertag</v>
      </c>
    </row>
    <row r="2783" spans="1:4" x14ac:dyDescent="0.25">
      <c r="A2783" t="s">
        <v>70</v>
      </c>
      <c r="B2783" s="48">
        <v>45398</v>
      </c>
      <c r="C2783" t="s">
        <v>47</v>
      </c>
      <c r="D2783" t="str">
        <f>IF(COUNTIFS(Verweise!$A$2:$A$4542,Übersicht!$C$7,Verweise!$B$2:$B$4542,B2783)=1,"Feiertag",IF(C2783="Samstag","",IF(C2783="Sonntag","",Übersicht!$C$8)))</f>
        <v>Feiertag</v>
      </c>
    </row>
    <row r="2784" spans="1:4" x14ac:dyDescent="0.25">
      <c r="A2784" t="s">
        <v>70</v>
      </c>
      <c r="B2784" s="48">
        <v>45412</v>
      </c>
      <c r="C2784" t="s">
        <v>48</v>
      </c>
      <c r="D2784" t="str">
        <f>IF(COUNTIFS(Verweise!$A$2:$A$4542,Übersicht!$C$7,Verweise!$B$2:$B$4542,B2784)=1,"Feiertag",IF(C2784="Samstag","",IF(C2784="Sonntag","",Übersicht!$C$8)))</f>
        <v>Feiertag</v>
      </c>
    </row>
    <row r="2785" spans="1:4" x14ac:dyDescent="0.25">
      <c r="A2785" t="s">
        <v>70</v>
      </c>
      <c r="B2785" s="48">
        <v>45436</v>
      </c>
      <c r="C2785" t="s">
        <v>49</v>
      </c>
      <c r="D2785" t="str">
        <f>IF(COUNTIFS(Verweise!$A$2:$A$4542,Übersicht!$C$7,Verweise!$B$2:$B$4542,B2785)=1,"Feiertag",IF(C2785="Samstag","",IF(C2785="Sonntag","",Übersicht!$C$8)))</f>
        <v>Feiertag</v>
      </c>
    </row>
    <row r="2786" spans="1:4" x14ac:dyDescent="0.25">
      <c r="A2786" t="s">
        <v>70</v>
      </c>
      <c r="B2786" s="48">
        <v>45446</v>
      </c>
      <c r="C2786" t="s">
        <v>50</v>
      </c>
      <c r="D2786" t="str">
        <f>IF(COUNTIFS(Verweise!$A$2:$A$4542,Übersicht!$C$7,Verweise!$B$2:$B$4542,B2786)=1,"Feiertag",IF(C2786="Samstag","",IF(C2786="Sonntag","",Übersicht!$C$8)))</f>
        <v>Feiertag</v>
      </c>
    </row>
    <row r="2787" spans="1:4" x14ac:dyDescent="0.25">
      <c r="A2787" t="s">
        <v>70</v>
      </c>
      <c r="B2787" s="48">
        <v>45447</v>
      </c>
      <c r="C2787" t="s">
        <v>51</v>
      </c>
      <c r="D2787" t="str">
        <f>IF(COUNTIFS(Verweise!$A$2:$A$4542,Übersicht!$C$7,Verweise!$B$2:$B$4542,B2787)=1,"Feiertag",IF(C2787="Samstag","",IF(C2787="Sonntag","",Übersicht!$C$8)))</f>
        <v>Feiertag</v>
      </c>
    </row>
    <row r="2788" spans="1:4" x14ac:dyDescent="0.25">
      <c r="A2788" t="s">
        <v>70</v>
      </c>
      <c r="B2788" s="48">
        <v>45457</v>
      </c>
      <c r="C2788" t="s">
        <v>52</v>
      </c>
      <c r="D2788" t="str">
        <f>IF(COUNTIFS(Verweise!$A$2:$A$4542,Übersicht!$C$7,Verweise!$B$2:$B$4542,B2788)=1,"Feiertag",IF(C2788="Samstag","",IF(C2788="Sonntag","",Übersicht!$C$8)))</f>
        <v>Feiertag</v>
      </c>
    </row>
    <row r="2789" spans="1:4" x14ac:dyDescent="0.25">
      <c r="A2789" t="s">
        <v>70</v>
      </c>
      <c r="B2789" s="48">
        <v>45518</v>
      </c>
      <c r="C2789" t="s">
        <v>59</v>
      </c>
      <c r="D2789" t="str">
        <f>IF(COUNTIFS(Verweise!$A$2:$A$4542,Übersicht!$C$7,Verweise!$B$2:$B$4542,B2789)=1,"Feiertag",IF(C2789="Samstag","",IF(C2789="Sonntag","",Übersicht!$C$8)))</f>
        <v>Büro</v>
      </c>
    </row>
    <row r="2790" spans="1:4" x14ac:dyDescent="0.25">
      <c r="A2790" t="s">
        <v>70</v>
      </c>
      <c r="B2790" s="48">
        <v>45567</v>
      </c>
      <c r="C2790" t="s">
        <v>53</v>
      </c>
      <c r="D2790" t="str">
        <f>IF(COUNTIFS(Verweise!$A$2:$A$4542,Übersicht!$C$7,Verweise!$B$2:$B$4542,B2790)=1,"Feiertag",IF(C2790="Samstag","",IF(C2790="Sonntag","",Übersicht!$C$8)))</f>
        <v>Feiertag</v>
      </c>
    </row>
    <row r="2791" spans="1:4" x14ac:dyDescent="0.25">
      <c r="A2791" t="s">
        <v>70</v>
      </c>
      <c r="B2791" s="48">
        <v>45596</v>
      </c>
      <c r="C2791" t="s">
        <v>54</v>
      </c>
      <c r="D2791" t="str">
        <f>IF(COUNTIFS(Verweise!$A$2:$A$4542,Übersicht!$C$7,Verweise!$B$2:$B$4542,B2791)=1,"Feiertag",IF(C2791="Samstag","",IF(C2791="Sonntag","",Übersicht!$C$8)))</f>
        <v>Feiertag</v>
      </c>
    </row>
    <row r="2792" spans="1:4" x14ac:dyDescent="0.25">
      <c r="A2792" t="s">
        <v>70</v>
      </c>
      <c r="B2792" s="48">
        <v>45650</v>
      </c>
      <c r="C2792" t="s">
        <v>55</v>
      </c>
      <c r="D2792" t="str">
        <f>IF(COUNTIFS(Verweise!$A$2:$A$4542,Übersicht!$C$7,Verweise!$B$2:$B$4542,B2792)=1,"Feiertag",IF(C2792="Samstag","",IF(C2792="Sonntag","",Übersicht!$C$8)))</f>
        <v>Feiertag</v>
      </c>
    </row>
    <row r="2793" spans="1:4" x14ac:dyDescent="0.25">
      <c r="A2793" t="s">
        <v>70</v>
      </c>
      <c r="B2793" s="48">
        <v>45651</v>
      </c>
      <c r="C2793" t="s">
        <v>56</v>
      </c>
      <c r="D2793" t="str">
        <f>IF(COUNTIFS(Verweise!$A$2:$A$4542,Übersicht!$C$7,Verweise!$B$2:$B$4542,B2793)=1,"Feiertag",IF(C2793="Samstag","",IF(C2793="Sonntag","",Übersicht!$C$8)))</f>
        <v>Feiertag</v>
      </c>
    </row>
    <row r="2794" spans="1:4" x14ac:dyDescent="0.25">
      <c r="A2794" t="s">
        <v>71</v>
      </c>
      <c r="B2794" s="48">
        <v>45291</v>
      </c>
      <c r="C2794" t="s">
        <v>43</v>
      </c>
      <c r="D2794" t="str">
        <f>IF(COUNTIFS(Verweise!$A$2:$A$4542,Übersicht!$C$7,Verweise!$B$2:$B$4542,B2794)=1,"Feiertag",IF(C2794="Samstag","",IF(C2794="Sonntag","",Übersicht!$C$8)))</f>
        <v>Feiertag</v>
      </c>
    </row>
    <row r="2795" spans="1:4" x14ac:dyDescent="0.25">
      <c r="A2795" t="s">
        <v>71</v>
      </c>
      <c r="B2795" s="48">
        <v>45395</v>
      </c>
      <c r="C2795" t="s">
        <v>45</v>
      </c>
      <c r="D2795" t="str">
        <f>IF(COUNTIFS(Verweise!$A$2:$A$4542,Übersicht!$C$7,Verweise!$B$2:$B$4542,B2795)=1,"Feiertag",IF(C2795="Samstag","",IF(C2795="Sonntag","",Übersicht!$C$8)))</f>
        <v>Feiertag</v>
      </c>
    </row>
    <row r="2796" spans="1:4" x14ac:dyDescent="0.25">
      <c r="A2796" t="s">
        <v>71</v>
      </c>
      <c r="B2796" s="48">
        <v>45397</v>
      </c>
      <c r="C2796" t="s">
        <v>46</v>
      </c>
      <c r="D2796" t="str">
        <f>IF(COUNTIFS(Verweise!$A$2:$A$4542,Übersicht!$C$7,Verweise!$B$2:$B$4542,B2796)=1,"Feiertag",IF(C2796="Samstag","",IF(C2796="Sonntag","",Übersicht!$C$8)))</f>
        <v>Feiertag</v>
      </c>
    </row>
    <row r="2797" spans="1:4" x14ac:dyDescent="0.25">
      <c r="A2797" t="s">
        <v>71</v>
      </c>
      <c r="B2797" s="48">
        <v>45398</v>
      </c>
      <c r="C2797" t="s">
        <v>47</v>
      </c>
      <c r="D2797" t="str">
        <f>IF(COUNTIFS(Verweise!$A$2:$A$4542,Übersicht!$C$7,Verweise!$B$2:$B$4542,B2797)=1,"Feiertag",IF(C2797="Samstag","",IF(C2797="Sonntag","",Übersicht!$C$8)))</f>
        <v>Feiertag</v>
      </c>
    </row>
    <row r="2798" spans="1:4" x14ac:dyDescent="0.25">
      <c r="A2798" t="s">
        <v>71</v>
      </c>
      <c r="B2798" s="48">
        <v>45412</v>
      </c>
      <c r="C2798" t="s">
        <v>48</v>
      </c>
      <c r="D2798" t="str">
        <f>IF(COUNTIFS(Verweise!$A$2:$A$4542,Übersicht!$C$7,Verweise!$B$2:$B$4542,B2798)=1,"Feiertag",IF(C2798="Samstag","",IF(C2798="Sonntag","",Übersicht!$C$8)))</f>
        <v>Feiertag</v>
      </c>
    </row>
    <row r="2799" spans="1:4" x14ac:dyDescent="0.25">
      <c r="A2799" t="s">
        <v>71</v>
      </c>
      <c r="B2799" s="48">
        <v>45436</v>
      </c>
      <c r="C2799" t="s">
        <v>49</v>
      </c>
      <c r="D2799" t="str">
        <f>IF(COUNTIFS(Verweise!$A$2:$A$4542,Übersicht!$C$7,Verweise!$B$2:$B$4542,B2799)=1,"Feiertag",IF(C2799="Samstag","",IF(C2799="Sonntag","",Übersicht!$C$8)))</f>
        <v>Feiertag</v>
      </c>
    </row>
    <row r="2800" spans="1:4" x14ac:dyDescent="0.25">
      <c r="A2800" t="s">
        <v>71</v>
      </c>
      <c r="B2800" s="48">
        <v>45446</v>
      </c>
      <c r="C2800" t="s">
        <v>50</v>
      </c>
      <c r="D2800" t="str">
        <f>IF(COUNTIFS(Verweise!$A$2:$A$4542,Übersicht!$C$7,Verweise!$B$2:$B$4542,B2800)=1,"Feiertag",IF(C2800="Samstag","",IF(C2800="Sonntag","",Übersicht!$C$8)))</f>
        <v>Feiertag</v>
      </c>
    </row>
    <row r="2801" spans="1:4" x14ac:dyDescent="0.25">
      <c r="A2801" t="s">
        <v>71</v>
      </c>
      <c r="B2801" s="48">
        <v>45447</v>
      </c>
      <c r="C2801" t="s">
        <v>51</v>
      </c>
      <c r="D2801" t="str">
        <f>IF(COUNTIFS(Verweise!$A$2:$A$4542,Übersicht!$C$7,Verweise!$B$2:$B$4542,B2801)=1,"Feiertag",IF(C2801="Samstag","",IF(C2801="Sonntag","",Übersicht!$C$8)))</f>
        <v>Feiertag</v>
      </c>
    </row>
    <row r="2802" spans="1:4" x14ac:dyDescent="0.25">
      <c r="A2802" t="s">
        <v>71</v>
      </c>
      <c r="B2802" s="48">
        <v>45567</v>
      </c>
      <c r="C2802" t="s">
        <v>53</v>
      </c>
      <c r="D2802" t="str">
        <f>IF(COUNTIFS(Verweise!$A$2:$A$4542,Übersicht!$C$7,Verweise!$B$2:$B$4542,B2802)=1,"Feiertag",IF(C2802="Samstag","",IF(C2802="Sonntag","",Übersicht!$C$8)))</f>
        <v>Feiertag</v>
      </c>
    </row>
    <row r="2803" spans="1:4" x14ac:dyDescent="0.25">
      <c r="A2803" t="s">
        <v>71</v>
      </c>
      <c r="B2803" s="48">
        <v>45595</v>
      </c>
      <c r="C2803" t="s">
        <v>62</v>
      </c>
      <c r="D2803" t="str">
        <f>IF(COUNTIFS(Verweise!$A$2:$A$4542,Übersicht!$C$7,Verweise!$B$2:$B$4542,B2803)=1,"Feiertag",IF(C2803="Samstag","",IF(C2803="Sonntag","",Übersicht!$C$8)))</f>
        <v>Büro</v>
      </c>
    </row>
    <row r="2804" spans="1:4" x14ac:dyDescent="0.25">
      <c r="A2804" t="s">
        <v>71</v>
      </c>
      <c r="B2804" s="48">
        <v>45617</v>
      </c>
      <c r="C2804" t="s">
        <v>72</v>
      </c>
      <c r="D2804" t="str">
        <f>IF(COUNTIFS(Verweise!$A$2:$A$4542,Übersicht!$C$7,Verweise!$B$2:$B$4542,B2804)=1,"Feiertag",IF(C2804="Samstag","",IF(C2804="Sonntag","",Übersicht!$C$8)))</f>
        <v>Büro</v>
      </c>
    </row>
    <row r="2805" spans="1:4" x14ac:dyDescent="0.25">
      <c r="A2805" t="s">
        <v>71</v>
      </c>
      <c r="B2805" s="48">
        <v>45650</v>
      </c>
      <c r="C2805" t="s">
        <v>55</v>
      </c>
      <c r="D2805" t="str">
        <f>IF(COUNTIFS(Verweise!$A$2:$A$4542,Übersicht!$C$7,Verweise!$B$2:$B$4542,B2805)=1,"Feiertag",IF(C2805="Samstag","",IF(C2805="Sonntag","",Übersicht!$C$8)))</f>
        <v>Feiertag</v>
      </c>
    </row>
    <row r="2806" spans="1:4" x14ac:dyDescent="0.25">
      <c r="A2806" t="s">
        <v>71</v>
      </c>
      <c r="B2806" s="48">
        <v>45651</v>
      </c>
      <c r="C2806" t="s">
        <v>56</v>
      </c>
      <c r="D2806" t="str">
        <f>IF(COUNTIFS(Verweise!$A$2:$A$4542,Übersicht!$C$7,Verweise!$B$2:$B$4542,B2806)=1,"Feiertag",IF(C2806="Samstag","",IF(C2806="Sonntag","",Übersicht!$C$8)))</f>
        <v>Feiertag</v>
      </c>
    </row>
    <row r="2807" spans="1:4" x14ac:dyDescent="0.25">
      <c r="A2807" t="s">
        <v>73</v>
      </c>
      <c r="B2807" s="48">
        <v>45291</v>
      </c>
      <c r="C2807" t="s">
        <v>43</v>
      </c>
      <c r="D2807" t="str">
        <f>IF(COUNTIFS(Verweise!$A$2:$A$4542,Übersicht!$C$7,Verweise!$B$2:$B$4542,B2807)=1,"Feiertag",IF(C2807="Samstag","",IF(C2807="Sonntag","",Übersicht!$C$8)))</f>
        <v>Feiertag</v>
      </c>
    </row>
    <row r="2808" spans="1:4" x14ac:dyDescent="0.25">
      <c r="A2808" t="s">
        <v>73</v>
      </c>
      <c r="B2808" s="48">
        <v>45395</v>
      </c>
      <c r="C2808" t="s">
        <v>45</v>
      </c>
      <c r="D2808" t="str">
        <f>IF(COUNTIFS(Verweise!$A$2:$A$4542,Übersicht!$C$7,Verweise!$B$2:$B$4542,B2808)=1,"Feiertag",IF(C2808="Samstag","",IF(C2808="Sonntag","",Übersicht!$C$8)))</f>
        <v>Feiertag</v>
      </c>
    </row>
    <row r="2809" spans="1:4" x14ac:dyDescent="0.25">
      <c r="A2809" t="s">
        <v>73</v>
      </c>
      <c r="B2809" s="48">
        <v>45397</v>
      </c>
      <c r="C2809" t="s">
        <v>46</v>
      </c>
      <c r="D2809" t="str">
        <f>IF(COUNTIFS(Verweise!$A$2:$A$4542,Übersicht!$C$7,Verweise!$B$2:$B$4542,B2809)=1,"Feiertag",IF(C2809="Samstag","",IF(C2809="Sonntag","",Übersicht!$C$8)))</f>
        <v>Feiertag</v>
      </c>
    </row>
    <row r="2810" spans="1:4" x14ac:dyDescent="0.25">
      <c r="A2810" t="s">
        <v>73</v>
      </c>
      <c r="B2810" s="48">
        <v>45398</v>
      </c>
      <c r="C2810" t="s">
        <v>47</v>
      </c>
      <c r="D2810" t="str">
        <f>IF(COUNTIFS(Verweise!$A$2:$A$4542,Übersicht!$C$7,Verweise!$B$2:$B$4542,B2810)=1,"Feiertag",IF(C2810="Samstag","",IF(C2810="Sonntag","",Übersicht!$C$8)))</f>
        <v>Feiertag</v>
      </c>
    </row>
    <row r="2811" spans="1:4" x14ac:dyDescent="0.25">
      <c r="A2811" t="s">
        <v>73</v>
      </c>
      <c r="B2811" s="48">
        <v>45412</v>
      </c>
      <c r="C2811" t="s">
        <v>48</v>
      </c>
      <c r="D2811" t="str">
        <f>IF(COUNTIFS(Verweise!$A$2:$A$4542,Übersicht!$C$7,Verweise!$B$2:$B$4542,B2811)=1,"Feiertag",IF(C2811="Samstag","",IF(C2811="Sonntag","",Übersicht!$C$8)))</f>
        <v>Feiertag</v>
      </c>
    </row>
    <row r="2812" spans="1:4" x14ac:dyDescent="0.25">
      <c r="A2812" t="s">
        <v>73</v>
      </c>
      <c r="B2812" s="48">
        <v>45436</v>
      </c>
      <c r="C2812" t="s">
        <v>49</v>
      </c>
      <c r="D2812" t="str">
        <f>IF(COUNTIFS(Verweise!$A$2:$A$4542,Übersicht!$C$7,Verweise!$B$2:$B$4542,B2812)=1,"Feiertag",IF(C2812="Samstag","",IF(C2812="Sonntag","",Übersicht!$C$8)))</f>
        <v>Feiertag</v>
      </c>
    </row>
    <row r="2813" spans="1:4" x14ac:dyDescent="0.25">
      <c r="A2813" t="s">
        <v>73</v>
      </c>
      <c r="B2813" s="48">
        <v>45446</v>
      </c>
      <c r="C2813" t="s">
        <v>50</v>
      </c>
      <c r="D2813" t="str">
        <f>IF(COUNTIFS(Verweise!$A$2:$A$4542,Übersicht!$C$7,Verweise!$B$2:$B$4542,B2813)=1,"Feiertag",IF(C2813="Samstag","",IF(C2813="Sonntag","",Übersicht!$C$8)))</f>
        <v>Feiertag</v>
      </c>
    </row>
    <row r="2814" spans="1:4" x14ac:dyDescent="0.25">
      <c r="A2814" t="s">
        <v>73</v>
      </c>
      <c r="B2814" s="48">
        <v>45447</v>
      </c>
      <c r="C2814" t="s">
        <v>51</v>
      </c>
      <c r="D2814" t="str">
        <f>IF(COUNTIFS(Verweise!$A$2:$A$4542,Übersicht!$C$7,Verweise!$B$2:$B$4542,B2814)=1,"Feiertag",IF(C2814="Samstag","",IF(C2814="Sonntag","",Übersicht!$C$8)))</f>
        <v>Feiertag</v>
      </c>
    </row>
    <row r="2815" spans="1:4" x14ac:dyDescent="0.25">
      <c r="A2815" t="s">
        <v>73</v>
      </c>
      <c r="B2815" s="48">
        <v>45457</v>
      </c>
      <c r="C2815" t="s">
        <v>52</v>
      </c>
      <c r="D2815" t="str">
        <f>IF(COUNTIFS(Verweise!$A$2:$A$4542,Übersicht!$C$7,Verweise!$B$2:$B$4542,B2815)=1,"Feiertag",IF(C2815="Samstag","",IF(C2815="Sonntag","",Übersicht!$C$8)))</f>
        <v>Feiertag</v>
      </c>
    </row>
    <row r="2816" spans="1:4" x14ac:dyDescent="0.25">
      <c r="A2816" t="s">
        <v>73</v>
      </c>
      <c r="B2816" s="48">
        <v>45567</v>
      </c>
      <c r="C2816" t="s">
        <v>53</v>
      </c>
      <c r="D2816" t="str">
        <f>IF(COUNTIFS(Verweise!$A$2:$A$4542,Übersicht!$C$7,Verweise!$B$2:$B$4542,B2816)=1,"Feiertag",IF(C2816="Samstag","",IF(C2816="Sonntag","",Übersicht!$C$8)))</f>
        <v>Feiertag</v>
      </c>
    </row>
    <row r="2817" spans="1:4" x14ac:dyDescent="0.25">
      <c r="A2817" t="s">
        <v>73</v>
      </c>
      <c r="B2817" s="48">
        <v>45595</v>
      </c>
      <c r="C2817" t="s">
        <v>62</v>
      </c>
      <c r="D2817" t="str">
        <f>IF(COUNTIFS(Verweise!$A$2:$A$4542,Übersicht!$C$7,Verweise!$B$2:$B$4542,B2817)=1,"Feiertag",IF(C2817="Samstag","",IF(C2817="Sonntag","",Übersicht!$C$8)))</f>
        <v>Büro</v>
      </c>
    </row>
    <row r="2818" spans="1:4" x14ac:dyDescent="0.25">
      <c r="A2818" t="s">
        <v>73</v>
      </c>
      <c r="B2818" s="48">
        <v>45617</v>
      </c>
      <c r="C2818" t="s">
        <v>72</v>
      </c>
      <c r="D2818" t="str">
        <f>IF(COUNTIFS(Verweise!$A$2:$A$4542,Übersicht!$C$7,Verweise!$B$2:$B$4542,B2818)=1,"Feiertag",IF(C2818="Samstag","",IF(C2818="Sonntag","",Übersicht!$C$8)))</f>
        <v>Büro</v>
      </c>
    </row>
    <row r="2819" spans="1:4" x14ac:dyDescent="0.25">
      <c r="A2819" t="s">
        <v>73</v>
      </c>
      <c r="B2819" s="48">
        <v>45650</v>
      </c>
      <c r="C2819" t="s">
        <v>55</v>
      </c>
      <c r="D2819" t="str">
        <f>IF(COUNTIFS(Verweise!$A$2:$A$4542,Übersicht!$C$7,Verweise!$B$2:$B$4542,B2819)=1,"Feiertag",IF(C2819="Samstag","",IF(C2819="Sonntag","",Übersicht!$C$8)))</f>
        <v>Feiertag</v>
      </c>
    </row>
    <row r="2820" spans="1:4" x14ac:dyDescent="0.25">
      <c r="A2820" t="s">
        <v>73</v>
      </c>
      <c r="B2820" s="48">
        <v>45651</v>
      </c>
      <c r="C2820" t="s">
        <v>56</v>
      </c>
      <c r="D2820" t="str">
        <f>IF(COUNTIFS(Verweise!$A$2:$A$4542,Übersicht!$C$7,Verweise!$B$2:$B$4542,B2820)=1,"Feiertag",IF(C2820="Samstag","",IF(C2820="Sonntag","",Übersicht!$C$8)))</f>
        <v>Feiertag</v>
      </c>
    </row>
    <row r="2821" spans="1:4" x14ac:dyDescent="0.25">
      <c r="A2821" t="s">
        <v>74</v>
      </c>
      <c r="B2821" s="48">
        <v>45291</v>
      </c>
      <c r="C2821" t="s">
        <v>43</v>
      </c>
      <c r="D2821" t="str">
        <f>IF(COUNTIFS(Verweise!$A$2:$A$4542,Übersicht!$C$7,Verweise!$B$2:$B$4542,B2821)=1,"Feiertag",IF(C2821="Samstag","",IF(C2821="Sonntag","",Übersicht!$C$8)))</f>
        <v>Feiertag</v>
      </c>
    </row>
    <row r="2822" spans="1:4" x14ac:dyDescent="0.25">
      <c r="A2822" t="s">
        <v>74</v>
      </c>
      <c r="B2822" s="48">
        <v>45296</v>
      </c>
      <c r="C2822" t="s">
        <v>44</v>
      </c>
      <c r="D2822" t="str">
        <f>IF(COUNTIFS(Verweise!$A$2:$A$4542,Übersicht!$C$7,Verweise!$B$2:$B$4542,B2822)=1,"Feiertag",IF(C2822="Samstag","",IF(C2822="Sonntag","",Übersicht!$C$8)))</f>
        <v>Büro</v>
      </c>
    </row>
    <row r="2823" spans="1:4" x14ac:dyDescent="0.25">
      <c r="A2823" t="s">
        <v>74</v>
      </c>
      <c r="B2823" s="48">
        <v>45395</v>
      </c>
      <c r="C2823" t="s">
        <v>45</v>
      </c>
      <c r="D2823" t="str">
        <f>IF(COUNTIFS(Verweise!$A$2:$A$4542,Übersicht!$C$7,Verweise!$B$2:$B$4542,B2823)=1,"Feiertag",IF(C2823="Samstag","",IF(C2823="Sonntag","",Übersicht!$C$8)))</f>
        <v>Feiertag</v>
      </c>
    </row>
    <row r="2824" spans="1:4" x14ac:dyDescent="0.25">
      <c r="A2824" t="s">
        <v>74</v>
      </c>
      <c r="B2824" s="48">
        <v>45397</v>
      </c>
      <c r="C2824" t="s">
        <v>46</v>
      </c>
      <c r="D2824" t="str">
        <f>IF(COUNTIFS(Verweise!$A$2:$A$4542,Übersicht!$C$7,Verweise!$B$2:$B$4542,B2824)=1,"Feiertag",IF(C2824="Samstag","",IF(C2824="Sonntag","",Übersicht!$C$8)))</f>
        <v>Feiertag</v>
      </c>
    </row>
    <row r="2825" spans="1:4" x14ac:dyDescent="0.25">
      <c r="A2825" t="s">
        <v>74</v>
      </c>
      <c r="B2825" s="48">
        <v>45398</v>
      </c>
      <c r="C2825" t="s">
        <v>47</v>
      </c>
      <c r="D2825" t="str">
        <f>IF(COUNTIFS(Verweise!$A$2:$A$4542,Übersicht!$C$7,Verweise!$B$2:$B$4542,B2825)=1,"Feiertag",IF(C2825="Samstag","",IF(C2825="Sonntag","",Übersicht!$C$8)))</f>
        <v>Feiertag</v>
      </c>
    </row>
    <row r="2826" spans="1:4" x14ac:dyDescent="0.25">
      <c r="A2826" t="s">
        <v>74</v>
      </c>
      <c r="B2826" s="48">
        <v>45412</v>
      </c>
      <c r="C2826" t="s">
        <v>48</v>
      </c>
      <c r="D2826" t="str">
        <f>IF(COUNTIFS(Verweise!$A$2:$A$4542,Übersicht!$C$7,Verweise!$B$2:$B$4542,B2826)=1,"Feiertag",IF(C2826="Samstag","",IF(C2826="Sonntag","",Übersicht!$C$8)))</f>
        <v>Feiertag</v>
      </c>
    </row>
    <row r="2827" spans="1:4" x14ac:dyDescent="0.25">
      <c r="A2827" t="s">
        <v>74</v>
      </c>
      <c r="B2827" s="48">
        <v>45436</v>
      </c>
      <c r="C2827" t="s">
        <v>49</v>
      </c>
      <c r="D2827" t="str">
        <f>IF(COUNTIFS(Verweise!$A$2:$A$4542,Übersicht!$C$7,Verweise!$B$2:$B$4542,B2827)=1,"Feiertag",IF(C2827="Samstag","",IF(C2827="Sonntag","",Übersicht!$C$8)))</f>
        <v>Feiertag</v>
      </c>
    </row>
    <row r="2828" spans="1:4" x14ac:dyDescent="0.25">
      <c r="A2828" t="s">
        <v>74</v>
      </c>
      <c r="B2828" s="48">
        <v>45446</v>
      </c>
      <c r="C2828" t="s">
        <v>50</v>
      </c>
      <c r="D2828" t="str">
        <f>IF(COUNTIFS(Verweise!$A$2:$A$4542,Übersicht!$C$7,Verweise!$B$2:$B$4542,B2828)=1,"Feiertag",IF(C2828="Samstag","",IF(C2828="Sonntag","",Übersicht!$C$8)))</f>
        <v>Feiertag</v>
      </c>
    </row>
    <row r="2829" spans="1:4" x14ac:dyDescent="0.25">
      <c r="A2829" t="s">
        <v>74</v>
      </c>
      <c r="B2829" s="48">
        <v>45447</v>
      </c>
      <c r="C2829" t="s">
        <v>51</v>
      </c>
      <c r="D2829" t="str">
        <f>IF(COUNTIFS(Verweise!$A$2:$A$4542,Übersicht!$C$7,Verweise!$B$2:$B$4542,B2829)=1,"Feiertag",IF(C2829="Samstag","",IF(C2829="Sonntag","",Übersicht!$C$8)))</f>
        <v>Feiertag</v>
      </c>
    </row>
    <row r="2830" spans="1:4" x14ac:dyDescent="0.25">
      <c r="A2830" t="s">
        <v>74</v>
      </c>
      <c r="B2830" s="48">
        <v>45567</v>
      </c>
      <c r="C2830" t="s">
        <v>53</v>
      </c>
      <c r="D2830" t="str">
        <f>IF(COUNTIFS(Verweise!$A$2:$A$4542,Übersicht!$C$7,Verweise!$B$2:$B$4542,B2830)=1,"Feiertag",IF(C2830="Samstag","",IF(C2830="Sonntag","",Übersicht!$C$8)))</f>
        <v>Feiertag</v>
      </c>
    </row>
    <row r="2831" spans="1:4" x14ac:dyDescent="0.25">
      <c r="A2831" t="s">
        <v>74</v>
      </c>
      <c r="B2831" s="48">
        <v>45595</v>
      </c>
      <c r="C2831" t="s">
        <v>62</v>
      </c>
      <c r="D2831" t="str">
        <f>IF(COUNTIFS(Verweise!$A$2:$A$4542,Übersicht!$C$7,Verweise!$B$2:$B$4542,B2831)=1,"Feiertag",IF(C2831="Samstag","",IF(C2831="Sonntag","",Übersicht!$C$8)))</f>
        <v>Büro</v>
      </c>
    </row>
    <row r="2832" spans="1:4" x14ac:dyDescent="0.25">
      <c r="A2832" t="s">
        <v>74</v>
      </c>
      <c r="B2832" s="48">
        <v>45650</v>
      </c>
      <c r="C2832" t="s">
        <v>55</v>
      </c>
      <c r="D2832" t="str">
        <f>IF(COUNTIFS(Verweise!$A$2:$A$4542,Übersicht!$C$7,Verweise!$B$2:$B$4542,B2832)=1,"Feiertag",IF(C2832="Samstag","",IF(C2832="Sonntag","",Übersicht!$C$8)))</f>
        <v>Feiertag</v>
      </c>
    </row>
    <row r="2833" spans="1:4" x14ac:dyDescent="0.25">
      <c r="A2833" t="s">
        <v>74</v>
      </c>
      <c r="B2833" s="48">
        <v>45651</v>
      </c>
      <c r="C2833" t="s">
        <v>56</v>
      </c>
      <c r="D2833" t="str">
        <f>IF(COUNTIFS(Verweise!$A$2:$A$4542,Übersicht!$C$7,Verweise!$B$2:$B$4542,B2833)=1,"Feiertag",IF(C2833="Samstag","",IF(C2833="Sonntag","",Übersicht!$C$8)))</f>
        <v>Feiertag</v>
      </c>
    </row>
    <row r="2834" spans="1:4" x14ac:dyDescent="0.25">
      <c r="A2834" t="s">
        <v>75</v>
      </c>
      <c r="B2834" s="48">
        <v>45291</v>
      </c>
      <c r="C2834" t="s">
        <v>43</v>
      </c>
      <c r="D2834" t="str">
        <f>IF(COUNTIFS(Verweise!$A$2:$A$4542,Übersicht!$C$7,Verweise!$B$2:$B$4542,B2834)=1,"Feiertag",IF(C2834="Samstag","",IF(C2834="Sonntag","",Übersicht!$C$8)))</f>
        <v>Feiertag</v>
      </c>
    </row>
    <row r="2835" spans="1:4" x14ac:dyDescent="0.25">
      <c r="A2835" t="s">
        <v>75</v>
      </c>
      <c r="B2835" s="48">
        <v>45395</v>
      </c>
      <c r="C2835" t="s">
        <v>45</v>
      </c>
      <c r="D2835" t="str">
        <f>IF(COUNTIFS(Verweise!$A$2:$A$4542,Übersicht!$C$7,Verweise!$B$2:$B$4542,B2835)=1,"Feiertag",IF(C2835="Samstag","",IF(C2835="Sonntag","",Übersicht!$C$8)))</f>
        <v>Feiertag</v>
      </c>
    </row>
    <row r="2836" spans="1:4" x14ac:dyDescent="0.25">
      <c r="A2836" t="s">
        <v>75</v>
      </c>
      <c r="B2836" s="48">
        <v>45397</v>
      </c>
      <c r="C2836" t="s">
        <v>46</v>
      </c>
      <c r="D2836" t="str">
        <f>IF(COUNTIFS(Verweise!$A$2:$A$4542,Übersicht!$C$7,Verweise!$B$2:$B$4542,B2836)=1,"Feiertag",IF(C2836="Samstag","",IF(C2836="Sonntag","",Übersicht!$C$8)))</f>
        <v>Feiertag</v>
      </c>
    </row>
    <row r="2837" spans="1:4" x14ac:dyDescent="0.25">
      <c r="A2837" t="s">
        <v>75</v>
      </c>
      <c r="B2837" s="48">
        <v>45398</v>
      </c>
      <c r="C2837" t="s">
        <v>47</v>
      </c>
      <c r="D2837" t="str">
        <f>IF(COUNTIFS(Verweise!$A$2:$A$4542,Übersicht!$C$7,Verweise!$B$2:$B$4542,B2837)=1,"Feiertag",IF(C2837="Samstag","",IF(C2837="Sonntag","",Übersicht!$C$8)))</f>
        <v>Feiertag</v>
      </c>
    </row>
    <row r="2838" spans="1:4" x14ac:dyDescent="0.25">
      <c r="A2838" t="s">
        <v>75</v>
      </c>
      <c r="B2838" s="48">
        <v>45412</v>
      </c>
      <c r="C2838" t="s">
        <v>48</v>
      </c>
      <c r="D2838" t="str">
        <f>IF(COUNTIFS(Verweise!$A$2:$A$4542,Übersicht!$C$7,Verweise!$B$2:$B$4542,B2838)=1,"Feiertag",IF(C2838="Samstag","",IF(C2838="Sonntag","",Übersicht!$C$8)))</f>
        <v>Feiertag</v>
      </c>
    </row>
    <row r="2839" spans="1:4" x14ac:dyDescent="0.25">
      <c r="A2839" t="s">
        <v>75</v>
      </c>
      <c r="B2839" s="48">
        <v>45436</v>
      </c>
      <c r="C2839" t="s">
        <v>49</v>
      </c>
      <c r="D2839" t="str">
        <f>IF(COUNTIFS(Verweise!$A$2:$A$4542,Übersicht!$C$7,Verweise!$B$2:$B$4542,B2839)=1,"Feiertag",IF(C2839="Samstag","",IF(C2839="Sonntag","",Übersicht!$C$8)))</f>
        <v>Feiertag</v>
      </c>
    </row>
    <row r="2840" spans="1:4" x14ac:dyDescent="0.25">
      <c r="A2840" t="s">
        <v>75</v>
      </c>
      <c r="B2840" s="48">
        <v>45446</v>
      </c>
      <c r="C2840" t="s">
        <v>50</v>
      </c>
      <c r="D2840" t="str">
        <f>IF(COUNTIFS(Verweise!$A$2:$A$4542,Übersicht!$C$7,Verweise!$B$2:$B$4542,B2840)=1,"Feiertag",IF(C2840="Samstag","",IF(C2840="Sonntag","",Übersicht!$C$8)))</f>
        <v>Feiertag</v>
      </c>
    </row>
    <row r="2841" spans="1:4" x14ac:dyDescent="0.25">
      <c r="A2841" t="s">
        <v>75</v>
      </c>
      <c r="B2841" s="48">
        <v>45447</v>
      </c>
      <c r="C2841" t="s">
        <v>51</v>
      </c>
      <c r="D2841" t="str">
        <f>IF(COUNTIFS(Verweise!$A$2:$A$4542,Übersicht!$C$7,Verweise!$B$2:$B$4542,B2841)=1,"Feiertag",IF(C2841="Samstag","",IF(C2841="Sonntag","",Übersicht!$C$8)))</f>
        <v>Feiertag</v>
      </c>
    </row>
    <row r="2842" spans="1:4" x14ac:dyDescent="0.25">
      <c r="A2842" t="s">
        <v>75</v>
      </c>
      <c r="B2842" s="48">
        <v>45567</v>
      </c>
      <c r="C2842" t="s">
        <v>53</v>
      </c>
      <c r="D2842" t="str">
        <f>IF(COUNTIFS(Verweise!$A$2:$A$4542,Übersicht!$C$7,Verweise!$B$2:$B$4542,B2842)=1,"Feiertag",IF(C2842="Samstag","",IF(C2842="Sonntag","",Übersicht!$C$8)))</f>
        <v>Feiertag</v>
      </c>
    </row>
    <row r="2843" spans="1:4" x14ac:dyDescent="0.25">
      <c r="A2843" t="s">
        <v>75</v>
      </c>
      <c r="B2843" s="48">
        <v>45650</v>
      </c>
      <c r="C2843" t="s">
        <v>55</v>
      </c>
      <c r="D2843" t="str">
        <f>IF(COUNTIFS(Verweise!$A$2:$A$4542,Übersicht!$C$7,Verweise!$B$2:$B$4542,B2843)=1,"Feiertag",IF(C2843="Samstag","",IF(C2843="Sonntag","",Übersicht!$C$8)))</f>
        <v>Feiertag</v>
      </c>
    </row>
    <row r="2844" spans="1:4" x14ac:dyDescent="0.25">
      <c r="A2844" t="s">
        <v>75</v>
      </c>
      <c r="B2844" s="48">
        <v>45651</v>
      </c>
      <c r="C2844" t="s">
        <v>56</v>
      </c>
      <c r="D2844" t="str">
        <f>IF(COUNTIFS(Verweise!$A$2:$A$4542,Übersicht!$C$7,Verweise!$B$2:$B$4542,B2844)=1,"Feiertag",IF(C2844="Samstag","",IF(C2844="Sonntag","",Übersicht!$C$8)))</f>
        <v>Feiertag</v>
      </c>
    </row>
    <row r="2845" spans="1:4" x14ac:dyDescent="0.25">
      <c r="A2845" t="s">
        <v>76</v>
      </c>
      <c r="B2845" s="48">
        <v>45291</v>
      </c>
      <c r="C2845" t="s">
        <v>43</v>
      </c>
      <c r="D2845" t="str">
        <f>IF(COUNTIFS(Verweise!$A$2:$A$4542,Übersicht!$C$7,Verweise!$B$2:$B$4542,B2845)=1,"Feiertag",IF(C2845="Samstag","",IF(C2845="Sonntag","",Übersicht!$C$8)))</f>
        <v>Feiertag</v>
      </c>
    </row>
    <row r="2846" spans="1:4" x14ac:dyDescent="0.25">
      <c r="A2846" t="s">
        <v>76</v>
      </c>
      <c r="B2846" s="48">
        <v>45395</v>
      </c>
      <c r="C2846" t="s">
        <v>45</v>
      </c>
      <c r="D2846" t="str">
        <f>IF(COUNTIFS(Verweise!$A$2:$A$4542,Übersicht!$C$7,Verweise!$B$2:$B$4542,B2846)=1,"Feiertag",IF(C2846="Samstag","",IF(C2846="Sonntag","",Übersicht!$C$8)))</f>
        <v>Feiertag</v>
      </c>
    </row>
    <row r="2847" spans="1:4" x14ac:dyDescent="0.25">
      <c r="A2847" t="s">
        <v>76</v>
      </c>
      <c r="B2847" s="48">
        <v>45397</v>
      </c>
      <c r="C2847" t="s">
        <v>46</v>
      </c>
      <c r="D2847" t="str">
        <f>IF(COUNTIFS(Verweise!$A$2:$A$4542,Übersicht!$C$7,Verweise!$B$2:$B$4542,B2847)=1,"Feiertag",IF(C2847="Samstag","",IF(C2847="Sonntag","",Übersicht!$C$8)))</f>
        <v>Feiertag</v>
      </c>
    </row>
    <row r="2848" spans="1:4" x14ac:dyDescent="0.25">
      <c r="A2848" t="s">
        <v>76</v>
      </c>
      <c r="B2848" s="48">
        <v>45398</v>
      </c>
      <c r="C2848" t="s">
        <v>47</v>
      </c>
      <c r="D2848" t="str">
        <f>IF(COUNTIFS(Verweise!$A$2:$A$4542,Übersicht!$C$7,Verweise!$B$2:$B$4542,B2848)=1,"Feiertag",IF(C2848="Samstag","",IF(C2848="Sonntag","",Übersicht!$C$8)))</f>
        <v>Feiertag</v>
      </c>
    </row>
    <row r="2849" spans="1:4" x14ac:dyDescent="0.25">
      <c r="A2849" t="s">
        <v>76</v>
      </c>
      <c r="B2849" s="48">
        <v>45412</v>
      </c>
      <c r="C2849" t="s">
        <v>48</v>
      </c>
      <c r="D2849" t="str">
        <f>IF(COUNTIFS(Verweise!$A$2:$A$4542,Übersicht!$C$7,Verweise!$B$2:$B$4542,B2849)=1,"Feiertag",IF(C2849="Samstag","",IF(C2849="Sonntag","",Übersicht!$C$8)))</f>
        <v>Feiertag</v>
      </c>
    </row>
    <row r="2850" spans="1:4" x14ac:dyDescent="0.25">
      <c r="A2850" t="s">
        <v>76</v>
      </c>
      <c r="B2850" s="48">
        <v>45436</v>
      </c>
      <c r="C2850" t="s">
        <v>49</v>
      </c>
      <c r="D2850" t="str">
        <f>IF(COUNTIFS(Verweise!$A$2:$A$4542,Übersicht!$C$7,Verweise!$B$2:$B$4542,B2850)=1,"Feiertag",IF(C2850="Samstag","",IF(C2850="Sonntag","",Übersicht!$C$8)))</f>
        <v>Feiertag</v>
      </c>
    </row>
    <row r="2851" spans="1:4" x14ac:dyDescent="0.25">
      <c r="A2851" t="s">
        <v>76</v>
      </c>
      <c r="B2851" s="48">
        <v>45446</v>
      </c>
      <c r="C2851" t="s">
        <v>50</v>
      </c>
      <c r="D2851" t="str">
        <f>IF(COUNTIFS(Verweise!$A$2:$A$4542,Übersicht!$C$7,Verweise!$B$2:$B$4542,B2851)=1,"Feiertag",IF(C2851="Samstag","",IF(C2851="Sonntag","",Übersicht!$C$8)))</f>
        <v>Feiertag</v>
      </c>
    </row>
    <row r="2852" spans="1:4" x14ac:dyDescent="0.25">
      <c r="A2852" t="s">
        <v>76</v>
      </c>
      <c r="B2852" s="48">
        <v>45447</v>
      </c>
      <c r="C2852" t="s">
        <v>51</v>
      </c>
      <c r="D2852" t="str">
        <f>IF(COUNTIFS(Verweise!$A$2:$A$4542,Übersicht!$C$7,Verweise!$B$2:$B$4542,B2852)=1,"Feiertag",IF(C2852="Samstag","",IF(C2852="Sonntag","",Übersicht!$C$8)))</f>
        <v>Feiertag</v>
      </c>
    </row>
    <row r="2853" spans="1:4" x14ac:dyDescent="0.25">
      <c r="A2853" t="s">
        <v>76</v>
      </c>
      <c r="B2853" s="48">
        <v>45567</v>
      </c>
      <c r="C2853" t="s">
        <v>53</v>
      </c>
      <c r="D2853" t="str">
        <f>IF(COUNTIFS(Verweise!$A$2:$A$4542,Übersicht!$C$7,Verweise!$B$2:$B$4542,B2853)=1,"Feiertag",IF(C2853="Samstag","",IF(C2853="Sonntag","",Übersicht!$C$8)))</f>
        <v>Feiertag</v>
      </c>
    </row>
    <row r="2854" spans="1:4" x14ac:dyDescent="0.25">
      <c r="A2854" t="s">
        <v>76</v>
      </c>
      <c r="B2854" s="48">
        <v>45595</v>
      </c>
      <c r="C2854" t="s">
        <v>62</v>
      </c>
      <c r="D2854" t="str">
        <f>IF(COUNTIFS(Verweise!$A$2:$A$4542,Übersicht!$C$7,Verweise!$B$2:$B$4542,B2854)=1,"Feiertag",IF(C2854="Samstag","",IF(C2854="Sonntag","",Übersicht!$C$8)))</f>
        <v>Büro</v>
      </c>
    </row>
    <row r="2855" spans="1:4" x14ac:dyDescent="0.25">
      <c r="A2855" t="s">
        <v>76</v>
      </c>
      <c r="B2855" s="48">
        <v>45650</v>
      </c>
      <c r="C2855" t="s">
        <v>55</v>
      </c>
      <c r="D2855" t="str">
        <f>IF(COUNTIFS(Verweise!$A$2:$A$4542,Übersicht!$C$7,Verweise!$B$2:$B$4542,B2855)=1,"Feiertag",IF(C2855="Samstag","",IF(C2855="Sonntag","",Übersicht!$C$8)))</f>
        <v>Feiertag</v>
      </c>
    </row>
    <row r="2856" spans="1:4" x14ac:dyDescent="0.25">
      <c r="A2856" t="s">
        <v>76</v>
      </c>
      <c r="B2856" s="48">
        <v>45651</v>
      </c>
      <c r="C2856" t="s">
        <v>56</v>
      </c>
      <c r="D2856" t="str">
        <f>IF(COUNTIFS(Verweise!$A$2:$A$4542,Übersicht!$C$7,Verweise!$B$2:$B$4542,B2856)=1,"Feiertag",IF(C2856="Samstag","",IF(C2856="Sonntag","",Übersicht!$C$8)))</f>
        <v>Feiertag</v>
      </c>
    </row>
    <row r="2857" spans="1:4" x14ac:dyDescent="0.25">
      <c r="A2857" t="s">
        <v>77</v>
      </c>
      <c r="B2857" s="48">
        <v>45291</v>
      </c>
      <c r="C2857" t="s">
        <v>43</v>
      </c>
      <c r="D2857" t="str">
        <f>IF(COUNTIFS(Verweise!$A$2:$A$4542,Übersicht!$C$7,Verweise!$B$2:$B$4542,B2857)=1,"Feiertag",IF(C2857="Samstag","",IF(C2857="Sonntag","",Übersicht!$C$8)))</f>
        <v>Feiertag</v>
      </c>
    </row>
    <row r="2858" spans="1:4" x14ac:dyDescent="0.25">
      <c r="A2858" t="s">
        <v>77</v>
      </c>
      <c r="B2858" s="48">
        <v>45395</v>
      </c>
      <c r="C2858" t="s">
        <v>45</v>
      </c>
      <c r="D2858" t="str">
        <f>IF(COUNTIFS(Verweise!$A$2:$A$4542,Übersicht!$C$7,Verweise!$B$2:$B$4542,B2858)=1,"Feiertag",IF(C2858="Samstag","",IF(C2858="Sonntag","",Übersicht!$C$8)))</f>
        <v>Feiertag</v>
      </c>
    </row>
    <row r="2859" spans="1:4" x14ac:dyDescent="0.25">
      <c r="A2859" t="s">
        <v>77</v>
      </c>
      <c r="B2859" s="48">
        <v>45397</v>
      </c>
      <c r="C2859" t="s">
        <v>46</v>
      </c>
      <c r="D2859" t="str">
        <f>IF(COUNTIFS(Verweise!$A$2:$A$4542,Übersicht!$C$7,Verweise!$B$2:$B$4542,B2859)=1,"Feiertag",IF(C2859="Samstag","",IF(C2859="Sonntag","",Übersicht!$C$8)))</f>
        <v>Feiertag</v>
      </c>
    </row>
    <row r="2860" spans="1:4" x14ac:dyDescent="0.25">
      <c r="A2860" t="s">
        <v>77</v>
      </c>
      <c r="B2860" s="48">
        <v>45398</v>
      </c>
      <c r="C2860" t="s">
        <v>47</v>
      </c>
      <c r="D2860" t="str">
        <f>IF(COUNTIFS(Verweise!$A$2:$A$4542,Übersicht!$C$7,Verweise!$B$2:$B$4542,B2860)=1,"Feiertag",IF(C2860="Samstag","",IF(C2860="Sonntag","",Übersicht!$C$8)))</f>
        <v>Feiertag</v>
      </c>
    </row>
    <row r="2861" spans="1:4" x14ac:dyDescent="0.25">
      <c r="A2861" t="s">
        <v>77</v>
      </c>
      <c r="B2861" s="48">
        <v>45412</v>
      </c>
      <c r="C2861" t="s">
        <v>48</v>
      </c>
      <c r="D2861" t="str">
        <f>IF(COUNTIFS(Verweise!$A$2:$A$4542,Übersicht!$C$7,Verweise!$B$2:$B$4542,B2861)=1,"Feiertag",IF(C2861="Samstag","",IF(C2861="Sonntag","",Übersicht!$C$8)))</f>
        <v>Feiertag</v>
      </c>
    </row>
    <row r="2862" spans="1:4" x14ac:dyDescent="0.25">
      <c r="A2862" t="s">
        <v>77</v>
      </c>
      <c r="B2862" s="48">
        <v>45436</v>
      </c>
      <c r="C2862" t="s">
        <v>49</v>
      </c>
      <c r="D2862" t="str">
        <f>IF(COUNTIFS(Verweise!$A$2:$A$4542,Übersicht!$C$7,Verweise!$B$2:$B$4542,B2862)=1,"Feiertag",IF(C2862="Samstag","",IF(C2862="Sonntag","",Übersicht!$C$8)))</f>
        <v>Feiertag</v>
      </c>
    </row>
    <row r="2863" spans="1:4" x14ac:dyDescent="0.25">
      <c r="A2863" t="s">
        <v>77</v>
      </c>
      <c r="B2863" s="48">
        <v>45446</v>
      </c>
      <c r="C2863" t="s">
        <v>50</v>
      </c>
      <c r="D2863" t="str">
        <f>IF(COUNTIFS(Verweise!$A$2:$A$4542,Übersicht!$C$7,Verweise!$B$2:$B$4542,B2863)=1,"Feiertag",IF(C2863="Samstag","",IF(C2863="Sonntag","",Übersicht!$C$8)))</f>
        <v>Feiertag</v>
      </c>
    </row>
    <row r="2864" spans="1:4" x14ac:dyDescent="0.25">
      <c r="A2864" t="s">
        <v>77</v>
      </c>
      <c r="B2864" s="48">
        <v>45447</v>
      </c>
      <c r="C2864" t="s">
        <v>51</v>
      </c>
      <c r="D2864" t="str">
        <f>IF(COUNTIFS(Verweise!$A$2:$A$4542,Übersicht!$C$7,Verweise!$B$2:$B$4542,B2864)=1,"Feiertag",IF(C2864="Samstag","",IF(C2864="Sonntag","",Übersicht!$C$8)))</f>
        <v>Feiertag</v>
      </c>
    </row>
    <row r="2865" spans="1:4" x14ac:dyDescent="0.25">
      <c r="A2865" t="s">
        <v>77</v>
      </c>
      <c r="B2865" s="48">
        <v>45457</v>
      </c>
      <c r="C2865" t="s">
        <v>52</v>
      </c>
      <c r="D2865" t="str">
        <f>IF(COUNTIFS(Verweise!$A$2:$A$4542,Übersicht!$C$7,Verweise!$B$2:$B$4542,B2865)=1,"Feiertag",IF(C2865="Samstag","",IF(C2865="Sonntag","",Übersicht!$C$8)))</f>
        <v>Feiertag</v>
      </c>
    </row>
    <row r="2866" spans="1:4" x14ac:dyDescent="0.25">
      <c r="A2866" t="s">
        <v>77</v>
      </c>
      <c r="B2866" s="48">
        <v>45567</v>
      </c>
      <c r="C2866" t="s">
        <v>53</v>
      </c>
      <c r="D2866" t="str">
        <f>IF(COUNTIFS(Verweise!$A$2:$A$4542,Übersicht!$C$7,Verweise!$B$2:$B$4542,B2866)=1,"Feiertag",IF(C2866="Samstag","",IF(C2866="Sonntag","",Übersicht!$C$8)))</f>
        <v>Feiertag</v>
      </c>
    </row>
    <row r="2867" spans="1:4" x14ac:dyDescent="0.25">
      <c r="A2867" t="s">
        <v>77</v>
      </c>
      <c r="B2867" s="48">
        <v>45595</v>
      </c>
      <c r="C2867" t="s">
        <v>62</v>
      </c>
      <c r="D2867" t="str">
        <f>IF(COUNTIFS(Verweise!$A$2:$A$4542,Übersicht!$C$7,Verweise!$B$2:$B$4542,B2867)=1,"Feiertag",IF(C2867="Samstag","",IF(C2867="Sonntag","",Übersicht!$C$8)))</f>
        <v>Büro</v>
      </c>
    </row>
    <row r="2868" spans="1:4" x14ac:dyDescent="0.25">
      <c r="A2868" t="s">
        <v>77</v>
      </c>
      <c r="B2868" s="48">
        <v>45650</v>
      </c>
      <c r="C2868" t="s">
        <v>55</v>
      </c>
      <c r="D2868" t="str">
        <f>IF(COUNTIFS(Verweise!$A$2:$A$4542,Übersicht!$C$7,Verweise!$B$2:$B$4542,B2868)=1,"Feiertag",IF(C2868="Samstag","",IF(C2868="Sonntag","",Übersicht!$C$8)))</f>
        <v>Feiertag</v>
      </c>
    </row>
    <row r="2869" spans="1:4" x14ac:dyDescent="0.25">
      <c r="A2869" t="s">
        <v>77</v>
      </c>
      <c r="B2869" s="48">
        <v>45651</v>
      </c>
      <c r="C2869" t="s">
        <v>56</v>
      </c>
      <c r="D2869" t="str">
        <f>IF(COUNTIFS(Verweise!$A$2:$A$4542,Übersicht!$C$7,Verweise!$B$2:$B$4542,B2869)=1,"Feiertag",IF(C2869="Samstag","",IF(C2869="Sonntag","",Übersicht!$C$8)))</f>
        <v>Feiertag</v>
      </c>
    </row>
    <row r="2870" spans="1:4" x14ac:dyDescent="0.25">
      <c r="A2870" t="s">
        <v>42</v>
      </c>
      <c r="B2870" s="48">
        <v>45657</v>
      </c>
      <c r="C2870" t="s">
        <v>43</v>
      </c>
      <c r="D2870" t="str">
        <f>IF(COUNTIFS(Verweise!$A$2:$A$4542,Übersicht!$C$7,Verweise!$B$2:$B$4542,B2870)=1,"Feiertag",IF(C2870="Samstag","",IF(C2870="Sonntag","",Übersicht!$C$8)))</f>
        <v>Feiertag</v>
      </c>
    </row>
    <row r="2871" spans="1:4" x14ac:dyDescent="0.25">
      <c r="A2871" t="s">
        <v>42</v>
      </c>
      <c r="B2871" s="48">
        <v>45662</v>
      </c>
      <c r="C2871" t="s">
        <v>44</v>
      </c>
      <c r="D2871" t="str">
        <f>IF(COUNTIFS(Verweise!$A$2:$A$4542,Übersicht!$C$7,Verweise!$B$2:$B$4542,B2871)=1,"Feiertag",IF(C2871="Samstag","",IF(C2871="Sonntag","",Übersicht!$C$8)))</f>
        <v>Büro</v>
      </c>
    </row>
    <row r="2872" spans="1:4" x14ac:dyDescent="0.25">
      <c r="A2872" t="s">
        <v>42</v>
      </c>
      <c r="B2872" s="48">
        <v>45745</v>
      </c>
      <c r="C2872" t="s">
        <v>45</v>
      </c>
      <c r="D2872" t="str">
        <f>IF(COUNTIFS(Verweise!$A$2:$A$4542,Übersicht!$C$7,Verweise!$B$2:$B$4542,B2872)=1,"Feiertag",IF(C2872="Samstag","",IF(C2872="Sonntag","",Übersicht!$C$8)))</f>
        <v>Feiertag</v>
      </c>
    </row>
    <row r="2873" spans="1:4" x14ac:dyDescent="0.25">
      <c r="A2873" t="s">
        <v>42</v>
      </c>
      <c r="B2873" s="48">
        <v>45747</v>
      </c>
      <c r="C2873" t="s">
        <v>46</v>
      </c>
      <c r="D2873" t="str">
        <f>IF(COUNTIFS(Verweise!$A$2:$A$4542,Übersicht!$C$7,Verweise!$B$2:$B$4542,B2873)=1,"Feiertag",IF(C2873="Samstag","",IF(C2873="Sonntag","",Übersicht!$C$8)))</f>
        <v>Feiertag</v>
      </c>
    </row>
    <row r="2874" spans="1:4" x14ac:dyDescent="0.25">
      <c r="A2874" t="s">
        <v>42</v>
      </c>
      <c r="B2874" s="48">
        <v>45748</v>
      </c>
      <c r="C2874" t="s">
        <v>47</v>
      </c>
      <c r="D2874" t="str">
        <f>IF(COUNTIFS(Verweise!$A$2:$A$4542,Übersicht!$C$7,Verweise!$B$2:$B$4542,B2874)=1,"Feiertag",IF(C2874="Samstag","",IF(C2874="Sonntag","",Übersicht!$C$8)))</f>
        <v>Feiertag</v>
      </c>
    </row>
    <row r="2875" spans="1:4" x14ac:dyDescent="0.25">
      <c r="A2875" t="s">
        <v>42</v>
      </c>
      <c r="B2875" s="48">
        <v>45777</v>
      </c>
      <c r="C2875" t="s">
        <v>48</v>
      </c>
      <c r="D2875" t="str">
        <f>IF(COUNTIFS(Verweise!$A$2:$A$4542,Übersicht!$C$7,Verweise!$B$2:$B$4542,B2875)=1,"Feiertag",IF(C2875="Samstag","",IF(C2875="Sonntag","",Übersicht!$C$8)))</f>
        <v>Feiertag</v>
      </c>
    </row>
    <row r="2876" spans="1:4" x14ac:dyDescent="0.25">
      <c r="A2876" t="s">
        <v>42</v>
      </c>
      <c r="B2876" s="48">
        <v>45786</v>
      </c>
      <c r="C2876" t="s">
        <v>49</v>
      </c>
      <c r="D2876" t="str">
        <f>IF(COUNTIFS(Verweise!$A$2:$A$4542,Übersicht!$C$7,Verweise!$B$2:$B$4542,B2876)=1,"Feiertag",IF(C2876="Samstag","",IF(C2876="Sonntag","",Übersicht!$C$8)))</f>
        <v>Feiertag</v>
      </c>
    </row>
    <row r="2877" spans="1:4" x14ac:dyDescent="0.25">
      <c r="A2877" t="s">
        <v>42</v>
      </c>
      <c r="B2877" s="48">
        <v>45796</v>
      </c>
      <c r="C2877" t="s">
        <v>50</v>
      </c>
      <c r="D2877" t="str">
        <f>IF(COUNTIFS(Verweise!$A$2:$A$4542,Übersicht!$C$7,Verweise!$B$2:$B$4542,B2877)=1,"Feiertag",IF(C2877="Samstag","",IF(C2877="Sonntag","",Übersicht!$C$8)))</f>
        <v>Feiertag</v>
      </c>
    </row>
    <row r="2878" spans="1:4" x14ac:dyDescent="0.25">
      <c r="A2878" t="s">
        <v>42</v>
      </c>
      <c r="B2878" s="48">
        <v>45797</v>
      </c>
      <c r="C2878" t="s">
        <v>51</v>
      </c>
      <c r="D2878" t="str">
        <f>IF(COUNTIFS(Verweise!$A$2:$A$4542,Übersicht!$C$7,Verweise!$B$2:$B$4542,B2878)=1,"Feiertag",IF(C2878="Samstag","",IF(C2878="Sonntag","",Übersicht!$C$8)))</f>
        <v>Feiertag</v>
      </c>
    </row>
    <row r="2879" spans="1:4" x14ac:dyDescent="0.25">
      <c r="A2879" t="s">
        <v>42</v>
      </c>
      <c r="B2879" s="48">
        <v>45807</v>
      </c>
      <c r="C2879" t="s">
        <v>52</v>
      </c>
      <c r="D2879" t="str">
        <f>IF(COUNTIFS(Verweise!$A$2:$A$4542,Übersicht!$C$7,Verweise!$B$2:$B$4542,B2879)=1,"Feiertag",IF(C2879="Samstag","",IF(C2879="Sonntag","",Übersicht!$C$8)))</f>
        <v>Feiertag</v>
      </c>
    </row>
    <row r="2880" spans="1:4" x14ac:dyDescent="0.25">
      <c r="A2880" t="s">
        <v>42</v>
      </c>
      <c r="B2880" s="48">
        <v>45932</v>
      </c>
      <c r="C2880" t="s">
        <v>53</v>
      </c>
      <c r="D2880" t="str">
        <f>IF(COUNTIFS(Verweise!$A$2:$A$4542,Übersicht!$C$7,Verweise!$B$2:$B$4542,B2880)=1,"Feiertag",IF(C2880="Samstag","",IF(C2880="Sonntag","",Übersicht!$C$8)))</f>
        <v>Feiertag</v>
      </c>
    </row>
    <row r="2881" spans="1:4" x14ac:dyDescent="0.25">
      <c r="A2881" t="s">
        <v>42</v>
      </c>
      <c r="B2881" s="48">
        <v>45961</v>
      </c>
      <c r="C2881" t="s">
        <v>54</v>
      </c>
      <c r="D2881" t="str">
        <f>IF(COUNTIFS(Verweise!$A$2:$A$4542,Übersicht!$C$7,Verweise!$B$2:$B$4542,B2881)=1,"Feiertag",IF(C2881="Samstag","",IF(C2881="Sonntag","",Übersicht!$C$8)))</f>
        <v>Feiertag</v>
      </c>
    </row>
    <row r="2882" spans="1:4" x14ac:dyDescent="0.25">
      <c r="A2882" t="s">
        <v>42</v>
      </c>
      <c r="B2882" s="48">
        <v>46015</v>
      </c>
      <c r="C2882" t="s">
        <v>55</v>
      </c>
      <c r="D2882" t="str">
        <f>IF(COUNTIFS(Verweise!$A$2:$A$4542,Übersicht!$C$7,Verweise!$B$2:$B$4542,B2882)=1,"Feiertag",IF(C2882="Samstag","",IF(C2882="Sonntag","",Übersicht!$C$8)))</f>
        <v>Feiertag</v>
      </c>
    </row>
    <row r="2883" spans="1:4" x14ac:dyDescent="0.25">
      <c r="A2883" t="s">
        <v>42</v>
      </c>
      <c r="B2883" s="48">
        <v>46016</v>
      </c>
      <c r="C2883" t="s">
        <v>56</v>
      </c>
      <c r="D2883" t="str">
        <f>IF(COUNTIFS(Verweise!$A$2:$A$4542,Übersicht!$C$7,Verweise!$B$2:$B$4542,B2883)=1,"Feiertag",IF(C2883="Samstag","",IF(C2883="Sonntag","",Übersicht!$C$8)))</f>
        <v>Feiertag</v>
      </c>
    </row>
    <row r="2884" spans="1:4" x14ac:dyDescent="0.25">
      <c r="A2884" t="s">
        <v>57</v>
      </c>
      <c r="B2884" s="48">
        <v>45657</v>
      </c>
      <c r="C2884" t="s">
        <v>43</v>
      </c>
      <c r="D2884" t="str">
        <f>IF(COUNTIFS(Verweise!$A$2:$A$4542,Übersicht!$C$7,Verweise!$B$2:$B$4542,B2884)=1,"Feiertag",IF(C2884="Samstag","",IF(C2884="Sonntag","",Übersicht!$C$8)))</f>
        <v>Feiertag</v>
      </c>
    </row>
    <row r="2885" spans="1:4" x14ac:dyDescent="0.25">
      <c r="A2885" t="s">
        <v>57</v>
      </c>
      <c r="B2885" s="48">
        <v>45662</v>
      </c>
      <c r="C2885" t="s">
        <v>44</v>
      </c>
      <c r="D2885" t="str">
        <f>IF(COUNTIFS(Verweise!$A$2:$A$4542,Übersicht!$C$7,Verweise!$B$2:$B$4542,B2885)=1,"Feiertag",IF(C2885="Samstag","",IF(C2885="Sonntag","",Übersicht!$C$8)))</f>
        <v>Büro</v>
      </c>
    </row>
    <row r="2886" spans="1:4" x14ac:dyDescent="0.25">
      <c r="A2886" t="s">
        <v>57</v>
      </c>
      <c r="B2886" s="48">
        <v>45745</v>
      </c>
      <c r="C2886" t="s">
        <v>45</v>
      </c>
      <c r="D2886" t="str">
        <f>IF(COUNTIFS(Verweise!$A$2:$A$4542,Übersicht!$C$7,Verweise!$B$2:$B$4542,B2886)=1,"Feiertag",IF(C2886="Samstag","",IF(C2886="Sonntag","",Übersicht!$C$8)))</f>
        <v>Feiertag</v>
      </c>
    </row>
    <row r="2887" spans="1:4" x14ac:dyDescent="0.25">
      <c r="A2887" t="s">
        <v>57</v>
      </c>
      <c r="B2887" s="48">
        <v>45747</v>
      </c>
      <c r="C2887" t="s">
        <v>46</v>
      </c>
      <c r="D2887" t="str">
        <f>IF(COUNTIFS(Verweise!$A$2:$A$4542,Übersicht!$C$7,Verweise!$B$2:$B$4542,B2887)=1,"Feiertag",IF(C2887="Samstag","",IF(C2887="Sonntag","",Übersicht!$C$8)))</f>
        <v>Feiertag</v>
      </c>
    </row>
    <row r="2888" spans="1:4" x14ac:dyDescent="0.25">
      <c r="A2888" t="s">
        <v>57</v>
      </c>
      <c r="B2888" s="48">
        <v>45748</v>
      </c>
      <c r="C2888" t="s">
        <v>47</v>
      </c>
      <c r="D2888" t="str">
        <f>IF(COUNTIFS(Verweise!$A$2:$A$4542,Übersicht!$C$7,Verweise!$B$2:$B$4542,B2888)=1,"Feiertag",IF(C2888="Samstag","",IF(C2888="Sonntag","",Übersicht!$C$8)))</f>
        <v>Feiertag</v>
      </c>
    </row>
    <row r="2889" spans="1:4" x14ac:dyDescent="0.25">
      <c r="A2889" t="s">
        <v>57</v>
      </c>
      <c r="B2889" s="48">
        <v>45777</v>
      </c>
      <c r="C2889" t="s">
        <v>48</v>
      </c>
      <c r="D2889" t="str">
        <f>IF(COUNTIFS(Verweise!$A$2:$A$4542,Übersicht!$C$7,Verweise!$B$2:$B$4542,B2889)=1,"Feiertag",IF(C2889="Samstag","",IF(C2889="Sonntag","",Übersicht!$C$8)))</f>
        <v>Feiertag</v>
      </c>
    </row>
    <row r="2890" spans="1:4" x14ac:dyDescent="0.25">
      <c r="A2890" t="s">
        <v>57</v>
      </c>
      <c r="B2890" s="48">
        <v>45786</v>
      </c>
      <c r="C2890" t="s">
        <v>49</v>
      </c>
      <c r="D2890" t="str">
        <f>IF(COUNTIFS(Verweise!$A$2:$A$4542,Übersicht!$C$7,Verweise!$B$2:$B$4542,B2890)=1,"Feiertag",IF(C2890="Samstag","",IF(C2890="Sonntag","",Übersicht!$C$8)))</f>
        <v>Feiertag</v>
      </c>
    </row>
    <row r="2891" spans="1:4" x14ac:dyDescent="0.25">
      <c r="A2891" t="s">
        <v>57</v>
      </c>
      <c r="B2891" s="48">
        <v>45796</v>
      </c>
      <c r="C2891" t="s">
        <v>50</v>
      </c>
      <c r="D2891" t="str">
        <f>IF(COUNTIFS(Verweise!$A$2:$A$4542,Übersicht!$C$7,Verweise!$B$2:$B$4542,B2891)=1,"Feiertag",IF(C2891="Samstag","",IF(C2891="Sonntag","",Übersicht!$C$8)))</f>
        <v>Feiertag</v>
      </c>
    </row>
    <row r="2892" spans="1:4" x14ac:dyDescent="0.25">
      <c r="A2892" t="s">
        <v>57</v>
      </c>
      <c r="B2892" s="48">
        <v>45797</v>
      </c>
      <c r="C2892" t="s">
        <v>51</v>
      </c>
      <c r="D2892" t="str">
        <f>IF(COUNTIFS(Verweise!$A$2:$A$4542,Übersicht!$C$7,Verweise!$B$2:$B$4542,B2892)=1,"Feiertag",IF(C2892="Samstag","",IF(C2892="Sonntag","",Übersicht!$C$8)))</f>
        <v>Feiertag</v>
      </c>
    </row>
    <row r="2893" spans="1:4" x14ac:dyDescent="0.25">
      <c r="A2893" t="s">
        <v>57</v>
      </c>
      <c r="B2893" s="48">
        <v>45807</v>
      </c>
      <c r="C2893" t="s">
        <v>52</v>
      </c>
      <c r="D2893" t="str">
        <f>IF(COUNTIFS(Verweise!$A$2:$A$4542,Übersicht!$C$7,Verweise!$B$2:$B$4542,B2893)=1,"Feiertag",IF(C2893="Samstag","",IF(C2893="Sonntag","",Übersicht!$C$8)))</f>
        <v>Feiertag</v>
      </c>
    </row>
    <row r="2894" spans="1:4" x14ac:dyDescent="0.25">
      <c r="A2894" t="s">
        <v>57</v>
      </c>
      <c r="B2894" s="48">
        <v>45932</v>
      </c>
      <c r="C2894" t="s">
        <v>53</v>
      </c>
      <c r="D2894" t="str">
        <f>IF(COUNTIFS(Verweise!$A$2:$A$4542,Übersicht!$C$7,Verweise!$B$2:$B$4542,B2894)=1,"Feiertag",IF(C2894="Samstag","",IF(C2894="Sonntag","",Übersicht!$C$8)))</f>
        <v>Feiertag</v>
      </c>
    </row>
    <row r="2895" spans="1:4" x14ac:dyDescent="0.25">
      <c r="A2895" t="s">
        <v>57</v>
      </c>
      <c r="B2895" s="48">
        <v>45961</v>
      </c>
      <c r="C2895" t="s">
        <v>54</v>
      </c>
      <c r="D2895" t="str">
        <f>IF(COUNTIFS(Verweise!$A$2:$A$4542,Übersicht!$C$7,Verweise!$B$2:$B$4542,B2895)=1,"Feiertag",IF(C2895="Samstag","",IF(C2895="Sonntag","",Übersicht!$C$8)))</f>
        <v>Feiertag</v>
      </c>
    </row>
    <row r="2896" spans="1:4" x14ac:dyDescent="0.25">
      <c r="A2896" t="s">
        <v>57</v>
      </c>
      <c r="B2896" s="48">
        <v>46015</v>
      </c>
      <c r="C2896" t="s">
        <v>55</v>
      </c>
      <c r="D2896" t="str">
        <f>IF(COUNTIFS(Verweise!$A$2:$A$4542,Übersicht!$C$7,Verweise!$B$2:$B$4542,B2896)=1,"Feiertag",IF(C2896="Samstag","",IF(C2896="Sonntag","",Übersicht!$C$8)))</f>
        <v>Feiertag</v>
      </c>
    </row>
    <row r="2897" spans="1:4" x14ac:dyDescent="0.25">
      <c r="A2897" t="s">
        <v>57</v>
      </c>
      <c r="B2897" s="48">
        <v>46016</v>
      </c>
      <c r="C2897" t="s">
        <v>56</v>
      </c>
      <c r="D2897" t="str">
        <f>IF(COUNTIFS(Verweise!$A$2:$A$4542,Übersicht!$C$7,Verweise!$B$2:$B$4542,B2897)=1,"Feiertag",IF(C2897="Samstag","",IF(C2897="Sonntag","",Übersicht!$C$8)))</f>
        <v>Feiertag</v>
      </c>
    </row>
    <row r="2898" spans="1:4" x14ac:dyDescent="0.25">
      <c r="A2898" t="s">
        <v>58</v>
      </c>
      <c r="B2898" s="48">
        <v>45657</v>
      </c>
      <c r="C2898" t="s">
        <v>43</v>
      </c>
      <c r="D2898" t="str">
        <f>IF(COUNTIFS(Verweise!$A$2:$A$4542,Übersicht!$C$7,Verweise!$B$2:$B$4542,B2898)=1,"Feiertag",IF(C2898="Samstag","",IF(C2898="Sonntag","",Übersicht!$C$8)))</f>
        <v>Feiertag</v>
      </c>
    </row>
    <row r="2899" spans="1:4" x14ac:dyDescent="0.25">
      <c r="A2899" t="s">
        <v>58</v>
      </c>
      <c r="B2899" s="48">
        <v>45662</v>
      </c>
      <c r="C2899" t="s">
        <v>44</v>
      </c>
      <c r="D2899" t="str">
        <f>IF(COUNTIFS(Verweise!$A$2:$A$4542,Übersicht!$C$7,Verweise!$B$2:$B$4542,B2899)=1,"Feiertag",IF(C2899="Samstag","",IF(C2899="Sonntag","",Übersicht!$C$8)))</f>
        <v>Büro</v>
      </c>
    </row>
    <row r="2900" spans="1:4" x14ac:dyDescent="0.25">
      <c r="A2900" t="s">
        <v>58</v>
      </c>
      <c r="B2900" s="48">
        <v>45745</v>
      </c>
      <c r="C2900" t="s">
        <v>45</v>
      </c>
      <c r="D2900" t="str">
        <f>IF(COUNTIFS(Verweise!$A$2:$A$4542,Übersicht!$C$7,Verweise!$B$2:$B$4542,B2900)=1,"Feiertag",IF(C2900="Samstag","",IF(C2900="Sonntag","",Übersicht!$C$8)))</f>
        <v>Feiertag</v>
      </c>
    </row>
    <row r="2901" spans="1:4" x14ac:dyDescent="0.25">
      <c r="A2901" t="s">
        <v>58</v>
      </c>
      <c r="B2901" s="48">
        <v>45747</v>
      </c>
      <c r="C2901" t="s">
        <v>46</v>
      </c>
      <c r="D2901" t="str">
        <f>IF(COUNTIFS(Verweise!$A$2:$A$4542,Übersicht!$C$7,Verweise!$B$2:$B$4542,B2901)=1,"Feiertag",IF(C2901="Samstag","",IF(C2901="Sonntag","",Übersicht!$C$8)))</f>
        <v>Feiertag</v>
      </c>
    </row>
    <row r="2902" spans="1:4" x14ac:dyDescent="0.25">
      <c r="A2902" t="s">
        <v>58</v>
      </c>
      <c r="B2902" s="48">
        <v>45748</v>
      </c>
      <c r="C2902" t="s">
        <v>47</v>
      </c>
      <c r="D2902" t="str">
        <f>IF(COUNTIFS(Verweise!$A$2:$A$4542,Übersicht!$C$7,Verweise!$B$2:$B$4542,B2902)=1,"Feiertag",IF(C2902="Samstag","",IF(C2902="Sonntag","",Übersicht!$C$8)))</f>
        <v>Feiertag</v>
      </c>
    </row>
    <row r="2903" spans="1:4" x14ac:dyDescent="0.25">
      <c r="A2903" t="s">
        <v>58</v>
      </c>
      <c r="B2903" s="48">
        <v>45777</v>
      </c>
      <c r="C2903" t="s">
        <v>48</v>
      </c>
      <c r="D2903" t="str">
        <f>IF(COUNTIFS(Verweise!$A$2:$A$4542,Übersicht!$C$7,Verweise!$B$2:$B$4542,B2903)=1,"Feiertag",IF(C2903="Samstag","",IF(C2903="Sonntag","",Übersicht!$C$8)))</f>
        <v>Feiertag</v>
      </c>
    </row>
    <row r="2904" spans="1:4" x14ac:dyDescent="0.25">
      <c r="A2904" t="s">
        <v>58</v>
      </c>
      <c r="B2904" s="48">
        <v>45786</v>
      </c>
      <c r="C2904" t="s">
        <v>49</v>
      </c>
      <c r="D2904" t="str">
        <f>IF(COUNTIFS(Verweise!$A$2:$A$4542,Übersicht!$C$7,Verweise!$B$2:$B$4542,B2904)=1,"Feiertag",IF(C2904="Samstag","",IF(C2904="Sonntag","",Übersicht!$C$8)))</f>
        <v>Feiertag</v>
      </c>
    </row>
    <row r="2905" spans="1:4" x14ac:dyDescent="0.25">
      <c r="A2905" t="s">
        <v>58</v>
      </c>
      <c r="B2905" s="48">
        <v>45796</v>
      </c>
      <c r="C2905" t="s">
        <v>50</v>
      </c>
      <c r="D2905" t="str">
        <f>IF(COUNTIFS(Verweise!$A$2:$A$4542,Übersicht!$C$7,Verweise!$B$2:$B$4542,B2905)=1,"Feiertag",IF(C2905="Samstag","",IF(C2905="Sonntag","",Übersicht!$C$8)))</f>
        <v>Feiertag</v>
      </c>
    </row>
    <row r="2906" spans="1:4" x14ac:dyDescent="0.25">
      <c r="A2906" t="s">
        <v>58</v>
      </c>
      <c r="B2906" s="48">
        <v>45797</v>
      </c>
      <c r="C2906" t="s">
        <v>51</v>
      </c>
      <c r="D2906" t="str">
        <f>IF(COUNTIFS(Verweise!$A$2:$A$4542,Übersicht!$C$7,Verweise!$B$2:$B$4542,B2906)=1,"Feiertag",IF(C2906="Samstag","",IF(C2906="Sonntag","",Übersicht!$C$8)))</f>
        <v>Feiertag</v>
      </c>
    </row>
    <row r="2907" spans="1:4" x14ac:dyDescent="0.25">
      <c r="A2907" t="s">
        <v>58</v>
      </c>
      <c r="B2907" s="48">
        <v>45807</v>
      </c>
      <c r="C2907" t="s">
        <v>52</v>
      </c>
      <c r="D2907" t="str">
        <f>IF(COUNTIFS(Verweise!$A$2:$A$4542,Übersicht!$C$7,Verweise!$B$2:$B$4542,B2907)=1,"Feiertag",IF(C2907="Samstag","",IF(C2907="Sonntag","",Übersicht!$C$8)))</f>
        <v>Feiertag</v>
      </c>
    </row>
    <row r="2908" spans="1:4" x14ac:dyDescent="0.25">
      <c r="A2908" t="s">
        <v>58</v>
      </c>
      <c r="B2908" s="48">
        <v>45883</v>
      </c>
      <c r="C2908" t="s">
        <v>59</v>
      </c>
      <c r="D2908" t="str">
        <f>IF(COUNTIFS(Verweise!$A$2:$A$4542,Übersicht!$C$7,Verweise!$B$2:$B$4542,B2908)=1,"Feiertag",IF(C2908="Samstag","",IF(C2908="Sonntag","",Übersicht!$C$8)))</f>
        <v>Büro</v>
      </c>
    </row>
    <row r="2909" spans="1:4" x14ac:dyDescent="0.25">
      <c r="A2909" t="s">
        <v>58</v>
      </c>
      <c r="B2909" s="48">
        <v>45932</v>
      </c>
      <c r="C2909" t="s">
        <v>53</v>
      </c>
      <c r="D2909" t="str">
        <f>IF(COUNTIFS(Verweise!$A$2:$A$4542,Übersicht!$C$7,Verweise!$B$2:$B$4542,B2909)=1,"Feiertag",IF(C2909="Samstag","",IF(C2909="Sonntag","",Übersicht!$C$8)))</f>
        <v>Feiertag</v>
      </c>
    </row>
    <row r="2910" spans="1:4" x14ac:dyDescent="0.25">
      <c r="A2910" t="s">
        <v>58</v>
      </c>
      <c r="B2910" s="48">
        <v>45961</v>
      </c>
      <c r="C2910" t="s">
        <v>54</v>
      </c>
      <c r="D2910" t="str">
        <f>IF(COUNTIFS(Verweise!$A$2:$A$4542,Übersicht!$C$7,Verweise!$B$2:$B$4542,B2910)=1,"Feiertag",IF(C2910="Samstag","",IF(C2910="Sonntag","",Übersicht!$C$8)))</f>
        <v>Feiertag</v>
      </c>
    </row>
    <row r="2911" spans="1:4" x14ac:dyDescent="0.25">
      <c r="A2911" t="s">
        <v>58</v>
      </c>
      <c r="B2911" s="48">
        <v>46015</v>
      </c>
      <c r="C2911" t="s">
        <v>55</v>
      </c>
      <c r="D2911" t="str">
        <f>IF(COUNTIFS(Verweise!$A$2:$A$4542,Übersicht!$C$7,Verweise!$B$2:$B$4542,B2911)=1,"Feiertag",IF(C2911="Samstag","",IF(C2911="Sonntag","",Übersicht!$C$8)))</f>
        <v>Feiertag</v>
      </c>
    </row>
    <row r="2912" spans="1:4" x14ac:dyDescent="0.25">
      <c r="A2912" t="s">
        <v>58</v>
      </c>
      <c r="B2912" s="48">
        <v>46016</v>
      </c>
      <c r="C2912" t="s">
        <v>56</v>
      </c>
      <c r="D2912" t="str">
        <f>IF(COUNTIFS(Verweise!$A$2:$A$4542,Übersicht!$C$7,Verweise!$B$2:$B$4542,B2912)=1,"Feiertag",IF(C2912="Samstag","",IF(C2912="Sonntag","",Übersicht!$C$8)))</f>
        <v>Feiertag</v>
      </c>
    </row>
    <row r="2913" spans="1:4" x14ac:dyDescent="0.25">
      <c r="A2913" t="s">
        <v>60</v>
      </c>
      <c r="B2913" s="48">
        <v>45657</v>
      </c>
      <c r="C2913" t="s">
        <v>43</v>
      </c>
      <c r="D2913" t="str">
        <f>IF(COUNTIFS(Verweise!$A$2:$A$4542,Übersicht!$C$7,Verweise!$B$2:$B$4542,B2913)=1,"Feiertag",IF(C2913="Samstag","",IF(C2913="Sonntag","",Übersicht!$C$8)))</f>
        <v>Feiertag</v>
      </c>
    </row>
    <row r="2914" spans="1:4" x14ac:dyDescent="0.25">
      <c r="A2914" t="s">
        <v>60</v>
      </c>
      <c r="B2914" s="48">
        <v>45745</v>
      </c>
      <c r="C2914" t="s">
        <v>45</v>
      </c>
      <c r="D2914" t="str">
        <f>IF(COUNTIFS(Verweise!$A$2:$A$4542,Übersicht!$C$7,Verweise!$B$2:$B$4542,B2914)=1,"Feiertag",IF(C2914="Samstag","",IF(C2914="Sonntag","",Übersicht!$C$8)))</f>
        <v>Feiertag</v>
      </c>
    </row>
    <row r="2915" spans="1:4" x14ac:dyDescent="0.25">
      <c r="A2915" t="s">
        <v>60</v>
      </c>
      <c r="B2915" s="48">
        <v>45747</v>
      </c>
      <c r="C2915" t="s">
        <v>46</v>
      </c>
      <c r="D2915" t="str">
        <f>IF(COUNTIFS(Verweise!$A$2:$A$4542,Übersicht!$C$7,Verweise!$B$2:$B$4542,B2915)=1,"Feiertag",IF(C2915="Samstag","",IF(C2915="Sonntag","",Übersicht!$C$8)))</f>
        <v>Feiertag</v>
      </c>
    </row>
    <row r="2916" spans="1:4" x14ac:dyDescent="0.25">
      <c r="A2916" t="s">
        <v>60</v>
      </c>
      <c r="B2916" s="48">
        <v>45748</v>
      </c>
      <c r="C2916" t="s">
        <v>47</v>
      </c>
      <c r="D2916" t="str">
        <f>IF(COUNTIFS(Verweise!$A$2:$A$4542,Übersicht!$C$7,Verweise!$B$2:$B$4542,B2916)=1,"Feiertag",IF(C2916="Samstag","",IF(C2916="Sonntag","",Übersicht!$C$8)))</f>
        <v>Feiertag</v>
      </c>
    </row>
    <row r="2917" spans="1:4" x14ac:dyDescent="0.25">
      <c r="A2917" t="s">
        <v>60</v>
      </c>
      <c r="B2917" s="48">
        <v>45777</v>
      </c>
      <c r="C2917" t="s">
        <v>48</v>
      </c>
      <c r="D2917" t="str">
        <f>IF(COUNTIFS(Verweise!$A$2:$A$4542,Übersicht!$C$7,Verweise!$B$2:$B$4542,B2917)=1,"Feiertag",IF(C2917="Samstag","",IF(C2917="Sonntag","",Übersicht!$C$8)))</f>
        <v>Feiertag</v>
      </c>
    </row>
    <row r="2918" spans="1:4" x14ac:dyDescent="0.25">
      <c r="A2918" t="s">
        <v>60</v>
      </c>
      <c r="B2918" s="48">
        <v>45786</v>
      </c>
      <c r="C2918" t="s">
        <v>49</v>
      </c>
      <c r="D2918" t="str">
        <f>IF(COUNTIFS(Verweise!$A$2:$A$4542,Übersicht!$C$7,Verweise!$B$2:$B$4542,B2918)=1,"Feiertag",IF(C2918="Samstag","",IF(C2918="Sonntag","",Übersicht!$C$8)))</f>
        <v>Feiertag</v>
      </c>
    </row>
    <row r="2919" spans="1:4" x14ac:dyDescent="0.25">
      <c r="A2919" t="s">
        <v>60</v>
      </c>
      <c r="B2919" s="48">
        <v>45796</v>
      </c>
      <c r="C2919" t="s">
        <v>50</v>
      </c>
      <c r="D2919" t="str">
        <f>IF(COUNTIFS(Verweise!$A$2:$A$4542,Übersicht!$C$7,Verweise!$B$2:$B$4542,B2919)=1,"Feiertag",IF(C2919="Samstag","",IF(C2919="Sonntag","",Übersicht!$C$8)))</f>
        <v>Feiertag</v>
      </c>
    </row>
    <row r="2920" spans="1:4" x14ac:dyDescent="0.25">
      <c r="A2920" t="s">
        <v>60</v>
      </c>
      <c r="B2920" s="48">
        <v>45797</v>
      </c>
      <c r="C2920" t="s">
        <v>51</v>
      </c>
      <c r="D2920" t="str">
        <f>IF(COUNTIFS(Verweise!$A$2:$A$4542,Übersicht!$C$7,Verweise!$B$2:$B$4542,B2920)=1,"Feiertag",IF(C2920="Samstag","",IF(C2920="Sonntag","",Übersicht!$C$8)))</f>
        <v>Feiertag</v>
      </c>
    </row>
    <row r="2921" spans="1:4" x14ac:dyDescent="0.25">
      <c r="A2921" t="s">
        <v>60</v>
      </c>
      <c r="B2921" s="48">
        <v>45932</v>
      </c>
      <c r="C2921" t="s">
        <v>53</v>
      </c>
      <c r="D2921" t="str">
        <f>IF(COUNTIFS(Verweise!$A$2:$A$4542,Übersicht!$C$7,Verweise!$B$2:$B$4542,B2921)=1,"Feiertag",IF(C2921="Samstag","",IF(C2921="Sonntag","",Übersicht!$C$8)))</f>
        <v>Feiertag</v>
      </c>
    </row>
    <row r="2922" spans="1:4" x14ac:dyDescent="0.25">
      <c r="A2922" t="s">
        <v>60</v>
      </c>
      <c r="B2922" s="48">
        <v>46015</v>
      </c>
      <c r="C2922" t="s">
        <v>55</v>
      </c>
      <c r="D2922" t="str">
        <f>IF(COUNTIFS(Verweise!$A$2:$A$4542,Übersicht!$C$7,Verweise!$B$2:$B$4542,B2922)=1,"Feiertag",IF(C2922="Samstag","",IF(C2922="Sonntag","",Übersicht!$C$8)))</f>
        <v>Feiertag</v>
      </c>
    </row>
    <row r="2923" spans="1:4" x14ac:dyDescent="0.25">
      <c r="A2923" t="s">
        <v>60</v>
      </c>
      <c r="B2923" s="48">
        <v>46016</v>
      </c>
      <c r="C2923" t="s">
        <v>56</v>
      </c>
      <c r="D2923" t="str">
        <f>IF(COUNTIFS(Verweise!$A$2:$A$4542,Übersicht!$C$7,Verweise!$B$2:$B$4542,B2923)=1,"Feiertag",IF(C2923="Samstag","",IF(C2923="Sonntag","",Übersicht!$C$8)))</f>
        <v>Feiertag</v>
      </c>
    </row>
    <row r="2924" spans="1:4" x14ac:dyDescent="0.25">
      <c r="A2924" t="s">
        <v>61</v>
      </c>
      <c r="B2924" s="48">
        <v>45657</v>
      </c>
      <c r="C2924" t="s">
        <v>43</v>
      </c>
      <c r="D2924" t="str">
        <f>IF(COUNTIFS(Verweise!$A$2:$A$4542,Übersicht!$C$7,Verweise!$B$2:$B$4542,B2924)=1,"Feiertag",IF(C2924="Samstag","",IF(C2924="Sonntag","",Übersicht!$C$8)))</f>
        <v>Feiertag</v>
      </c>
    </row>
    <row r="2925" spans="1:4" x14ac:dyDescent="0.25">
      <c r="A2925" t="s">
        <v>61</v>
      </c>
      <c r="B2925" s="48">
        <v>45745</v>
      </c>
      <c r="C2925" t="s">
        <v>45</v>
      </c>
      <c r="D2925" t="str">
        <f>IF(COUNTIFS(Verweise!$A$2:$A$4542,Übersicht!$C$7,Verweise!$B$2:$B$4542,B2925)=1,"Feiertag",IF(C2925="Samstag","",IF(C2925="Sonntag","",Übersicht!$C$8)))</f>
        <v>Feiertag</v>
      </c>
    </row>
    <row r="2926" spans="1:4" x14ac:dyDescent="0.25">
      <c r="A2926" t="s">
        <v>61</v>
      </c>
      <c r="B2926" s="48">
        <v>45747</v>
      </c>
      <c r="C2926" t="s">
        <v>46</v>
      </c>
      <c r="D2926" t="str">
        <f>IF(COUNTIFS(Verweise!$A$2:$A$4542,Übersicht!$C$7,Verweise!$B$2:$B$4542,B2926)=1,"Feiertag",IF(C2926="Samstag","",IF(C2926="Sonntag","",Übersicht!$C$8)))</f>
        <v>Feiertag</v>
      </c>
    </row>
    <row r="2927" spans="1:4" x14ac:dyDescent="0.25">
      <c r="A2927" t="s">
        <v>61</v>
      </c>
      <c r="B2927" s="48">
        <v>45748</v>
      </c>
      <c r="C2927" t="s">
        <v>47</v>
      </c>
      <c r="D2927" t="str">
        <f>IF(COUNTIFS(Verweise!$A$2:$A$4542,Übersicht!$C$7,Verweise!$B$2:$B$4542,B2927)=1,"Feiertag",IF(C2927="Samstag","",IF(C2927="Sonntag","",Übersicht!$C$8)))</f>
        <v>Feiertag</v>
      </c>
    </row>
    <row r="2928" spans="1:4" x14ac:dyDescent="0.25">
      <c r="A2928" t="s">
        <v>61</v>
      </c>
      <c r="B2928" s="48">
        <v>45777</v>
      </c>
      <c r="C2928" t="s">
        <v>48</v>
      </c>
      <c r="D2928" t="str">
        <f>IF(COUNTIFS(Verweise!$A$2:$A$4542,Übersicht!$C$7,Verweise!$B$2:$B$4542,B2928)=1,"Feiertag",IF(C2928="Samstag","",IF(C2928="Sonntag","",Übersicht!$C$8)))</f>
        <v>Feiertag</v>
      </c>
    </row>
    <row r="2929" spans="1:4" x14ac:dyDescent="0.25">
      <c r="A2929" t="s">
        <v>61</v>
      </c>
      <c r="B2929" s="48">
        <v>45786</v>
      </c>
      <c r="C2929" t="s">
        <v>49</v>
      </c>
      <c r="D2929" t="str">
        <f>IF(COUNTIFS(Verweise!$A$2:$A$4542,Übersicht!$C$7,Verweise!$B$2:$B$4542,B2929)=1,"Feiertag",IF(C2929="Samstag","",IF(C2929="Sonntag","",Übersicht!$C$8)))</f>
        <v>Feiertag</v>
      </c>
    </row>
    <row r="2930" spans="1:4" x14ac:dyDescent="0.25">
      <c r="A2930" t="s">
        <v>61</v>
      </c>
      <c r="B2930" s="48">
        <v>45796</v>
      </c>
      <c r="C2930" t="s">
        <v>50</v>
      </c>
      <c r="D2930" t="str">
        <f>IF(COUNTIFS(Verweise!$A$2:$A$4542,Übersicht!$C$7,Verweise!$B$2:$B$4542,B2930)=1,"Feiertag",IF(C2930="Samstag","",IF(C2930="Sonntag","",Übersicht!$C$8)))</f>
        <v>Feiertag</v>
      </c>
    </row>
    <row r="2931" spans="1:4" x14ac:dyDescent="0.25">
      <c r="A2931" t="s">
        <v>61</v>
      </c>
      <c r="B2931" s="48">
        <v>45797</v>
      </c>
      <c r="C2931" t="s">
        <v>51</v>
      </c>
      <c r="D2931" t="str">
        <f>IF(COUNTIFS(Verweise!$A$2:$A$4542,Übersicht!$C$7,Verweise!$B$2:$B$4542,B2931)=1,"Feiertag",IF(C2931="Samstag","",IF(C2931="Sonntag","",Übersicht!$C$8)))</f>
        <v>Feiertag</v>
      </c>
    </row>
    <row r="2932" spans="1:4" x14ac:dyDescent="0.25">
      <c r="A2932" t="s">
        <v>61</v>
      </c>
      <c r="B2932" s="48">
        <v>45932</v>
      </c>
      <c r="C2932" t="s">
        <v>53</v>
      </c>
      <c r="D2932" t="str">
        <f>IF(COUNTIFS(Verweise!$A$2:$A$4542,Übersicht!$C$7,Verweise!$B$2:$B$4542,B2932)=1,"Feiertag",IF(C2932="Samstag","",IF(C2932="Sonntag","",Übersicht!$C$8)))</f>
        <v>Feiertag</v>
      </c>
    </row>
    <row r="2933" spans="1:4" x14ac:dyDescent="0.25">
      <c r="A2933" t="s">
        <v>61</v>
      </c>
      <c r="B2933" s="48">
        <v>45960</v>
      </c>
      <c r="C2933" t="s">
        <v>62</v>
      </c>
      <c r="D2933" t="str">
        <f>IF(COUNTIFS(Verweise!$A$2:$A$4542,Übersicht!$C$7,Verweise!$B$2:$B$4542,B2933)=1,"Feiertag",IF(C2933="Samstag","",IF(C2933="Sonntag","",Übersicht!$C$8)))</f>
        <v>Büro</v>
      </c>
    </row>
    <row r="2934" spans="1:4" x14ac:dyDescent="0.25">
      <c r="A2934" t="s">
        <v>61</v>
      </c>
      <c r="B2934" s="48">
        <v>46015</v>
      </c>
      <c r="C2934" t="s">
        <v>55</v>
      </c>
      <c r="D2934" t="str">
        <f>IF(COUNTIFS(Verweise!$A$2:$A$4542,Übersicht!$C$7,Verweise!$B$2:$B$4542,B2934)=1,"Feiertag",IF(C2934="Samstag","",IF(C2934="Sonntag","",Übersicht!$C$8)))</f>
        <v>Feiertag</v>
      </c>
    </row>
    <row r="2935" spans="1:4" x14ac:dyDescent="0.25">
      <c r="A2935" t="s">
        <v>61</v>
      </c>
      <c r="B2935" s="48">
        <v>46016</v>
      </c>
      <c r="C2935" t="s">
        <v>56</v>
      </c>
      <c r="D2935" t="str">
        <f>IF(COUNTIFS(Verweise!$A$2:$A$4542,Übersicht!$C$7,Verweise!$B$2:$B$4542,B2935)=1,"Feiertag",IF(C2935="Samstag","",IF(C2935="Sonntag","",Übersicht!$C$8)))</f>
        <v>Feiertag</v>
      </c>
    </row>
    <row r="2936" spans="1:4" x14ac:dyDescent="0.25">
      <c r="A2936" t="s">
        <v>63</v>
      </c>
      <c r="B2936" s="48">
        <v>45657</v>
      </c>
      <c r="C2936" t="s">
        <v>43</v>
      </c>
      <c r="D2936" t="str">
        <f>IF(COUNTIFS(Verweise!$A$2:$A$4542,Übersicht!$C$7,Verweise!$B$2:$B$4542,B2936)=1,"Feiertag",IF(C2936="Samstag","",IF(C2936="Sonntag","",Übersicht!$C$8)))</f>
        <v>Feiertag</v>
      </c>
    </row>
    <row r="2937" spans="1:4" x14ac:dyDescent="0.25">
      <c r="A2937" t="s">
        <v>63</v>
      </c>
      <c r="B2937" s="48">
        <v>45745</v>
      </c>
      <c r="C2937" t="s">
        <v>45</v>
      </c>
      <c r="D2937" t="str">
        <f>IF(COUNTIFS(Verweise!$A$2:$A$4542,Übersicht!$C$7,Verweise!$B$2:$B$4542,B2937)=1,"Feiertag",IF(C2937="Samstag","",IF(C2937="Sonntag","",Übersicht!$C$8)))</f>
        <v>Feiertag</v>
      </c>
    </row>
    <row r="2938" spans="1:4" x14ac:dyDescent="0.25">
      <c r="A2938" t="s">
        <v>63</v>
      </c>
      <c r="B2938" s="48">
        <v>45747</v>
      </c>
      <c r="C2938" t="s">
        <v>46</v>
      </c>
      <c r="D2938" t="str">
        <f>IF(COUNTIFS(Verweise!$A$2:$A$4542,Übersicht!$C$7,Verweise!$B$2:$B$4542,B2938)=1,"Feiertag",IF(C2938="Samstag","",IF(C2938="Sonntag","",Übersicht!$C$8)))</f>
        <v>Feiertag</v>
      </c>
    </row>
    <row r="2939" spans="1:4" x14ac:dyDescent="0.25">
      <c r="A2939" t="s">
        <v>63</v>
      </c>
      <c r="B2939" s="48">
        <v>45748</v>
      </c>
      <c r="C2939" t="s">
        <v>47</v>
      </c>
      <c r="D2939" t="str">
        <f>IF(COUNTIFS(Verweise!$A$2:$A$4542,Übersicht!$C$7,Verweise!$B$2:$B$4542,B2939)=1,"Feiertag",IF(C2939="Samstag","",IF(C2939="Sonntag","",Übersicht!$C$8)))</f>
        <v>Feiertag</v>
      </c>
    </row>
    <row r="2940" spans="1:4" x14ac:dyDescent="0.25">
      <c r="A2940" t="s">
        <v>63</v>
      </c>
      <c r="B2940" s="48">
        <v>45777</v>
      </c>
      <c r="C2940" t="s">
        <v>48</v>
      </c>
      <c r="D2940" t="str">
        <f>IF(COUNTIFS(Verweise!$A$2:$A$4542,Übersicht!$C$7,Verweise!$B$2:$B$4542,B2940)=1,"Feiertag",IF(C2940="Samstag","",IF(C2940="Sonntag","",Übersicht!$C$8)))</f>
        <v>Feiertag</v>
      </c>
    </row>
    <row r="2941" spans="1:4" x14ac:dyDescent="0.25">
      <c r="A2941" t="s">
        <v>63</v>
      </c>
      <c r="B2941" s="48">
        <v>45786</v>
      </c>
      <c r="C2941" t="s">
        <v>49</v>
      </c>
      <c r="D2941" t="str">
        <f>IF(COUNTIFS(Verweise!$A$2:$A$4542,Übersicht!$C$7,Verweise!$B$2:$B$4542,B2941)=1,"Feiertag",IF(C2941="Samstag","",IF(C2941="Sonntag","",Übersicht!$C$8)))</f>
        <v>Feiertag</v>
      </c>
    </row>
    <row r="2942" spans="1:4" x14ac:dyDescent="0.25">
      <c r="A2942" t="s">
        <v>63</v>
      </c>
      <c r="B2942" s="48">
        <v>45796</v>
      </c>
      <c r="C2942" t="s">
        <v>50</v>
      </c>
      <c r="D2942" t="str">
        <f>IF(COUNTIFS(Verweise!$A$2:$A$4542,Übersicht!$C$7,Verweise!$B$2:$B$4542,B2942)=1,"Feiertag",IF(C2942="Samstag","",IF(C2942="Sonntag","",Übersicht!$C$8)))</f>
        <v>Feiertag</v>
      </c>
    </row>
    <row r="2943" spans="1:4" x14ac:dyDescent="0.25">
      <c r="A2943" t="s">
        <v>63</v>
      </c>
      <c r="B2943" s="48">
        <v>45797</v>
      </c>
      <c r="C2943" t="s">
        <v>51</v>
      </c>
      <c r="D2943" t="str">
        <f>IF(COUNTIFS(Verweise!$A$2:$A$4542,Übersicht!$C$7,Verweise!$B$2:$B$4542,B2943)=1,"Feiertag",IF(C2943="Samstag","",IF(C2943="Sonntag","",Übersicht!$C$8)))</f>
        <v>Feiertag</v>
      </c>
    </row>
    <row r="2944" spans="1:4" x14ac:dyDescent="0.25">
      <c r="A2944" t="s">
        <v>63</v>
      </c>
      <c r="B2944" s="48">
        <v>45932</v>
      </c>
      <c r="C2944" t="s">
        <v>53</v>
      </c>
      <c r="D2944" t="str">
        <f>IF(COUNTIFS(Verweise!$A$2:$A$4542,Übersicht!$C$7,Verweise!$B$2:$B$4542,B2944)=1,"Feiertag",IF(C2944="Samstag","",IF(C2944="Sonntag","",Übersicht!$C$8)))</f>
        <v>Feiertag</v>
      </c>
    </row>
    <row r="2945" spans="1:4" x14ac:dyDescent="0.25">
      <c r="A2945" t="s">
        <v>63</v>
      </c>
      <c r="B2945" s="48">
        <v>46015</v>
      </c>
      <c r="C2945" t="s">
        <v>55</v>
      </c>
      <c r="D2945" t="str">
        <f>IF(COUNTIFS(Verweise!$A$2:$A$4542,Übersicht!$C$7,Verweise!$B$2:$B$4542,B2945)=1,"Feiertag",IF(C2945="Samstag","",IF(C2945="Sonntag","",Übersicht!$C$8)))</f>
        <v>Feiertag</v>
      </c>
    </row>
    <row r="2946" spans="1:4" x14ac:dyDescent="0.25">
      <c r="A2946" t="s">
        <v>63</v>
      </c>
      <c r="B2946" s="48">
        <v>46016</v>
      </c>
      <c r="C2946" t="s">
        <v>56</v>
      </c>
      <c r="D2946" t="str">
        <f>IF(COUNTIFS(Verweise!$A$2:$A$4542,Übersicht!$C$7,Verweise!$B$2:$B$4542,B2946)=1,"Feiertag",IF(C2946="Samstag","",IF(C2946="Sonntag","",Übersicht!$C$8)))</f>
        <v>Feiertag</v>
      </c>
    </row>
    <row r="2947" spans="1:4" x14ac:dyDescent="0.25">
      <c r="A2947" t="s">
        <v>64</v>
      </c>
      <c r="B2947" s="48">
        <v>45657</v>
      </c>
      <c r="C2947" t="s">
        <v>43</v>
      </c>
      <c r="D2947" t="str">
        <f>IF(COUNTIFS(Verweise!$A$2:$A$4542,Übersicht!$C$7,Verweise!$B$2:$B$4542,B2947)=1,"Feiertag",IF(C2947="Samstag","",IF(C2947="Sonntag","",Übersicht!$C$8)))</f>
        <v>Feiertag</v>
      </c>
    </row>
    <row r="2948" spans="1:4" x14ac:dyDescent="0.25">
      <c r="A2948" t="s">
        <v>64</v>
      </c>
      <c r="B2948" s="48">
        <v>45745</v>
      </c>
      <c r="C2948" t="s">
        <v>45</v>
      </c>
      <c r="D2948" t="str">
        <f>IF(COUNTIFS(Verweise!$A$2:$A$4542,Übersicht!$C$7,Verweise!$B$2:$B$4542,B2948)=1,"Feiertag",IF(C2948="Samstag","",IF(C2948="Sonntag","",Übersicht!$C$8)))</f>
        <v>Feiertag</v>
      </c>
    </row>
    <row r="2949" spans="1:4" x14ac:dyDescent="0.25">
      <c r="A2949" t="s">
        <v>64</v>
      </c>
      <c r="B2949" s="48">
        <v>45747</v>
      </c>
      <c r="C2949" t="s">
        <v>46</v>
      </c>
      <c r="D2949" t="str">
        <f>IF(COUNTIFS(Verweise!$A$2:$A$4542,Übersicht!$C$7,Verweise!$B$2:$B$4542,B2949)=1,"Feiertag",IF(C2949="Samstag","",IF(C2949="Sonntag","",Übersicht!$C$8)))</f>
        <v>Feiertag</v>
      </c>
    </row>
    <row r="2950" spans="1:4" x14ac:dyDescent="0.25">
      <c r="A2950" t="s">
        <v>64</v>
      </c>
      <c r="B2950" s="48">
        <v>45748</v>
      </c>
      <c r="C2950" t="s">
        <v>47</v>
      </c>
      <c r="D2950" t="str">
        <f>IF(COUNTIFS(Verweise!$A$2:$A$4542,Übersicht!$C$7,Verweise!$B$2:$B$4542,B2950)=1,"Feiertag",IF(C2950="Samstag","",IF(C2950="Sonntag","",Übersicht!$C$8)))</f>
        <v>Feiertag</v>
      </c>
    </row>
    <row r="2951" spans="1:4" x14ac:dyDescent="0.25">
      <c r="A2951" t="s">
        <v>64</v>
      </c>
      <c r="B2951" s="48">
        <v>45777</v>
      </c>
      <c r="C2951" t="s">
        <v>48</v>
      </c>
      <c r="D2951" t="str">
        <f>IF(COUNTIFS(Verweise!$A$2:$A$4542,Übersicht!$C$7,Verweise!$B$2:$B$4542,B2951)=1,"Feiertag",IF(C2951="Samstag","",IF(C2951="Sonntag","",Übersicht!$C$8)))</f>
        <v>Feiertag</v>
      </c>
    </row>
    <row r="2952" spans="1:4" x14ac:dyDescent="0.25">
      <c r="A2952" t="s">
        <v>64</v>
      </c>
      <c r="B2952" s="48">
        <v>45786</v>
      </c>
      <c r="C2952" t="s">
        <v>49</v>
      </c>
      <c r="D2952" t="str">
        <f>IF(COUNTIFS(Verweise!$A$2:$A$4542,Übersicht!$C$7,Verweise!$B$2:$B$4542,B2952)=1,"Feiertag",IF(C2952="Samstag","",IF(C2952="Sonntag","",Übersicht!$C$8)))</f>
        <v>Feiertag</v>
      </c>
    </row>
    <row r="2953" spans="1:4" x14ac:dyDescent="0.25">
      <c r="A2953" t="s">
        <v>64</v>
      </c>
      <c r="B2953" s="48">
        <v>45796</v>
      </c>
      <c r="C2953" t="s">
        <v>50</v>
      </c>
      <c r="D2953" t="str">
        <f>IF(COUNTIFS(Verweise!$A$2:$A$4542,Übersicht!$C$7,Verweise!$B$2:$B$4542,B2953)=1,"Feiertag",IF(C2953="Samstag","",IF(C2953="Sonntag","",Übersicht!$C$8)))</f>
        <v>Feiertag</v>
      </c>
    </row>
    <row r="2954" spans="1:4" x14ac:dyDescent="0.25">
      <c r="A2954" t="s">
        <v>64</v>
      </c>
      <c r="B2954" s="48">
        <v>45797</v>
      </c>
      <c r="C2954" t="s">
        <v>51</v>
      </c>
      <c r="D2954" t="str">
        <f>IF(COUNTIFS(Verweise!$A$2:$A$4542,Übersicht!$C$7,Verweise!$B$2:$B$4542,B2954)=1,"Feiertag",IF(C2954="Samstag","",IF(C2954="Sonntag","",Übersicht!$C$8)))</f>
        <v>Feiertag</v>
      </c>
    </row>
    <row r="2955" spans="1:4" x14ac:dyDescent="0.25">
      <c r="A2955" t="s">
        <v>64</v>
      </c>
      <c r="B2955" s="48">
        <v>45932</v>
      </c>
      <c r="C2955" t="s">
        <v>53</v>
      </c>
      <c r="D2955" t="str">
        <f>IF(COUNTIFS(Verweise!$A$2:$A$4542,Übersicht!$C$7,Verweise!$B$2:$B$4542,B2955)=1,"Feiertag",IF(C2955="Samstag","",IF(C2955="Sonntag","",Übersicht!$C$8)))</f>
        <v>Feiertag</v>
      </c>
    </row>
    <row r="2956" spans="1:4" x14ac:dyDescent="0.25">
      <c r="A2956" t="s">
        <v>64</v>
      </c>
      <c r="B2956" s="48">
        <v>46015</v>
      </c>
      <c r="C2956" t="s">
        <v>55</v>
      </c>
      <c r="D2956" t="str">
        <f>IF(COUNTIFS(Verweise!$A$2:$A$4542,Übersicht!$C$7,Verweise!$B$2:$B$4542,B2956)=1,"Feiertag",IF(C2956="Samstag","",IF(C2956="Sonntag","",Übersicht!$C$8)))</f>
        <v>Feiertag</v>
      </c>
    </row>
    <row r="2957" spans="1:4" x14ac:dyDescent="0.25">
      <c r="A2957" t="s">
        <v>64</v>
      </c>
      <c r="B2957" s="48">
        <v>46016</v>
      </c>
      <c r="C2957" t="s">
        <v>56</v>
      </c>
      <c r="D2957" t="str">
        <f>IF(COUNTIFS(Verweise!$A$2:$A$4542,Übersicht!$C$7,Verweise!$B$2:$B$4542,B2957)=1,"Feiertag",IF(C2957="Samstag","",IF(C2957="Sonntag","",Übersicht!$C$8)))</f>
        <v>Feiertag</v>
      </c>
    </row>
    <row r="2958" spans="1:4" x14ac:dyDescent="0.25">
      <c r="A2958" t="s">
        <v>65</v>
      </c>
      <c r="B2958" s="48">
        <v>45657</v>
      </c>
      <c r="C2958" t="s">
        <v>43</v>
      </c>
      <c r="D2958" t="str">
        <f>IF(COUNTIFS(Verweise!$A$2:$A$4542,Übersicht!$C$7,Verweise!$B$2:$B$4542,B2958)=1,"Feiertag",IF(C2958="Samstag","",IF(C2958="Sonntag","",Übersicht!$C$8)))</f>
        <v>Feiertag</v>
      </c>
    </row>
    <row r="2959" spans="1:4" x14ac:dyDescent="0.25">
      <c r="A2959" t="s">
        <v>65</v>
      </c>
      <c r="B2959" s="48">
        <v>45745</v>
      </c>
      <c r="C2959" t="s">
        <v>45</v>
      </c>
      <c r="D2959" t="str">
        <f>IF(COUNTIFS(Verweise!$A$2:$A$4542,Übersicht!$C$7,Verweise!$B$2:$B$4542,B2959)=1,"Feiertag",IF(C2959="Samstag","",IF(C2959="Sonntag","",Übersicht!$C$8)))</f>
        <v>Feiertag</v>
      </c>
    </row>
    <row r="2960" spans="1:4" x14ac:dyDescent="0.25">
      <c r="A2960" t="s">
        <v>65</v>
      </c>
      <c r="B2960" s="48">
        <v>45747</v>
      </c>
      <c r="C2960" t="s">
        <v>46</v>
      </c>
      <c r="D2960" t="str">
        <f>IF(COUNTIFS(Verweise!$A$2:$A$4542,Übersicht!$C$7,Verweise!$B$2:$B$4542,B2960)=1,"Feiertag",IF(C2960="Samstag","",IF(C2960="Sonntag","",Übersicht!$C$8)))</f>
        <v>Feiertag</v>
      </c>
    </row>
    <row r="2961" spans="1:4" x14ac:dyDescent="0.25">
      <c r="A2961" t="s">
        <v>65</v>
      </c>
      <c r="B2961" s="48">
        <v>45748</v>
      </c>
      <c r="C2961" t="s">
        <v>47</v>
      </c>
      <c r="D2961" t="str">
        <f>IF(COUNTIFS(Verweise!$A$2:$A$4542,Übersicht!$C$7,Verweise!$B$2:$B$4542,B2961)=1,"Feiertag",IF(C2961="Samstag","",IF(C2961="Sonntag","",Übersicht!$C$8)))</f>
        <v>Feiertag</v>
      </c>
    </row>
    <row r="2962" spans="1:4" x14ac:dyDescent="0.25">
      <c r="A2962" t="s">
        <v>65</v>
      </c>
      <c r="B2962" s="48">
        <v>45777</v>
      </c>
      <c r="C2962" t="s">
        <v>48</v>
      </c>
      <c r="D2962" t="str">
        <f>IF(COUNTIFS(Verweise!$A$2:$A$4542,Übersicht!$C$7,Verweise!$B$2:$B$4542,B2962)=1,"Feiertag",IF(C2962="Samstag","",IF(C2962="Sonntag","",Übersicht!$C$8)))</f>
        <v>Feiertag</v>
      </c>
    </row>
    <row r="2963" spans="1:4" x14ac:dyDescent="0.25">
      <c r="A2963" t="s">
        <v>65</v>
      </c>
      <c r="B2963" s="48">
        <v>45786</v>
      </c>
      <c r="C2963" t="s">
        <v>49</v>
      </c>
      <c r="D2963" t="str">
        <f>IF(COUNTIFS(Verweise!$A$2:$A$4542,Übersicht!$C$7,Verweise!$B$2:$B$4542,B2963)=1,"Feiertag",IF(C2963="Samstag","",IF(C2963="Sonntag","",Übersicht!$C$8)))</f>
        <v>Feiertag</v>
      </c>
    </row>
    <row r="2964" spans="1:4" x14ac:dyDescent="0.25">
      <c r="A2964" t="s">
        <v>65</v>
      </c>
      <c r="B2964" s="48">
        <v>45796</v>
      </c>
      <c r="C2964" t="s">
        <v>50</v>
      </c>
      <c r="D2964" t="str">
        <f>IF(COUNTIFS(Verweise!$A$2:$A$4542,Übersicht!$C$7,Verweise!$B$2:$B$4542,B2964)=1,"Feiertag",IF(C2964="Samstag","",IF(C2964="Sonntag","",Übersicht!$C$8)))</f>
        <v>Feiertag</v>
      </c>
    </row>
    <row r="2965" spans="1:4" x14ac:dyDescent="0.25">
      <c r="A2965" t="s">
        <v>65</v>
      </c>
      <c r="B2965" s="48">
        <v>45797</v>
      </c>
      <c r="C2965" t="s">
        <v>51</v>
      </c>
      <c r="D2965" t="str">
        <f>IF(COUNTIFS(Verweise!$A$2:$A$4542,Übersicht!$C$7,Verweise!$B$2:$B$4542,B2965)=1,"Feiertag",IF(C2965="Samstag","",IF(C2965="Sonntag","",Übersicht!$C$8)))</f>
        <v>Feiertag</v>
      </c>
    </row>
    <row r="2966" spans="1:4" x14ac:dyDescent="0.25">
      <c r="A2966" t="s">
        <v>65</v>
      </c>
      <c r="B2966" s="48">
        <v>45807</v>
      </c>
      <c r="C2966" t="s">
        <v>52</v>
      </c>
      <c r="D2966" t="str">
        <f>IF(COUNTIFS(Verweise!$A$2:$A$4542,Übersicht!$C$7,Verweise!$B$2:$B$4542,B2966)=1,"Feiertag",IF(C2966="Samstag","",IF(C2966="Sonntag","",Übersicht!$C$8)))</f>
        <v>Feiertag</v>
      </c>
    </row>
    <row r="2967" spans="1:4" x14ac:dyDescent="0.25">
      <c r="A2967" t="s">
        <v>65</v>
      </c>
      <c r="B2967" s="48">
        <v>45932</v>
      </c>
      <c r="C2967" t="s">
        <v>53</v>
      </c>
      <c r="D2967" t="str">
        <f>IF(COUNTIFS(Verweise!$A$2:$A$4542,Übersicht!$C$7,Verweise!$B$2:$B$4542,B2967)=1,"Feiertag",IF(C2967="Samstag","",IF(C2967="Sonntag","",Übersicht!$C$8)))</f>
        <v>Feiertag</v>
      </c>
    </row>
    <row r="2968" spans="1:4" x14ac:dyDescent="0.25">
      <c r="A2968" t="s">
        <v>65</v>
      </c>
      <c r="B2968" s="48">
        <v>46015</v>
      </c>
      <c r="C2968" t="s">
        <v>55</v>
      </c>
      <c r="D2968" t="str">
        <f>IF(COUNTIFS(Verweise!$A$2:$A$4542,Übersicht!$C$7,Verweise!$B$2:$B$4542,B2968)=1,"Feiertag",IF(C2968="Samstag","",IF(C2968="Sonntag","",Übersicht!$C$8)))</f>
        <v>Feiertag</v>
      </c>
    </row>
    <row r="2969" spans="1:4" x14ac:dyDescent="0.25">
      <c r="A2969" t="s">
        <v>65</v>
      </c>
      <c r="B2969" s="48">
        <v>46016</v>
      </c>
      <c r="C2969" t="s">
        <v>56</v>
      </c>
      <c r="D2969" t="str">
        <f>IF(COUNTIFS(Verweise!$A$2:$A$4542,Übersicht!$C$7,Verweise!$B$2:$B$4542,B2969)=1,"Feiertag",IF(C2969="Samstag","",IF(C2969="Sonntag","",Übersicht!$C$8)))</f>
        <v>Feiertag</v>
      </c>
    </row>
    <row r="2970" spans="1:4" x14ac:dyDescent="0.25">
      <c r="A2970" t="s">
        <v>66</v>
      </c>
      <c r="B2970" s="48">
        <v>45657</v>
      </c>
      <c r="C2970" t="s">
        <v>43</v>
      </c>
      <c r="D2970" t="str">
        <f>IF(COUNTIFS(Verweise!$A$2:$A$4542,Übersicht!$C$7,Verweise!$B$2:$B$4542,B2970)=1,"Feiertag",IF(C2970="Samstag","",IF(C2970="Sonntag","",Übersicht!$C$8)))</f>
        <v>Feiertag</v>
      </c>
    </row>
    <row r="2971" spans="1:4" x14ac:dyDescent="0.25">
      <c r="A2971" t="s">
        <v>66</v>
      </c>
      <c r="B2971" s="48">
        <v>45745</v>
      </c>
      <c r="C2971" t="s">
        <v>45</v>
      </c>
      <c r="D2971" t="str">
        <f>IF(COUNTIFS(Verweise!$A$2:$A$4542,Übersicht!$C$7,Verweise!$B$2:$B$4542,B2971)=1,"Feiertag",IF(C2971="Samstag","",IF(C2971="Sonntag","",Übersicht!$C$8)))</f>
        <v>Feiertag</v>
      </c>
    </row>
    <row r="2972" spans="1:4" x14ac:dyDescent="0.25">
      <c r="A2972" t="s">
        <v>66</v>
      </c>
      <c r="B2972" s="48">
        <v>45747</v>
      </c>
      <c r="C2972" t="s">
        <v>46</v>
      </c>
      <c r="D2972" t="str">
        <f>IF(COUNTIFS(Verweise!$A$2:$A$4542,Übersicht!$C$7,Verweise!$B$2:$B$4542,B2972)=1,"Feiertag",IF(C2972="Samstag","",IF(C2972="Sonntag","",Übersicht!$C$8)))</f>
        <v>Feiertag</v>
      </c>
    </row>
    <row r="2973" spans="1:4" x14ac:dyDescent="0.25">
      <c r="A2973" t="s">
        <v>66</v>
      </c>
      <c r="B2973" s="48">
        <v>45748</v>
      </c>
      <c r="C2973" t="s">
        <v>47</v>
      </c>
      <c r="D2973" t="str">
        <f>IF(COUNTIFS(Verweise!$A$2:$A$4542,Übersicht!$C$7,Verweise!$B$2:$B$4542,B2973)=1,"Feiertag",IF(C2973="Samstag","",IF(C2973="Sonntag","",Übersicht!$C$8)))</f>
        <v>Feiertag</v>
      </c>
    </row>
    <row r="2974" spans="1:4" x14ac:dyDescent="0.25">
      <c r="A2974" t="s">
        <v>66</v>
      </c>
      <c r="B2974" s="48">
        <v>45777</v>
      </c>
      <c r="C2974" t="s">
        <v>48</v>
      </c>
      <c r="D2974" t="str">
        <f>IF(COUNTIFS(Verweise!$A$2:$A$4542,Übersicht!$C$7,Verweise!$B$2:$B$4542,B2974)=1,"Feiertag",IF(C2974="Samstag","",IF(C2974="Sonntag","",Übersicht!$C$8)))</f>
        <v>Feiertag</v>
      </c>
    </row>
    <row r="2975" spans="1:4" x14ac:dyDescent="0.25">
      <c r="A2975" t="s">
        <v>66</v>
      </c>
      <c r="B2975" s="48">
        <v>45786</v>
      </c>
      <c r="C2975" t="s">
        <v>49</v>
      </c>
      <c r="D2975" t="str">
        <f>IF(COUNTIFS(Verweise!$A$2:$A$4542,Übersicht!$C$7,Verweise!$B$2:$B$4542,B2975)=1,"Feiertag",IF(C2975="Samstag","",IF(C2975="Sonntag","",Übersicht!$C$8)))</f>
        <v>Feiertag</v>
      </c>
    </row>
    <row r="2976" spans="1:4" x14ac:dyDescent="0.25">
      <c r="A2976" t="s">
        <v>66</v>
      </c>
      <c r="B2976" s="48">
        <v>45796</v>
      </c>
      <c r="C2976" t="s">
        <v>50</v>
      </c>
      <c r="D2976" t="str">
        <f>IF(COUNTIFS(Verweise!$A$2:$A$4542,Übersicht!$C$7,Verweise!$B$2:$B$4542,B2976)=1,"Feiertag",IF(C2976="Samstag","",IF(C2976="Sonntag","",Übersicht!$C$8)))</f>
        <v>Feiertag</v>
      </c>
    </row>
    <row r="2977" spans="1:4" x14ac:dyDescent="0.25">
      <c r="A2977" t="s">
        <v>66</v>
      </c>
      <c r="B2977" s="48">
        <v>45797</v>
      </c>
      <c r="C2977" t="s">
        <v>51</v>
      </c>
      <c r="D2977" t="str">
        <f>IF(COUNTIFS(Verweise!$A$2:$A$4542,Übersicht!$C$7,Verweise!$B$2:$B$4542,B2977)=1,"Feiertag",IF(C2977="Samstag","",IF(C2977="Sonntag","",Übersicht!$C$8)))</f>
        <v>Feiertag</v>
      </c>
    </row>
    <row r="2978" spans="1:4" x14ac:dyDescent="0.25">
      <c r="A2978" t="s">
        <v>66</v>
      </c>
      <c r="B2978" s="48">
        <v>45932</v>
      </c>
      <c r="C2978" t="s">
        <v>53</v>
      </c>
      <c r="D2978" t="str">
        <f>IF(COUNTIFS(Verweise!$A$2:$A$4542,Übersicht!$C$7,Verweise!$B$2:$B$4542,B2978)=1,"Feiertag",IF(C2978="Samstag","",IF(C2978="Sonntag","",Übersicht!$C$8)))</f>
        <v>Feiertag</v>
      </c>
    </row>
    <row r="2979" spans="1:4" x14ac:dyDescent="0.25">
      <c r="A2979" t="s">
        <v>66</v>
      </c>
      <c r="B2979" s="48">
        <v>45960</v>
      </c>
      <c r="C2979" t="s">
        <v>62</v>
      </c>
      <c r="D2979" t="str">
        <f>IF(COUNTIFS(Verweise!$A$2:$A$4542,Übersicht!$C$7,Verweise!$B$2:$B$4542,B2979)=1,"Feiertag",IF(C2979="Samstag","",IF(C2979="Sonntag","",Übersicht!$C$8)))</f>
        <v>Büro</v>
      </c>
    </row>
    <row r="2980" spans="1:4" x14ac:dyDescent="0.25">
      <c r="A2980" t="s">
        <v>66</v>
      </c>
      <c r="B2980" s="48">
        <v>46015</v>
      </c>
      <c r="C2980" t="s">
        <v>55</v>
      </c>
      <c r="D2980" t="str">
        <f>IF(COUNTIFS(Verweise!$A$2:$A$4542,Übersicht!$C$7,Verweise!$B$2:$B$4542,B2980)=1,"Feiertag",IF(C2980="Samstag","",IF(C2980="Sonntag","",Übersicht!$C$8)))</f>
        <v>Feiertag</v>
      </c>
    </row>
    <row r="2981" spans="1:4" x14ac:dyDescent="0.25">
      <c r="A2981" t="s">
        <v>66</v>
      </c>
      <c r="B2981" s="48">
        <v>46016</v>
      </c>
      <c r="C2981" t="s">
        <v>56</v>
      </c>
      <c r="D2981" t="str">
        <f>IF(COUNTIFS(Verweise!$A$2:$A$4542,Übersicht!$C$7,Verweise!$B$2:$B$4542,B2981)=1,"Feiertag",IF(C2981="Samstag","",IF(C2981="Sonntag","",Übersicht!$C$8)))</f>
        <v>Feiertag</v>
      </c>
    </row>
    <row r="2982" spans="1:4" x14ac:dyDescent="0.25">
      <c r="A2982" t="s">
        <v>67</v>
      </c>
      <c r="B2982" s="48">
        <v>45657</v>
      </c>
      <c r="C2982" t="s">
        <v>43</v>
      </c>
      <c r="D2982" t="str">
        <f>IF(COUNTIFS(Verweise!$A$2:$A$4542,Übersicht!$C$7,Verweise!$B$2:$B$4542,B2982)=1,"Feiertag",IF(C2982="Samstag","",IF(C2982="Sonntag","",Übersicht!$C$8)))</f>
        <v>Feiertag</v>
      </c>
    </row>
    <row r="2983" spans="1:4" x14ac:dyDescent="0.25">
      <c r="A2983" t="s">
        <v>67</v>
      </c>
      <c r="B2983" s="48">
        <v>45745</v>
      </c>
      <c r="C2983" t="s">
        <v>45</v>
      </c>
      <c r="D2983" t="str">
        <f>IF(COUNTIFS(Verweise!$A$2:$A$4542,Übersicht!$C$7,Verweise!$B$2:$B$4542,B2983)=1,"Feiertag",IF(C2983="Samstag","",IF(C2983="Sonntag","",Übersicht!$C$8)))</f>
        <v>Feiertag</v>
      </c>
    </row>
    <row r="2984" spans="1:4" x14ac:dyDescent="0.25">
      <c r="A2984" t="s">
        <v>67</v>
      </c>
      <c r="B2984" s="48">
        <v>45747</v>
      </c>
      <c r="C2984" t="s">
        <v>46</v>
      </c>
      <c r="D2984" t="str">
        <f>IF(COUNTIFS(Verweise!$A$2:$A$4542,Übersicht!$C$7,Verweise!$B$2:$B$4542,B2984)=1,"Feiertag",IF(C2984="Samstag","",IF(C2984="Sonntag","",Übersicht!$C$8)))</f>
        <v>Feiertag</v>
      </c>
    </row>
    <row r="2985" spans="1:4" x14ac:dyDescent="0.25">
      <c r="A2985" t="s">
        <v>67</v>
      </c>
      <c r="B2985" s="48">
        <v>45748</v>
      </c>
      <c r="C2985" t="s">
        <v>47</v>
      </c>
      <c r="D2985" t="str">
        <f>IF(COUNTIFS(Verweise!$A$2:$A$4542,Übersicht!$C$7,Verweise!$B$2:$B$4542,B2985)=1,"Feiertag",IF(C2985="Samstag","",IF(C2985="Sonntag","",Übersicht!$C$8)))</f>
        <v>Feiertag</v>
      </c>
    </row>
    <row r="2986" spans="1:4" x14ac:dyDescent="0.25">
      <c r="A2986" t="s">
        <v>67</v>
      </c>
      <c r="B2986" s="48">
        <v>45777</v>
      </c>
      <c r="C2986" t="s">
        <v>48</v>
      </c>
      <c r="D2986" t="str">
        <f>IF(COUNTIFS(Verweise!$A$2:$A$4542,Übersicht!$C$7,Verweise!$B$2:$B$4542,B2986)=1,"Feiertag",IF(C2986="Samstag","",IF(C2986="Sonntag","",Übersicht!$C$8)))</f>
        <v>Feiertag</v>
      </c>
    </row>
    <row r="2987" spans="1:4" x14ac:dyDescent="0.25">
      <c r="A2987" t="s">
        <v>67</v>
      </c>
      <c r="B2987" s="48">
        <v>45786</v>
      </c>
      <c r="C2987" t="s">
        <v>49</v>
      </c>
      <c r="D2987" t="str">
        <f>IF(COUNTIFS(Verweise!$A$2:$A$4542,Übersicht!$C$7,Verweise!$B$2:$B$4542,B2987)=1,"Feiertag",IF(C2987="Samstag","",IF(C2987="Sonntag","",Übersicht!$C$8)))</f>
        <v>Feiertag</v>
      </c>
    </row>
    <row r="2988" spans="1:4" x14ac:dyDescent="0.25">
      <c r="A2988" t="s">
        <v>67</v>
      </c>
      <c r="B2988" s="48">
        <v>45796</v>
      </c>
      <c r="C2988" t="s">
        <v>50</v>
      </c>
      <c r="D2988" t="str">
        <f>IF(COUNTIFS(Verweise!$A$2:$A$4542,Übersicht!$C$7,Verweise!$B$2:$B$4542,B2988)=1,"Feiertag",IF(C2988="Samstag","",IF(C2988="Sonntag","",Übersicht!$C$8)))</f>
        <v>Feiertag</v>
      </c>
    </row>
    <row r="2989" spans="1:4" x14ac:dyDescent="0.25">
      <c r="A2989" t="s">
        <v>67</v>
      </c>
      <c r="B2989" s="48">
        <v>45797</v>
      </c>
      <c r="C2989" t="s">
        <v>51</v>
      </c>
      <c r="D2989" t="str">
        <f>IF(COUNTIFS(Verweise!$A$2:$A$4542,Übersicht!$C$7,Verweise!$B$2:$B$4542,B2989)=1,"Feiertag",IF(C2989="Samstag","",IF(C2989="Sonntag","",Übersicht!$C$8)))</f>
        <v>Feiertag</v>
      </c>
    </row>
    <row r="2990" spans="1:4" x14ac:dyDescent="0.25">
      <c r="A2990" t="s">
        <v>67</v>
      </c>
      <c r="B2990" s="48">
        <v>45932</v>
      </c>
      <c r="C2990" t="s">
        <v>53</v>
      </c>
      <c r="D2990" t="str">
        <f>IF(COUNTIFS(Verweise!$A$2:$A$4542,Übersicht!$C$7,Verweise!$B$2:$B$4542,B2990)=1,"Feiertag",IF(C2990="Samstag","",IF(C2990="Sonntag","",Übersicht!$C$8)))</f>
        <v>Feiertag</v>
      </c>
    </row>
    <row r="2991" spans="1:4" x14ac:dyDescent="0.25">
      <c r="A2991" t="s">
        <v>67</v>
      </c>
      <c r="B2991" s="48">
        <v>46015</v>
      </c>
      <c r="C2991" t="s">
        <v>55</v>
      </c>
      <c r="D2991" t="str">
        <f>IF(COUNTIFS(Verweise!$A$2:$A$4542,Übersicht!$C$7,Verweise!$B$2:$B$4542,B2991)=1,"Feiertag",IF(C2991="Samstag","",IF(C2991="Sonntag","",Übersicht!$C$8)))</f>
        <v>Feiertag</v>
      </c>
    </row>
    <row r="2992" spans="1:4" x14ac:dyDescent="0.25">
      <c r="A2992" t="s">
        <v>67</v>
      </c>
      <c r="B2992" s="48">
        <v>46016</v>
      </c>
      <c r="C2992" t="s">
        <v>56</v>
      </c>
      <c r="D2992" t="str">
        <f>IF(COUNTIFS(Verweise!$A$2:$A$4542,Übersicht!$C$7,Verweise!$B$2:$B$4542,B2992)=1,"Feiertag",IF(C2992="Samstag","",IF(C2992="Sonntag","",Übersicht!$C$8)))</f>
        <v>Feiertag</v>
      </c>
    </row>
    <row r="2993" spans="1:4" x14ac:dyDescent="0.25">
      <c r="A2993" t="s">
        <v>68</v>
      </c>
      <c r="B2993" s="48">
        <v>45657</v>
      </c>
      <c r="C2993" t="s">
        <v>43</v>
      </c>
      <c r="D2993" t="str">
        <f>IF(COUNTIFS(Verweise!$A$2:$A$4542,Übersicht!$C$7,Verweise!$B$2:$B$4542,B2993)=1,"Feiertag",IF(C2993="Samstag","",IF(C2993="Sonntag","",Übersicht!$C$8)))</f>
        <v>Feiertag</v>
      </c>
    </row>
    <row r="2994" spans="1:4" x14ac:dyDescent="0.25">
      <c r="A2994" t="s">
        <v>68</v>
      </c>
      <c r="B2994" s="48">
        <v>45745</v>
      </c>
      <c r="C2994" t="s">
        <v>45</v>
      </c>
      <c r="D2994" t="str">
        <f>IF(COUNTIFS(Verweise!$A$2:$A$4542,Übersicht!$C$7,Verweise!$B$2:$B$4542,B2994)=1,"Feiertag",IF(C2994="Samstag","",IF(C2994="Sonntag","",Übersicht!$C$8)))</f>
        <v>Feiertag</v>
      </c>
    </row>
    <row r="2995" spans="1:4" x14ac:dyDescent="0.25">
      <c r="A2995" t="s">
        <v>68</v>
      </c>
      <c r="B2995" s="48">
        <v>45747</v>
      </c>
      <c r="C2995" t="s">
        <v>46</v>
      </c>
      <c r="D2995" t="str">
        <f>IF(COUNTIFS(Verweise!$A$2:$A$4542,Übersicht!$C$7,Verweise!$B$2:$B$4542,B2995)=1,"Feiertag",IF(C2995="Samstag","",IF(C2995="Sonntag","",Übersicht!$C$8)))</f>
        <v>Feiertag</v>
      </c>
    </row>
    <row r="2996" spans="1:4" x14ac:dyDescent="0.25">
      <c r="A2996" t="s">
        <v>68</v>
      </c>
      <c r="B2996" s="48">
        <v>45748</v>
      </c>
      <c r="C2996" t="s">
        <v>47</v>
      </c>
      <c r="D2996" t="str">
        <f>IF(COUNTIFS(Verweise!$A$2:$A$4542,Übersicht!$C$7,Verweise!$B$2:$B$4542,B2996)=1,"Feiertag",IF(C2996="Samstag","",IF(C2996="Sonntag","",Übersicht!$C$8)))</f>
        <v>Feiertag</v>
      </c>
    </row>
    <row r="2997" spans="1:4" x14ac:dyDescent="0.25">
      <c r="A2997" t="s">
        <v>68</v>
      </c>
      <c r="B2997" s="48">
        <v>45777</v>
      </c>
      <c r="C2997" t="s">
        <v>48</v>
      </c>
      <c r="D2997" t="str">
        <f>IF(COUNTIFS(Verweise!$A$2:$A$4542,Übersicht!$C$7,Verweise!$B$2:$B$4542,B2997)=1,"Feiertag",IF(C2997="Samstag","",IF(C2997="Sonntag","",Übersicht!$C$8)))</f>
        <v>Feiertag</v>
      </c>
    </row>
    <row r="2998" spans="1:4" x14ac:dyDescent="0.25">
      <c r="A2998" t="s">
        <v>68</v>
      </c>
      <c r="B2998" s="48">
        <v>45786</v>
      </c>
      <c r="C2998" t="s">
        <v>49</v>
      </c>
      <c r="D2998" t="str">
        <f>IF(COUNTIFS(Verweise!$A$2:$A$4542,Übersicht!$C$7,Verweise!$B$2:$B$4542,B2998)=1,"Feiertag",IF(C2998="Samstag","",IF(C2998="Sonntag","",Übersicht!$C$8)))</f>
        <v>Feiertag</v>
      </c>
    </row>
    <row r="2999" spans="1:4" x14ac:dyDescent="0.25">
      <c r="A2999" t="s">
        <v>68</v>
      </c>
      <c r="B2999" s="48">
        <v>45796</v>
      </c>
      <c r="C2999" t="s">
        <v>50</v>
      </c>
      <c r="D2999" t="str">
        <f>IF(COUNTIFS(Verweise!$A$2:$A$4542,Übersicht!$C$7,Verweise!$B$2:$B$4542,B2999)=1,"Feiertag",IF(C2999="Samstag","",IF(C2999="Sonntag","",Übersicht!$C$8)))</f>
        <v>Feiertag</v>
      </c>
    </row>
    <row r="3000" spans="1:4" x14ac:dyDescent="0.25">
      <c r="A3000" t="s">
        <v>68</v>
      </c>
      <c r="B3000" s="48">
        <v>45797</v>
      </c>
      <c r="C3000" t="s">
        <v>51</v>
      </c>
      <c r="D3000" t="str">
        <f>IF(COUNTIFS(Verweise!$A$2:$A$4542,Übersicht!$C$7,Verweise!$B$2:$B$4542,B3000)=1,"Feiertag",IF(C3000="Samstag","",IF(C3000="Sonntag","",Übersicht!$C$8)))</f>
        <v>Feiertag</v>
      </c>
    </row>
    <row r="3001" spans="1:4" x14ac:dyDescent="0.25">
      <c r="A3001" t="s">
        <v>68</v>
      </c>
      <c r="B3001" s="48">
        <v>45807</v>
      </c>
      <c r="C3001" t="s">
        <v>52</v>
      </c>
      <c r="D3001" t="str">
        <f>IF(COUNTIFS(Verweise!$A$2:$A$4542,Übersicht!$C$7,Verweise!$B$2:$B$4542,B3001)=1,"Feiertag",IF(C3001="Samstag","",IF(C3001="Sonntag","",Übersicht!$C$8)))</f>
        <v>Feiertag</v>
      </c>
    </row>
    <row r="3002" spans="1:4" x14ac:dyDescent="0.25">
      <c r="A3002" t="s">
        <v>68</v>
      </c>
      <c r="B3002" s="48">
        <v>45932</v>
      </c>
      <c r="C3002" t="s">
        <v>53</v>
      </c>
      <c r="D3002" t="str">
        <f>IF(COUNTIFS(Verweise!$A$2:$A$4542,Übersicht!$C$7,Verweise!$B$2:$B$4542,B3002)=1,"Feiertag",IF(C3002="Samstag","",IF(C3002="Sonntag","",Übersicht!$C$8)))</f>
        <v>Feiertag</v>
      </c>
    </row>
    <row r="3003" spans="1:4" x14ac:dyDescent="0.25">
      <c r="A3003" t="s">
        <v>68</v>
      </c>
      <c r="B3003" s="48">
        <v>45961</v>
      </c>
      <c r="C3003" t="s">
        <v>54</v>
      </c>
      <c r="D3003" t="str">
        <f>IF(COUNTIFS(Verweise!$A$2:$A$4542,Übersicht!$C$7,Verweise!$B$2:$B$4542,B3003)=1,"Feiertag",IF(C3003="Samstag","",IF(C3003="Sonntag","",Übersicht!$C$8)))</f>
        <v>Feiertag</v>
      </c>
    </row>
    <row r="3004" spans="1:4" x14ac:dyDescent="0.25">
      <c r="A3004" t="s">
        <v>68</v>
      </c>
      <c r="B3004" s="48">
        <v>46015</v>
      </c>
      <c r="C3004" t="s">
        <v>55</v>
      </c>
      <c r="D3004" t="str">
        <f>IF(COUNTIFS(Verweise!$A$2:$A$4542,Übersicht!$C$7,Verweise!$B$2:$B$4542,B3004)=1,"Feiertag",IF(C3004="Samstag","",IF(C3004="Sonntag","",Übersicht!$C$8)))</f>
        <v>Feiertag</v>
      </c>
    </row>
    <row r="3005" spans="1:4" x14ac:dyDescent="0.25">
      <c r="A3005" t="s">
        <v>68</v>
      </c>
      <c r="B3005" s="48">
        <v>46016</v>
      </c>
      <c r="C3005" t="s">
        <v>56</v>
      </c>
      <c r="D3005" t="str">
        <f>IF(COUNTIFS(Verweise!$A$2:$A$4542,Übersicht!$C$7,Verweise!$B$2:$B$4542,B3005)=1,"Feiertag",IF(C3005="Samstag","",IF(C3005="Sonntag","",Übersicht!$C$8)))</f>
        <v>Feiertag</v>
      </c>
    </row>
    <row r="3006" spans="1:4" x14ac:dyDescent="0.25">
      <c r="A3006" t="s">
        <v>69</v>
      </c>
      <c r="B3006" s="48">
        <v>45657</v>
      </c>
      <c r="C3006" t="s">
        <v>43</v>
      </c>
      <c r="D3006" t="str">
        <f>IF(COUNTIFS(Verweise!$A$2:$A$4542,Übersicht!$C$7,Verweise!$B$2:$B$4542,B3006)=1,"Feiertag",IF(C3006="Samstag","",IF(C3006="Sonntag","",Übersicht!$C$8)))</f>
        <v>Feiertag</v>
      </c>
    </row>
    <row r="3007" spans="1:4" x14ac:dyDescent="0.25">
      <c r="A3007" t="s">
        <v>69</v>
      </c>
      <c r="B3007" s="48">
        <v>45745</v>
      </c>
      <c r="C3007" t="s">
        <v>45</v>
      </c>
      <c r="D3007" t="str">
        <f>IF(COUNTIFS(Verweise!$A$2:$A$4542,Übersicht!$C$7,Verweise!$B$2:$B$4542,B3007)=1,"Feiertag",IF(C3007="Samstag","",IF(C3007="Sonntag","",Übersicht!$C$8)))</f>
        <v>Feiertag</v>
      </c>
    </row>
    <row r="3008" spans="1:4" x14ac:dyDescent="0.25">
      <c r="A3008" t="s">
        <v>69</v>
      </c>
      <c r="B3008" s="48">
        <v>45747</v>
      </c>
      <c r="C3008" t="s">
        <v>46</v>
      </c>
      <c r="D3008" t="str">
        <f>IF(COUNTIFS(Verweise!$A$2:$A$4542,Übersicht!$C$7,Verweise!$B$2:$B$4542,B3008)=1,"Feiertag",IF(C3008="Samstag","",IF(C3008="Sonntag","",Übersicht!$C$8)))</f>
        <v>Feiertag</v>
      </c>
    </row>
    <row r="3009" spans="1:4" x14ac:dyDescent="0.25">
      <c r="A3009" t="s">
        <v>69</v>
      </c>
      <c r="B3009" s="48">
        <v>45748</v>
      </c>
      <c r="C3009" t="s">
        <v>47</v>
      </c>
      <c r="D3009" t="str">
        <f>IF(COUNTIFS(Verweise!$A$2:$A$4542,Übersicht!$C$7,Verweise!$B$2:$B$4542,B3009)=1,"Feiertag",IF(C3009="Samstag","",IF(C3009="Sonntag","",Übersicht!$C$8)))</f>
        <v>Feiertag</v>
      </c>
    </row>
    <row r="3010" spans="1:4" x14ac:dyDescent="0.25">
      <c r="A3010" t="s">
        <v>69</v>
      </c>
      <c r="B3010" s="48">
        <v>45777</v>
      </c>
      <c r="C3010" t="s">
        <v>48</v>
      </c>
      <c r="D3010" t="str">
        <f>IF(COUNTIFS(Verweise!$A$2:$A$4542,Übersicht!$C$7,Verweise!$B$2:$B$4542,B3010)=1,"Feiertag",IF(C3010="Samstag","",IF(C3010="Sonntag","",Übersicht!$C$8)))</f>
        <v>Feiertag</v>
      </c>
    </row>
    <row r="3011" spans="1:4" x14ac:dyDescent="0.25">
      <c r="A3011" t="s">
        <v>69</v>
      </c>
      <c r="B3011" s="48">
        <v>45786</v>
      </c>
      <c r="C3011" t="s">
        <v>49</v>
      </c>
      <c r="D3011" t="str">
        <f>IF(COUNTIFS(Verweise!$A$2:$A$4542,Übersicht!$C$7,Verweise!$B$2:$B$4542,B3011)=1,"Feiertag",IF(C3011="Samstag","",IF(C3011="Sonntag","",Übersicht!$C$8)))</f>
        <v>Feiertag</v>
      </c>
    </row>
    <row r="3012" spans="1:4" x14ac:dyDescent="0.25">
      <c r="A3012" t="s">
        <v>69</v>
      </c>
      <c r="B3012" s="48">
        <v>45796</v>
      </c>
      <c r="C3012" t="s">
        <v>50</v>
      </c>
      <c r="D3012" t="str">
        <f>IF(COUNTIFS(Verweise!$A$2:$A$4542,Übersicht!$C$7,Verweise!$B$2:$B$4542,B3012)=1,"Feiertag",IF(C3012="Samstag","",IF(C3012="Sonntag","",Übersicht!$C$8)))</f>
        <v>Feiertag</v>
      </c>
    </row>
    <row r="3013" spans="1:4" x14ac:dyDescent="0.25">
      <c r="A3013" t="s">
        <v>69</v>
      </c>
      <c r="B3013" s="48">
        <v>45797</v>
      </c>
      <c r="C3013" t="s">
        <v>51</v>
      </c>
      <c r="D3013" t="str">
        <f>IF(COUNTIFS(Verweise!$A$2:$A$4542,Übersicht!$C$7,Verweise!$B$2:$B$4542,B3013)=1,"Feiertag",IF(C3013="Samstag","",IF(C3013="Sonntag","",Übersicht!$C$8)))</f>
        <v>Feiertag</v>
      </c>
    </row>
    <row r="3014" spans="1:4" x14ac:dyDescent="0.25">
      <c r="A3014" t="s">
        <v>69</v>
      </c>
      <c r="B3014" s="48">
        <v>45807</v>
      </c>
      <c r="C3014" t="s">
        <v>52</v>
      </c>
      <c r="D3014" t="str">
        <f>IF(COUNTIFS(Verweise!$A$2:$A$4542,Übersicht!$C$7,Verweise!$B$2:$B$4542,B3014)=1,"Feiertag",IF(C3014="Samstag","",IF(C3014="Sonntag","",Übersicht!$C$8)))</f>
        <v>Feiertag</v>
      </c>
    </row>
    <row r="3015" spans="1:4" x14ac:dyDescent="0.25">
      <c r="A3015" t="s">
        <v>69</v>
      </c>
      <c r="B3015" s="48">
        <v>45932</v>
      </c>
      <c r="C3015" t="s">
        <v>53</v>
      </c>
      <c r="D3015" t="str">
        <f>IF(COUNTIFS(Verweise!$A$2:$A$4542,Übersicht!$C$7,Verweise!$B$2:$B$4542,B3015)=1,"Feiertag",IF(C3015="Samstag","",IF(C3015="Sonntag","",Übersicht!$C$8)))</f>
        <v>Feiertag</v>
      </c>
    </row>
    <row r="3016" spans="1:4" x14ac:dyDescent="0.25">
      <c r="A3016" t="s">
        <v>69</v>
      </c>
      <c r="B3016" s="48">
        <v>45961</v>
      </c>
      <c r="C3016" t="s">
        <v>54</v>
      </c>
      <c r="D3016" t="str">
        <f>IF(COUNTIFS(Verweise!$A$2:$A$4542,Übersicht!$C$7,Verweise!$B$2:$B$4542,B3016)=1,"Feiertag",IF(C3016="Samstag","",IF(C3016="Sonntag","",Übersicht!$C$8)))</f>
        <v>Feiertag</v>
      </c>
    </row>
    <row r="3017" spans="1:4" x14ac:dyDescent="0.25">
      <c r="A3017" t="s">
        <v>69</v>
      </c>
      <c r="B3017" s="48">
        <v>46015</v>
      </c>
      <c r="C3017" t="s">
        <v>55</v>
      </c>
      <c r="D3017" t="str">
        <f>IF(COUNTIFS(Verweise!$A$2:$A$4542,Übersicht!$C$7,Verweise!$B$2:$B$4542,B3017)=1,"Feiertag",IF(C3017="Samstag","",IF(C3017="Sonntag","",Übersicht!$C$8)))</f>
        <v>Feiertag</v>
      </c>
    </row>
    <row r="3018" spans="1:4" x14ac:dyDescent="0.25">
      <c r="A3018" t="s">
        <v>69</v>
      </c>
      <c r="B3018" s="48">
        <v>46016</v>
      </c>
      <c r="C3018" t="s">
        <v>56</v>
      </c>
      <c r="D3018" t="str">
        <f>IF(COUNTIFS(Verweise!$A$2:$A$4542,Übersicht!$C$7,Verweise!$B$2:$B$4542,B3018)=1,"Feiertag",IF(C3018="Samstag","",IF(C3018="Sonntag","",Übersicht!$C$8)))</f>
        <v>Feiertag</v>
      </c>
    </row>
    <row r="3019" spans="1:4" x14ac:dyDescent="0.25">
      <c r="A3019" t="s">
        <v>70</v>
      </c>
      <c r="B3019" s="48">
        <v>45657</v>
      </c>
      <c r="C3019" t="s">
        <v>43</v>
      </c>
      <c r="D3019" t="str">
        <f>IF(COUNTIFS(Verweise!$A$2:$A$4542,Übersicht!$C$7,Verweise!$B$2:$B$4542,B3019)=1,"Feiertag",IF(C3019="Samstag","",IF(C3019="Sonntag","",Übersicht!$C$8)))</f>
        <v>Feiertag</v>
      </c>
    </row>
    <row r="3020" spans="1:4" x14ac:dyDescent="0.25">
      <c r="A3020" t="s">
        <v>70</v>
      </c>
      <c r="B3020" s="48">
        <v>45745</v>
      </c>
      <c r="C3020" t="s">
        <v>45</v>
      </c>
      <c r="D3020" t="str">
        <f>IF(COUNTIFS(Verweise!$A$2:$A$4542,Übersicht!$C$7,Verweise!$B$2:$B$4542,B3020)=1,"Feiertag",IF(C3020="Samstag","",IF(C3020="Sonntag","",Übersicht!$C$8)))</f>
        <v>Feiertag</v>
      </c>
    </row>
    <row r="3021" spans="1:4" x14ac:dyDescent="0.25">
      <c r="A3021" t="s">
        <v>70</v>
      </c>
      <c r="B3021" s="48">
        <v>45747</v>
      </c>
      <c r="C3021" t="s">
        <v>46</v>
      </c>
      <c r="D3021" t="str">
        <f>IF(COUNTIFS(Verweise!$A$2:$A$4542,Übersicht!$C$7,Verweise!$B$2:$B$4542,B3021)=1,"Feiertag",IF(C3021="Samstag","",IF(C3021="Sonntag","",Übersicht!$C$8)))</f>
        <v>Feiertag</v>
      </c>
    </row>
    <row r="3022" spans="1:4" x14ac:dyDescent="0.25">
      <c r="A3022" t="s">
        <v>70</v>
      </c>
      <c r="B3022" s="48">
        <v>45748</v>
      </c>
      <c r="C3022" t="s">
        <v>47</v>
      </c>
      <c r="D3022" t="str">
        <f>IF(COUNTIFS(Verweise!$A$2:$A$4542,Übersicht!$C$7,Verweise!$B$2:$B$4542,B3022)=1,"Feiertag",IF(C3022="Samstag","",IF(C3022="Sonntag","",Übersicht!$C$8)))</f>
        <v>Feiertag</v>
      </c>
    </row>
    <row r="3023" spans="1:4" x14ac:dyDescent="0.25">
      <c r="A3023" t="s">
        <v>70</v>
      </c>
      <c r="B3023" s="48">
        <v>45777</v>
      </c>
      <c r="C3023" t="s">
        <v>48</v>
      </c>
      <c r="D3023" t="str">
        <f>IF(COUNTIFS(Verweise!$A$2:$A$4542,Übersicht!$C$7,Verweise!$B$2:$B$4542,B3023)=1,"Feiertag",IF(C3023="Samstag","",IF(C3023="Sonntag","",Übersicht!$C$8)))</f>
        <v>Feiertag</v>
      </c>
    </row>
    <row r="3024" spans="1:4" x14ac:dyDescent="0.25">
      <c r="A3024" t="s">
        <v>70</v>
      </c>
      <c r="B3024" s="48">
        <v>45786</v>
      </c>
      <c r="C3024" t="s">
        <v>49</v>
      </c>
      <c r="D3024" t="str">
        <f>IF(COUNTIFS(Verweise!$A$2:$A$4542,Übersicht!$C$7,Verweise!$B$2:$B$4542,B3024)=1,"Feiertag",IF(C3024="Samstag","",IF(C3024="Sonntag","",Übersicht!$C$8)))</f>
        <v>Feiertag</v>
      </c>
    </row>
    <row r="3025" spans="1:4" x14ac:dyDescent="0.25">
      <c r="A3025" t="s">
        <v>70</v>
      </c>
      <c r="B3025" s="48">
        <v>45796</v>
      </c>
      <c r="C3025" t="s">
        <v>50</v>
      </c>
      <c r="D3025" t="str">
        <f>IF(COUNTIFS(Verweise!$A$2:$A$4542,Übersicht!$C$7,Verweise!$B$2:$B$4542,B3025)=1,"Feiertag",IF(C3025="Samstag","",IF(C3025="Sonntag","",Übersicht!$C$8)))</f>
        <v>Feiertag</v>
      </c>
    </row>
    <row r="3026" spans="1:4" x14ac:dyDescent="0.25">
      <c r="A3026" t="s">
        <v>70</v>
      </c>
      <c r="B3026" s="48">
        <v>45797</v>
      </c>
      <c r="C3026" t="s">
        <v>51</v>
      </c>
      <c r="D3026" t="str">
        <f>IF(COUNTIFS(Verweise!$A$2:$A$4542,Übersicht!$C$7,Verweise!$B$2:$B$4542,B3026)=1,"Feiertag",IF(C3026="Samstag","",IF(C3026="Sonntag","",Übersicht!$C$8)))</f>
        <v>Feiertag</v>
      </c>
    </row>
    <row r="3027" spans="1:4" x14ac:dyDescent="0.25">
      <c r="A3027" t="s">
        <v>70</v>
      </c>
      <c r="B3027" s="48">
        <v>45807</v>
      </c>
      <c r="C3027" t="s">
        <v>52</v>
      </c>
      <c r="D3027" t="str">
        <f>IF(COUNTIFS(Verweise!$A$2:$A$4542,Übersicht!$C$7,Verweise!$B$2:$B$4542,B3027)=1,"Feiertag",IF(C3027="Samstag","",IF(C3027="Sonntag","",Übersicht!$C$8)))</f>
        <v>Feiertag</v>
      </c>
    </row>
    <row r="3028" spans="1:4" x14ac:dyDescent="0.25">
      <c r="A3028" t="s">
        <v>70</v>
      </c>
      <c r="B3028" s="48">
        <v>45883</v>
      </c>
      <c r="C3028" t="s">
        <v>59</v>
      </c>
      <c r="D3028" t="str">
        <f>IF(COUNTIFS(Verweise!$A$2:$A$4542,Übersicht!$C$7,Verweise!$B$2:$B$4542,B3028)=1,"Feiertag",IF(C3028="Samstag","",IF(C3028="Sonntag","",Übersicht!$C$8)))</f>
        <v>Büro</v>
      </c>
    </row>
    <row r="3029" spans="1:4" x14ac:dyDescent="0.25">
      <c r="A3029" t="s">
        <v>70</v>
      </c>
      <c r="B3029" s="48">
        <v>45932</v>
      </c>
      <c r="C3029" t="s">
        <v>53</v>
      </c>
      <c r="D3029" t="str">
        <f>IF(COUNTIFS(Verweise!$A$2:$A$4542,Übersicht!$C$7,Verweise!$B$2:$B$4542,B3029)=1,"Feiertag",IF(C3029="Samstag","",IF(C3029="Sonntag","",Übersicht!$C$8)))</f>
        <v>Feiertag</v>
      </c>
    </row>
    <row r="3030" spans="1:4" x14ac:dyDescent="0.25">
      <c r="A3030" t="s">
        <v>70</v>
      </c>
      <c r="B3030" s="48">
        <v>45961</v>
      </c>
      <c r="C3030" t="s">
        <v>54</v>
      </c>
      <c r="D3030" t="str">
        <f>IF(COUNTIFS(Verweise!$A$2:$A$4542,Übersicht!$C$7,Verweise!$B$2:$B$4542,B3030)=1,"Feiertag",IF(C3030="Samstag","",IF(C3030="Sonntag","",Übersicht!$C$8)))</f>
        <v>Feiertag</v>
      </c>
    </row>
    <row r="3031" spans="1:4" x14ac:dyDescent="0.25">
      <c r="A3031" t="s">
        <v>70</v>
      </c>
      <c r="B3031" s="48">
        <v>46015</v>
      </c>
      <c r="C3031" t="s">
        <v>55</v>
      </c>
      <c r="D3031" t="str">
        <f>IF(COUNTIFS(Verweise!$A$2:$A$4542,Übersicht!$C$7,Verweise!$B$2:$B$4542,B3031)=1,"Feiertag",IF(C3031="Samstag","",IF(C3031="Sonntag","",Übersicht!$C$8)))</f>
        <v>Feiertag</v>
      </c>
    </row>
    <row r="3032" spans="1:4" x14ac:dyDescent="0.25">
      <c r="A3032" t="s">
        <v>70</v>
      </c>
      <c r="B3032" s="48">
        <v>46016</v>
      </c>
      <c r="C3032" t="s">
        <v>56</v>
      </c>
      <c r="D3032" t="str">
        <f>IF(COUNTIFS(Verweise!$A$2:$A$4542,Übersicht!$C$7,Verweise!$B$2:$B$4542,B3032)=1,"Feiertag",IF(C3032="Samstag","",IF(C3032="Sonntag","",Übersicht!$C$8)))</f>
        <v>Feiertag</v>
      </c>
    </row>
    <row r="3033" spans="1:4" x14ac:dyDescent="0.25">
      <c r="A3033" t="s">
        <v>71</v>
      </c>
      <c r="B3033" s="48">
        <v>45657</v>
      </c>
      <c r="C3033" t="s">
        <v>43</v>
      </c>
      <c r="D3033" t="str">
        <f>IF(COUNTIFS(Verweise!$A$2:$A$4542,Übersicht!$C$7,Verweise!$B$2:$B$4542,B3033)=1,"Feiertag",IF(C3033="Samstag","",IF(C3033="Sonntag","",Übersicht!$C$8)))</f>
        <v>Feiertag</v>
      </c>
    </row>
    <row r="3034" spans="1:4" x14ac:dyDescent="0.25">
      <c r="A3034" t="s">
        <v>71</v>
      </c>
      <c r="B3034" s="48">
        <v>45745</v>
      </c>
      <c r="C3034" t="s">
        <v>45</v>
      </c>
      <c r="D3034" t="str">
        <f>IF(COUNTIFS(Verweise!$A$2:$A$4542,Übersicht!$C$7,Verweise!$B$2:$B$4542,B3034)=1,"Feiertag",IF(C3034="Samstag","",IF(C3034="Sonntag","",Übersicht!$C$8)))</f>
        <v>Feiertag</v>
      </c>
    </row>
    <row r="3035" spans="1:4" x14ac:dyDescent="0.25">
      <c r="A3035" t="s">
        <v>71</v>
      </c>
      <c r="B3035" s="48">
        <v>45747</v>
      </c>
      <c r="C3035" t="s">
        <v>46</v>
      </c>
      <c r="D3035" t="str">
        <f>IF(COUNTIFS(Verweise!$A$2:$A$4542,Übersicht!$C$7,Verweise!$B$2:$B$4542,B3035)=1,"Feiertag",IF(C3035="Samstag","",IF(C3035="Sonntag","",Übersicht!$C$8)))</f>
        <v>Feiertag</v>
      </c>
    </row>
    <row r="3036" spans="1:4" x14ac:dyDescent="0.25">
      <c r="A3036" t="s">
        <v>71</v>
      </c>
      <c r="B3036" s="48">
        <v>45748</v>
      </c>
      <c r="C3036" t="s">
        <v>47</v>
      </c>
      <c r="D3036" t="str">
        <f>IF(COUNTIFS(Verweise!$A$2:$A$4542,Übersicht!$C$7,Verweise!$B$2:$B$4542,B3036)=1,"Feiertag",IF(C3036="Samstag","",IF(C3036="Sonntag","",Übersicht!$C$8)))</f>
        <v>Feiertag</v>
      </c>
    </row>
    <row r="3037" spans="1:4" x14ac:dyDescent="0.25">
      <c r="A3037" t="s">
        <v>71</v>
      </c>
      <c r="B3037" s="48">
        <v>45777</v>
      </c>
      <c r="C3037" t="s">
        <v>48</v>
      </c>
      <c r="D3037" t="str">
        <f>IF(COUNTIFS(Verweise!$A$2:$A$4542,Übersicht!$C$7,Verweise!$B$2:$B$4542,B3037)=1,"Feiertag",IF(C3037="Samstag","",IF(C3037="Sonntag","",Übersicht!$C$8)))</f>
        <v>Feiertag</v>
      </c>
    </row>
    <row r="3038" spans="1:4" x14ac:dyDescent="0.25">
      <c r="A3038" t="s">
        <v>71</v>
      </c>
      <c r="B3038" s="48">
        <v>45786</v>
      </c>
      <c r="C3038" t="s">
        <v>49</v>
      </c>
      <c r="D3038" t="str">
        <f>IF(COUNTIFS(Verweise!$A$2:$A$4542,Übersicht!$C$7,Verweise!$B$2:$B$4542,B3038)=1,"Feiertag",IF(C3038="Samstag","",IF(C3038="Sonntag","",Übersicht!$C$8)))</f>
        <v>Feiertag</v>
      </c>
    </row>
    <row r="3039" spans="1:4" x14ac:dyDescent="0.25">
      <c r="A3039" t="s">
        <v>71</v>
      </c>
      <c r="B3039" s="48">
        <v>45796</v>
      </c>
      <c r="C3039" t="s">
        <v>50</v>
      </c>
      <c r="D3039" t="str">
        <f>IF(COUNTIFS(Verweise!$A$2:$A$4542,Übersicht!$C$7,Verweise!$B$2:$B$4542,B3039)=1,"Feiertag",IF(C3039="Samstag","",IF(C3039="Sonntag","",Übersicht!$C$8)))</f>
        <v>Feiertag</v>
      </c>
    </row>
    <row r="3040" spans="1:4" x14ac:dyDescent="0.25">
      <c r="A3040" t="s">
        <v>71</v>
      </c>
      <c r="B3040" s="48">
        <v>45797</v>
      </c>
      <c r="C3040" t="s">
        <v>51</v>
      </c>
      <c r="D3040" t="str">
        <f>IF(COUNTIFS(Verweise!$A$2:$A$4542,Übersicht!$C$7,Verweise!$B$2:$B$4542,B3040)=1,"Feiertag",IF(C3040="Samstag","",IF(C3040="Sonntag","",Übersicht!$C$8)))</f>
        <v>Feiertag</v>
      </c>
    </row>
    <row r="3041" spans="1:4" x14ac:dyDescent="0.25">
      <c r="A3041" t="s">
        <v>71</v>
      </c>
      <c r="B3041" s="48">
        <v>45932</v>
      </c>
      <c r="C3041" t="s">
        <v>53</v>
      </c>
      <c r="D3041" t="str">
        <f>IF(COUNTIFS(Verweise!$A$2:$A$4542,Übersicht!$C$7,Verweise!$B$2:$B$4542,B3041)=1,"Feiertag",IF(C3041="Samstag","",IF(C3041="Sonntag","",Übersicht!$C$8)))</f>
        <v>Feiertag</v>
      </c>
    </row>
    <row r="3042" spans="1:4" x14ac:dyDescent="0.25">
      <c r="A3042" t="s">
        <v>71</v>
      </c>
      <c r="B3042" s="48">
        <v>45960</v>
      </c>
      <c r="C3042" t="s">
        <v>62</v>
      </c>
      <c r="D3042" t="str">
        <f>IF(COUNTIFS(Verweise!$A$2:$A$4542,Übersicht!$C$7,Verweise!$B$2:$B$4542,B3042)=1,"Feiertag",IF(C3042="Samstag","",IF(C3042="Sonntag","",Übersicht!$C$8)))</f>
        <v>Büro</v>
      </c>
    </row>
    <row r="3043" spans="1:4" x14ac:dyDescent="0.25">
      <c r="A3043" t="s">
        <v>71</v>
      </c>
      <c r="B3043" s="48">
        <v>45981</v>
      </c>
      <c r="C3043" t="s">
        <v>72</v>
      </c>
      <c r="D3043" t="str">
        <f>IF(COUNTIFS(Verweise!$A$2:$A$4542,Übersicht!$C$7,Verweise!$B$2:$B$4542,B3043)=1,"Feiertag",IF(C3043="Samstag","",IF(C3043="Sonntag","",Übersicht!$C$8)))</f>
        <v>Büro</v>
      </c>
    </row>
    <row r="3044" spans="1:4" x14ac:dyDescent="0.25">
      <c r="A3044" t="s">
        <v>71</v>
      </c>
      <c r="B3044" s="48">
        <v>46015</v>
      </c>
      <c r="C3044" t="s">
        <v>55</v>
      </c>
      <c r="D3044" t="str">
        <f>IF(COUNTIFS(Verweise!$A$2:$A$4542,Übersicht!$C$7,Verweise!$B$2:$B$4542,B3044)=1,"Feiertag",IF(C3044="Samstag","",IF(C3044="Sonntag","",Übersicht!$C$8)))</f>
        <v>Feiertag</v>
      </c>
    </row>
    <row r="3045" spans="1:4" x14ac:dyDescent="0.25">
      <c r="A3045" t="s">
        <v>71</v>
      </c>
      <c r="B3045" s="48">
        <v>46016</v>
      </c>
      <c r="C3045" t="s">
        <v>56</v>
      </c>
      <c r="D3045" t="str">
        <f>IF(COUNTIFS(Verweise!$A$2:$A$4542,Übersicht!$C$7,Verweise!$B$2:$B$4542,B3045)=1,"Feiertag",IF(C3045="Samstag","",IF(C3045="Sonntag","",Übersicht!$C$8)))</f>
        <v>Feiertag</v>
      </c>
    </row>
    <row r="3046" spans="1:4" x14ac:dyDescent="0.25">
      <c r="A3046" t="s">
        <v>73</v>
      </c>
      <c r="B3046" s="48">
        <v>45657</v>
      </c>
      <c r="C3046" t="s">
        <v>43</v>
      </c>
      <c r="D3046" t="str">
        <f>IF(COUNTIFS(Verweise!$A$2:$A$4542,Übersicht!$C$7,Verweise!$B$2:$B$4542,B3046)=1,"Feiertag",IF(C3046="Samstag","",IF(C3046="Sonntag","",Übersicht!$C$8)))</f>
        <v>Feiertag</v>
      </c>
    </row>
    <row r="3047" spans="1:4" x14ac:dyDescent="0.25">
      <c r="A3047" t="s">
        <v>73</v>
      </c>
      <c r="B3047" s="48">
        <v>45745</v>
      </c>
      <c r="C3047" t="s">
        <v>45</v>
      </c>
      <c r="D3047" t="str">
        <f>IF(COUNTIFS(Verweise!$A$2:$A$4542,Übersicht!$C$7,Verweise!$B$2:$B$4542,B3047)=1,"Feiertag",IF(C3047="Samstag","",IF(C3047="Sonntag","",Übersicht!$C$8)))</f>
        <v>Feiertag</v>
      </c>
    </row>
    <row r="3048" spans="1:4" x14ac:dyDescent="0.25">
      <c r="A3048" t="s">
        <v>73</v>
      </c>
      <c r="B3048" s="48">
        <v>45747</v>
      </c>
      <c r="C3048" t="s">
        <v>46</v>
      </c>
      <c r="D3048" t="str">
        <f>IF(COUNTIFS(Verweise!$A$2:$A$4542,Übersicht!$C$7,Verweise!$B$2:$B$4542,B3048)=1,"Feiertag",IF(C3048="Samstag","",IF(C3048="Sonntag","",Übersicht!$C$8)))</f>
        <v>Feiertag</v>
      </c>
    </row>
    <row r="3049" spans="1:4" x14ac:dyDescent="0.25">
      <c r="A3049" t="s">
        <v>73</v>
      </c>
      <c r="B3049" s="48">
        <v>45748</v>
      </c>
      <c r="C3049" t="s">
        <v>47</v>
      </c>
      <c r="D3049" t="str">
        <f>IF(COUNTIFS(Verweise!$A$2:$A$4542,Übersicht!$C$7,Verweise!$B$2:$B$4542,B3049)=1,"Feiertag",IF(C3049="Samstag","",IF(C3049="Sonntag","",Übersicht!$C$8)))</f>
        <v>Feiertag</v>
      </c>
    </row>
    <row r="3050" spans="1:4" x14ac:dyDescent="0.25">
      <c r="A3050" t="s">
        <v>73</v>
      </c>
      <c r="B3050" s="48">
        <v>45777</v>
      </c>
      <c r="C3050" t="s">
        <v>48</v>
      </c>
      <c r="D3050" t="str">
        <f>IF(COUNTIFS(Verweise!$A$2:$A$4542,Übersicht!$C$7,Verweise!$B$2:$B$4542,B3050)=1,"Feiertag",IF(C3050="Samstag","",IF(C3050="Sonntag","",Übersicht!$C$8)))</f>
        <v>Feiertag</v>
      </c>
    </row>
    <row r="3051" spans="1:4" x14ac:dyDescent="0.25">
      <c r="A3051" t="s">
        <v>73</v>
      </c>
      <c r="B3051" s="48">
        <v>45786</v>
      </c>
      <c r="C3051" t="s">
        <v>49</v>
      </c>
      <c r="D3051" t="str">
        <f>IF(COUNTIFS(Verweise!$A$2:$A$4542,Übersicht!$C$7,Verweise!$B$2:$B$4542,B3051)=1,"Feiertag",IF(C3051="Samstag","",IF(C3051="Sonntag","",Übersicht!$C$8)))</f>
        <v>Feiertag</v>
      </c>
    </row>
    <row r="3052" spans="1:4" x14ac:dyDescent="0.25">
      <c r="A3052" t="s">
        <v>73</v>
      </c>
      <c r="B3052" s="48">
        <v>45796</v>
      </c>
      <c r="C3052" t="s">
        <v>50</v>
      </c>
      <c r="D3052" t="str">
        <f>IF(COUNTIFS(Verweise!$A$2:$A$4542,Übersicht!$C$7,Verweise!$B$2:$B$4542,B3052)=1,"Feiertag",IF(C3052="Samstag","",IF(C3052="Sonntag","",Übersicht!$C$8)))</f>
        <v>Feiertag</v>
      </c>
    </row>
    <row r="3053" spans="1:4" x14ac:dyDescent="0.25">
      <c r="A3053" t="s">
        <v>73</v>
      </c>
      <c r="B3053" s="48">
        <v>45797</v>
      </c>
      <c r="C3053" t="s">
        <v>51</v>
      </c>
      <c r="D3053" t="str">
        <f>IF(COUNTIFS(Verweise!$A$2:$A$4542,Übersicht!$C$7,Verweise!$B$2:$B$4542,B3053)=1,"Feiertag",IF(C3053="Samstag","",IF(C3053="Sonntag","",Übersicht!$C$8)))</f>
        <v>Feiertag</v>
      </c>
    </row>
    <row r="3054" spans="1:4" x14ac:dyDescent="0.25">
      <c r="A3054" t="s">
        <v>73</v>
      </c>
      <c r="B3054" s="48">
        <v>45807</v>
      </c>
      <c r="C3054" t="s">
        <v>52</v>
      </c>
      <c r="D3054" t="str">
        <f>IF(COUNTIFS(Verweise!$A$2:$A$4542,Übersicht!$C$7,Verweise!$B$2:$B$4542,B3054)=1,"Feiertag",IF(C3054="Samstag","",IF(C3054="Sonntag","",Übersicht!$C$8)))</f>
        <v>Feiertag</v>
      </c>
    </row>
    <row r="3055" spans="1:4" x14ac:dyDescent="0.25">
      <c r="A3055" t="s">
        <v>73</v>
      </c>
      <c r="B3055" s="48">
        <v>45932</v>
      </c>
      <c r="C3055" t="s">
        <v>53</v>
      </c>
      <c r="D3055" t="str">
        <f>IF(COUNTIFS(Verweise!$A$2:$A$4542,Übersicht!$C$7,Verweise!$B$2:$B$4542,B3055)=1,"Feiertag",IF(C3055="Samstag","",IF(C3055="Sonntag","",Übersicht!$C$8)))</f>
        <v>Feiertag</v>
      </c>
    </row>
    <row r="3056" spans="1:4" x14ac:dyDescent="0.25">
      <c r="A3056" t="s">
        <v>73</v>
      </c>
      <c r="B3056" s="48">
        <v>45960</v>
      </c>
      <c r="C3056" t="s">
        <v>62</v>
      </c>
      <c r="D3056" t="str">
        <f>IF(COUNTIFS(Verweise!$A$2:$A$4542,Übersicht!$C$7,Verweise!$B$2:$B$4542,B3056)=1,"Feiertag",IF(C3056="Samstag","",IF(C3056="Sonntag","",Übersicht!$C$8)))</f>
        <v>Büro</v>
      </c>
    </row>
    <row r="3057" spans="1:4" x14ac:dyDescent="0.25">
      <c r="A3057" t="s">
        <v>73</v>
      </c>
      <c r="B3057" s="48">
        <v>45981</v>
      </c>
      <c r="C3057" t="s">
        <v>72</v>
      </c>
      <c r="D3057" t="str">
        <f>IF(COUNTIFS(Verweise!$A$2:$A$4542,Übersicht!$C$7,Verweise!$B$2:$B$4542,B3057)=1,"Feiertag",IF(C3057="Samstag","",IF(C3057="Sonntag","",Übersicht!$C$8)))</f>
        <v>Büro</v>
      </c>
    </row>
    <row r="3058" spans="1:4" x14ac:dyDescent="0.25">
      <c r="A3058" t="s">
        <v>73</v>
      </c>
      <c r="B3058" s="48">
        <v>46015</v>
      </c>
      <c r="C3058" t="s">
        <v>55</v>
      </c>
      <c r="D3058" t="str">
        <f>IF(COUNTIFS(Verweise!$A$2:$A$4542,Übersicht!$C$7,Verweise!$B$2:$B$4542,B3058)=1,"Feiertag",IF(C3058="Samstag","",IF(C3058="Sonntag","",Übersicht!$C$8)))</f>
        <v>Feiertag</v>
      </c>
    </row>
    <row r="3059" spans="1:4" x14ac:dyDescent="0.25">
      <c r="A3059" t="s">
        <v>73</v>
      </c>
      <c r="B3059" s="48">
        <v>46016</v>
      </c>
      <c r="C3059" t="s">
        <v>56</v>
      </c>
      <c r="D3059" t="str">
        <f>IF(COUNTIFS(Verweise!$A$2:$A$4542,Übersicht!$C$7,Verweise!$B$2:$B$4542,B3059)=1,"Feiertag",IF(C3059="Samstag","",IF(C3059="Sonntag","",Übersicht!$C$8)))</f>
        <v>Feiertag</v>
      </c>
    </row>
    <row r="3060" spans="1:4" x14ac:dyDescent="0.25">
      <c r="A3060" t="s">
        <v>74</v>
      </c>
      <c r="B3060" s="48">
        <v>45657</v>
      </c>
      <c r="C3060" t="s">
        <v>43</v>
      </c>
      <c r="D3060" t="str">
        <f>IF(COUNTIFS(Verweise!$A$2:$A$4542,Übersicht!$C$7,Verweise!$B$2:$B$4542,B3060)=1,"Feiertag",IF(C3060="Samstag","",IF(C3060="Sonntag","",Übersicht!$C$8)))</f>
        <v>Feiertag</v>
      </c>
    </row>
    <row r="3061" spans="1:4" x14ac:dyDescent="0.25">
      <c r="A3061" t="s">
        <v>74</v>
      </c>
      <c r="B3061" s="48">
        <v>45662</v>
      </c>
      <c r="C3061" t="s">
        <v>44</v>
      </c>
      <c r="D3061" t="str">
        <f>IF(COUNTIFS(Verweise!$A$2:$A$4542,Übersicht!$C$7,Verweise!$B$2:$B$4542,B3061)=1,"Feiertag",IF(C3061="Samstag","",IF(C3061="Sonntag","",Übersicht!$C$8)))</f>
        <v>Büro</v>
      </c>
    </row>
    <row r="3062" spans="1:4" x14ac:dyDescent="0.25">
      <c r="A3062" t="s">
        <v>74</v>
      </c>
      <c r="B3062" s="48">
        <v>45745</v>
      </c>
      <c r="C3062" t="s">
        <v>45</v>
      </c>
      <c r="D3062" t="str">
        <f>IF(COUNTIFS(Verweise!$A$2:$A$4542,Übersicht!$C$7,Verweise!$B$2:$B$4542,B3062)=1,"Feiertag",IF(C3062="Samstag","",IF(C3062="Sonntag","",Übersicht!$C$8)))</f>
        <v>Feiertag</v>
      </c>
    </row>
    <row r="3063" spans="1:4" x14ac:dyDescent="0.25">
      <c r="A3063" t="s">
        <v>74</v>
      </c>
      <c r="B3063" s="48">
        <v>45747</v>
      </c>
      <c r="C3063" t="s">
        <v>46</v>
      </c>
      <c r="D3063" t="str">
        <f>IF(COUNTIFS(Verweise!$A$2:$A$4542,Übersicht!$C$7,Verweise!$B$2:$B$4542,B3063)=1,"Feiertag",IF(C3063="Samstag","",IF(C3063="Sonntag","",Übersicht!$C$8)))</f>
        <v>Feiertag</v>
      </c>
    </row>
    <row r="3064" spans="1:4" x14ac:dyDescent="0.25">
      <c r="A3064" t="s">
        <v>74</v>
      </c>
      <c r="B3064" s="48">
        <v>45748</v>
      </c>
      <c r="C3064" t="s">
        <v>47</v>
      </c>
      <c r="D3064" t="str">
        <f>IF(COUNTIFS(Verweise!$A$2:$A$4542,Übersicht!$C$7,Verweise!$B$2:$B$4542,B3064)=1,"Feiertag",IF(C3064="Samstag","",IF(C3064="Sonntag","",Übersicht!$C$8)))</f>
        <v>Feiertag</v>
      </c>
    </row>
    <row r="3065" spans="1:4" x14ac:dyDescent="0.25">
      <c r="A3065" t="s">
        <v>74</v>
      </c>
      <c r="B3065" s="48">
        <v>45777</v>
      </c>
      <c r="C3065" t="s">
        <v>48</v>
      </c>
      <c r="D3065" t="str">
        <f>IF(COUNTIFS(Verweise!$A$2:$A$4542,Übersicht!$C$7,Verweise!$B$2:$B$4542,B3065)=1,"Feiertag",IF(C3065="Samstag","",IF(C3065="Sonntag","",Übersicht!$C$8)))</f>
        <v>Feiertag</v>
      </c>
    </row>
    <row r="3066" spans="1:4" x14ac:dyDescent="0.25">
      <c r="A3066" t="s">
        <v>74</v>
      </c>
      <c r="B3066" s="48">
        <v>45786</v>
      </c>
      <c r="C3066" t="s">
        <v>49</v>
      </c>
      <c r="D3066" t="str">
        <f>IF(COUNTIFS(Verweise!$A$2:$A$4542,Übersicht!$C$7,Verweise!$B$2:$B$4542,B3066)=1,"Feiertag",IF(C3066="Samstag","",IF(C3066="Sonntag","",Übersicht!$C$8)))</f>
        <v>Feiertag</v>
      </c>
    </row>
    <row r="3067" spans="1:4" x14ac:dyDescent="0.25">
      <c r="A3067" t="s">
        <v>74</v>
      </c>
      <c r="B3067" s="48">
        <v>45796</v>
      </c>
      <c r="C3067" t="s">
        <v>50</v>
      </c>
      <c r="D3067" t="str">
        <f>IF(COUNTIFS(Verweise!$A$2:$A$4542,Übersicht!$C$7,Verweise!$B$2:$B$4542,B3067)=1,"Feiertag",IF(C3067="Samstag","",IF(C3067="Sonntag","",Übersicht!$C$8)))</f>
        <v>Feiertag</v>
      </c>
    </row>
    <row r="3068" spans="1:4" x14ac:dyDescent="0.25">
      <c r="A3068" t="s">
        <v>74</v>
      </c>
      <c r="B3068" s="48">
        <v>45797</v>
      </c>
      <c r="C3068" t="s">
        <v>51</v>
      </c>
      <c r="D3068" t="str">
        <f>IF(COUNTIFS(Verweise!$A$2:$A$4542,Übersicht!$C$7,Verweise!$B$2:$B$4542,B3068)=1,"Feiertag",IF(C3068="Samstag","",IF(C3068="Sonntag","",Übersicht!$C$8)))</f>
        <v>Feiertag</v>
      </c>
    </row>
    <row r="3069" spans="1:4" x14ac:dyDescent="0.25">
      <c r="A3069" t="s">
        <v>74</v>
      </c>
      <c r="B3069" s="48">
        <v>45932</v>
      </c>
      <c r="C3069" t="s">
        <v>53</v>
      </c>
      <c r="D3069" t="str">
        <f>IF(COUNTIFS(Verweise!$A$2:$A$4542,Übersicht!$C$7,Verweise!$B$2:$B$4542,B3069)=1,"Feiertag",IF(C3069="Samstag","",IF(C3069="Sonntag","",Übersicht!$C$8)))</f>
        <v>Feiertag</v>
      </c>
    </row>
    <row r="3070" spans="1:4" x14ac:dyDescent="0.25">
      <c r="A3070" t="s">
        <v>74</v>
      </c>
      <c r="B3070" s="48">
        <v>45960</v>
      </c>
      <c r="C3070" t="s">
        <v>62</v>
      </c>
      <c r="D3070" t="str">
        <f>IF(COUNTIFS(Verweise!$A$2:$A$4542,Übersicht!$C$7,Verweise!$B$2:$B$4542,B3070)=1,"Feiertag",IF(C3070="Samstag","",IF(C3070="Sonntag","",Übersicht!$C$8)))</f>
        <v>Büro</v>
      </c>
    </row>
    <row r="3071" spans="1:4" x14ac:dyDescent="0.25">
      <c r="A3071" t="s">
        <v>74</v>
      </c>
      <c r="B3071" s="48">
        <v>46015</v>
      </c>
      <c r="C3071" t="s">
        <v>55</v>
      </c>
      <c r="D3071" t="str">
        <f>IF(COUNTIFS(Verweise!$A$2:$A$4542,Übersicht!$C$7,Verweise!$B$2:$B$4542,B3071)=1,"Feiertag",IF(C3071="Samstag","",IF(C3071="Sonntag","",Übersicht!$C$8)))</f>
        <v>Feiertag</v>
      </c>
    </row>
    <row r="3072" spans="1:4" x14ac:dyDescent="0.25">
      <c r="A3072" t="s">
        <v>74</v>
      </c>
      <c r="B3072" s="48">
        <v>46016</v>
      </c>
      <c r="C3072" t="s">
        <v>56</v>
      </c>
      <c r="D3072" t="str">
        <f>IF(COUNTIFS(Verweise!$A$2:$A$4542,Übersicht!$C$7,Verweise!$B$2:$B$4542,B3072)=1,"Feiertag",IF(C3072="Samstag","",IF(C3072="Sonntag","",Übersicht!$C$8)))</f>
        <v>Feiertag</v>
      </c>
    </row>
    <row r="3073" spans="1:4" x14ac:dyDescent="0.25">
      <c r="A3073" t="s">
        <v>75</v>
      </c>
      <c r="B3073" s="48">
        <v>45657</v>
      </c>
      <c r="C3073" t="s">
        <v>43</v>
      </c>
      <c r="D3073" t="str">
        <f>IF(COUNTIFS(Verweise!$A$2:$A$4542,Übersicht!$C$7,Verweise!$B$2:$B$4542,B3073)=1,"Feiertag",IF(C3073="Samstag","",IF(C3073="Sonntag","",Übersicht!$C$8)))</f>
        <v>Feiertag</v>
      </c>
    </row>
    <row r="3074" spans="1:4" x14ac:dyDescent="0.25">
      <c r="A3074" t="s">
        <v>75</v>
      </c>
      <c r="B3074" s="48">
        <v>45745</v>
      </c>
      <c r="C3074" t="s">
        <v>45</v>
      </c>
      <c r="D3074" t="str">
        <f>IF(COUNTIFS(Verweise!$A$2:$A$4542,Übersicht!$C$7,Verweise!$B$2:$B$4542,B3074)=1,"Feiertag",IF(C3074="Samstag","",IF(C3074="Sonntag","",Übersicht!$C$8)))</f>
        <v>Feiertag</v>
      </c>
    </row>
    <row r="3075" spans="1:4" x14ac:dyDescent="0.25">
      <c r="A3075" t="s">
        <v>75</v>
      </c>
      <c r="B3075" s="48">
        <v>45747</v>
      </c>
      <c r="C3075" t="s">
        <v>46</v>
      </c>
      <c r="D3075" t="str">
        <f>IF(COUNTIFS(Verweise!$A$2:$A$4542,Übersicht!$C$7,Verweise!$B$2:$B$4542,B3075)=1,"Feiertag",IF(C3075="Samstag","",IF(C3075="Sonntag","",Übersicht!$C$8)))</f>
        <v>Feiertag</v>
      </c>
    </row>
    <row r="3076" spans="1:4" x14ac:dyDescent="0.25">
      <c r="A3076" t="s">
        <v>75</v>
      </c>
      <c r="B3076" s="48">
        <v>45748</v>
      </c>
      <c r="C3076" t="s">
        <v>47</v>
      </c>
      <c r="D3076" t="str">
        <f>IF(COUNTIFS(Verweise!$A$2:$A$4542,Übersicht!$C$7,Verweise!$B$2:$B$4542,B3076)=1,"Feiertag",IF(C3076="Samstag","",IF(C3076="Sonntag","",Übersicht!$C$8)))</f>
        <v>Feiertag</v>
      </c>
    </row>
    <row r="3077" spans="1:4" x14ac:dyDescent="0.25">
      <c r="A3077" t="s">
        <v>75</v>
      </c>
      <c r="B3077" s="48">
        <v>45777</v>
      </c>
      <c r="C3077" t="s">
        <v>48</v>
      </c>
      <c r="D3077" t="str">
        <f>IF(COUNTIFS(Verweise!$A$2:$A$4542,Übersicht!$C$7,Verweise!$B$2:$B$4542,B3077)=1,"Feiertag",IF(C3077="Samstag","",IF(C3077="Sonntag","",Übersicht!$C$8)))</f>
        <v>Feiertag</v>
      </c>
    </row>
    <row r="3078" spans="1:4" x14ac:dyDescent="0.25">
      <c r="A3078" t="s">
        <v>75</v>
      </c>
      <c r="B3078" s="48">
        <v>45786</v>
      </c>
      <c r="C3078" t="s">
        <v>49</v>
      </c>
      <c r="D3078" t="str">
        <f>IF(COUNTIFS(Verweise!$A$2:$A$4542,Übersicht!$C$7,Verweise!$B$2:$B$4542,B3078)=1,"Feiertag",IF(C3078="Samstag","",IF(C3078="Sonntag","",Übersicht!$C$8)))</f>
        <v>Feiertag</v>
      </c>
    </row>
    <row r="3079" spans="1:4" x14ac:dyDescent="0.25">
      <c r="A3079" t="s">
        <v>75</v>
      </c>
      <c r="B3079" s="48">
        <v>45796</v>
      </c>
      <c r="C3079" t="s">
        <v>50</v>
      </c>
      <c r="D3079" t="str">
        <f>IF(COUNTIFS(Verweise!$A$2:$A$4542,Übersicht!$C$7,Verweise!$B$2:$B$4542,B3079)=1,"Feiertag",IF(C3079="Samstag","",IF(C3079="Sonntag","",Übersicht!$C$8)))</f>
        <v>Feiertag</v>
      </c>
    </row>
    <row r="3080" spans="1:4" x14ac:dyDescent="0.25">
      <c r="A3080" t="s">
        <v>75</v>
      </c>
      <c r="B3080" s="48">
        <v>45797</v>
      </c>
      <c r="C3080" t="s">
        <v>51</v>
      </c>
      <c r="D3080" t="str">
        <f>IF(COUNTIFS(Verweise!$A$2:$A$4542,Übersicht!$C$7,Verweise!$B$2:$B$4542,B3080)=1,"Feiertag",IF(C3080="Samstag","",IF(C3080="Sonntag","",Übersicht!$C$8)))</f>
        <v>Feiertag</v>
      </c>
    </row>
    <row r="3081" spans="1:4" x14ac:dyDescent="0.25">
      <c r="A3081" t="s">
        <v>75</v>
      </c>
      <c r="B3081" s="48">
        <v>45932</v>
      </c>
      <c r="C3081" t="s">
        <v>53</v>
      </c>
      <c r="D3081" t="str">
        <f>IF(COUNTIFS(Verweise!$A$2:$A$4542,Übersicht!$C$7,Verweise!$B$2:$B$4542,B3081)=1,"Feiertag",IF(C3081="Samstag","",IF(C3081="Sonntag","",Übersicht!$C$8)))</f>
        <v>Feiertag</v>
      </c>
    </row>
    <row r="3082" spans="1:4" x14ac:dyDescent="0.25">
      <c r="A3082" t="s">
        <v>75</v>
      </c>
      <c r="B3082" s="48">
        <v>46015</v>
      </c>
      <c r="C3082" t="s">
        <v>55</v>
      </c>
      <c r="D3082" t="str">
        <f>IF(COUNTIFS(Verweise!$A$2:$A$4542,Übersicht!$C$7,Verweise!$B$2:$B$4542,B3082)=1,"Feiertag",IF(C3082="Samstag","",IF(C3082="Sonntag","",Übersicht!$C$8)))</f>
        <v>Feiertag</v>
      </c>
    </row>
    <row r="3083" spans="1:4" x14ac:dyDescent="0.25">
      <c r="A3083" t="s">
        <v>75</v>
      </c>
      <c r="B3083" s="48">
        <v>46016</v>
      </c>
      <c r="C3083" t="s">
        <v>56</v>
      </c>
      <c r="D3083" t="str">
        <f>IF(COUNTIFS(Verweise!$A$2:$A$4542,Übersicht!$C$7,Verweise!$B$2:$B$4542,B3083)=1,"Feiertag",IF(C3083="Samstag","",IF(C3083="Sonntag","",Übersicht!$C$8)))</f>
        <v>Feiertag</v>
      </c>
    </row>
    <row r="3084" spans="1:4" x14ac:dyDescent="0.25">
      <c r="A3084" t="s">
        <v>76</v>
      </c>
      <c r="B3084" s="48">
        <v>45657</v>
      </c>
      <c r="C3084" t="s">
        <v>43</v>
      </c>
      <c r="D3084" t="str">
        <f>IF(COUNTIFS(Verweise!$A$2:$A$4542,Übersicht!$C$7,Verweise!$B$2:$B$4542,B3084)=1,"Feiertag",IF(C3084="Samstag","",IF(C3084="Sonntag","",Übersicht!$C$8)))</f>
        <v>Feiertag</v>
      </c>
    </row>
    <row r="3085" spans="1:4" x14ac:dyDescent="0.25">
      <c r="A3085" t="s">
        <v>76</v>
      </c>
      <c r="B3085" s="48">
        <v>45745</v>
      </c>
      <c r="C3085" t="s">
        <v>45</v>
      </c>
      <c r="D3085" t="str">
        <f>IF(COUNTIFS(Verweise!$A$2:$A$4542,Übersicht!$C$7,Verweise!$B$2:$B$4542,B3085)=1,"Feiertag",IF(C3085="Samstag","",IF(C3085="Sonntag","",Übersicht!$C$8)))</f>
        <v>Feiertag</v>
      </c>
    </row>
    <row r="3086" spans="1:4" x14ac:dyDescent="0.25">
      <c r="A3086" t="s">
        <v>76</v>
      </c>
      <c r="B3086" s="48">
        <v>45747</v>
      </c>
      <c r="C3086" t="s">
        <v>46</v>
      </c>
      <c r="D3086" t="str">
        <f>IF(COUNTIFS(Verweise!$A$2:$A$4542,Übersicht!$C$7,Verweise!$B$2:$B$4542,B3086)=1,"Feiertag",IF(C3086="Samstag","",IF(C3086="Sonntag","",Übersicht!$C$8)))</f>
        <v>Feiertag</v>
      </c>
    </row>
    <row r="3087" spans="1:4" x14ac:dyDescent="0.25">
      <c r="A3087" t="s">
        <v>76</v>
      </c>
      <c r="B3087" s="48">
        <v>45748</v>
      </c>
      <c r="C3087" t="s">
        <v>47</v>
      </c>
      <c r="D3087" t="str">
        <f>IF(COUNTIFS(Verweise!$A$2:$A$4542,Übersicht!$C$7,Verweise!$B$2:$B$4542,B3087)=1,"Feiertag",IF(C3087="Samstag","",IF(C3087="Sonntag","",Übersicht!$C$8)))</f>
        <v>Feiertag</v>
      </c>
    </row>
    <row r="3088" spans="1:4" x14ac:dyDescent="0.25">
      <c r="A3088" t="s">
        <v>76</v>
      </c>
      <c r="B3088" s="48">
        <v>45777</v>
      </c>
      <c r="C3088" t="s">
        <v>48</v>
      </c>
      <c r="D3088" t="str">
        <f>IF(COUNTIFS(Verweise!$A$2:$A$4542,Übersicht!$C$7,Verweise!$B$2:$B$4542,B3088)=1,"Feiertag",IF(C3088="Samstag","",IF(C3088="Sonntag","",Übersicht!$C$8)))</f>
        <v>Feiertag</v>
      </c>
    </row>
    <row r="3089" spans="1:4" x14ac:dyDescent="0.25">
      <c r="A3089" t="s">
        <v>76</v>
      </c>
      <c r="B3089" s="48">
        <v>45786</v>
      </c>
      <c r="C3089" t="s">
        <v>49</v>
      </c>
      <c r="D3089" t="str">
        <f>IF(COUNTIFS(Verweise!$A$2:$A$4542,Übersicht!$C$7,Verweise!$B$2:$B$4542,B3089)=1,"Feiertag",IF(C3089="Samstag","",IF(C3089="Sonntag","",Übersicht!$C$8)))</f>
        <v>Feiertag</v>
      </c>
    </row>
    <row r="3090" spans="1:4" x14ac:dyDescent="0.25">
      <c r="A3090" t="s">
        <v>76</v>
      </c>
      <c r="B3090" s="48">
        <v>45796</v>
      </c>
      <c r="C3090" t="s">
        <v>50</v>
      </c>
      <c r="D3090" t="str">
        <f>IF(COUNTIFS(Verweise!$A$2:$A$4542,Übersicht!$C$7,Verweise!$B$2:$B$4542,B3090)=1,"Feiertag",IF(C3090="Samstag","",IF(C3090="Sonntag","",Übersicht!$C$8)))</f>
        <v>Feiertag</v>
      </c>
    </row>
    <row r="3091" spans="1:4" x14ac:dyDescent="0.25">
      <c r="A3091" t="s">
        <v>76</v>
      </c>
      <c r="B3091" s="48">
        <v>45797</v>
      </c>
      <c r="C3091" t="s">
        <v>51</v>
      </c>
      <c r="D3091" t="str">
        <f>IF(COUNTIFS(Verweise!$A$2:$A$4542,Übersicht!$C$7,Verweise!$B$2:$B$4542,B3091)=1,"Feiertag",IF(C3091="Samstag","",IF(C3091="Sonntag","",Übersicht!$C$8)))</f>
        <v>Feiertag</v>
      </c>
    </row>
    <row r="3092" spans="1:4" x14ac:dyDescent="0.25">
      <c r="A3092" t="s">
        <v>76</v>
      </c>
      <c r="B3092" s="48">
        <v>45932</v>
      </c>
      <c r="C3092" t="s">
        <v>53</v>
      </c>
      <c r="D3092" t="str">
        <f>IF(COUNTIFS(Verweise!$A$2:$A$4542,Übersicht!$C$7,Verweise!$B$2:$B$4542,B3092)=1,"Feiertag",IF(C3092="Samstag","",IF(C3092="Sonntag","",Übersicht!$C$8)))</f>
        <v>Feiertag</v>
      </c>
    </row>
    <row r="3093" spans="1:4" x14ac:dyDescent="0.25">
      <c r="A3093" t="s">
        <v>76</v>
      </c>
      <c r="B3093" s="48">
        <v>45960</v>
      </c>
      <c r="C3093" t="s">
        <v>62</v>
      </c>
      <c r="D3093" t="str">
        <f>IF(COUNTIFS(Verweise!$A$2:$A$4542,Übersicht!$C$7,Verweise!$B$2:$B$4542,B3093)=1,"Feiertag",IF(C3093="Samstag","",IF(C3093="Sonntag","",Übersicht!$C$8)))</f>
        <v>Büro</v>
      </c>
    </row>
    <row r="3094" spans="1:4" x14ac:dyDescent="0.25">
      <c r="A3094" t="s">
        <v>76</v>
      </c>
      <c r="B3094" s="48">
        <v>46015</v>
      </c>
      <c r="C3094" t="s">
        <v>55</v>
      </c>
      <c r="D3094" t="str">
        <f>IF(COUNTIFS(Verweise!$A$2:$A$4542,Übersicht!$C$7,Verweise!$B$2:$B$4542,B3094)=1,"Feiertag",IF(C3094="Samstag","",IF(C3094="Sonntag","",Übersicht!$C$8)))</f>
        <v>Feiertag</v>
      </c>
    </row>
    <row r="3095" spans="1:4" x14ac:dyDescent="0.25">
      <c r="A3095" t="s">
        <v>76</v>
      </c>
      <c r="B3095" s="48">
        <v>46016</v>
      </c>
      <c r="C3095" t="s">
        <v>56</v>
      </c>
      <c r="D3095" t="str">
        <f>IF(COUNTIFS(Verweise!$A$2:$A$4542,Übersicht!$C$7,Verweise!$B$2:$B$4542,B3095)=1,"Feiertag",IF(C3095="Samstag","",IF(C3095="Sonntag","",Übersicht!$C$8)))</f>
        <v>Feiertag</v>
      </c>
    </row>
    <row r="3096" spans="1:4" x14ac:dyDescent="0.25">
      <c r="A3096" t="s">
        <v>77</v>
      </c>
      <c r="B3096" s="48">
        <v>45657</v>
      </c>
      <c r="C3096" t="s">
        <v>43</v>
      </c>
      <c r="D3096" t="str">
        <f>IF(COUNTIFS(Verweise!$A$2:$A$4542,Übersicht!$C$7,Verweise!$B$2:$B$4542,B3096)=1,"Feiertag",IF(C3096="Samstag","",IF(C3096="Sonntag","",Übersicht!$C$8)))</f>
        <v>Feiertag</v>
      </c>
    </row>
    <row r="3097" spans="1:4" x14ac:dyDescent="0.25">
      <c r="A3097" t="s">
        <v>77</v>
      </c>
      <c r="B3097" s="48">
        <v>45745</v>
      </c>
      <c r="C3097" t="s">
        <v>45</v>
      </c>
      <c r="D3097" t="str">
        <f>IF(COUNTIFS(Verweise!$A$2:$A$4542,Übersicht!$C$7,Verweise!$B$2:$B$4542,B3097)=1,"Feiertag",IF(C3097="Samstag","",IF(C3097="Sonntag","",Übersicht!$C$8)))</f>
        <v>Feiertag</v>
      </c>
    </row>
    <row r="3098" spans="1:4" x14ac:dyDescent="0.25">
      <c r="A3098" t="s">
        <v>77</v>
      </c>
      <c r="B3098" s="48">
        <v>45747</v>
      </c>
      <c r="C3098" t="s">
        <v>46</v>
      </c>
      <c r="D3098" t="str">
        <f>IF(COUNTIFS(Verweise!$A$2:$A$4542,Übersicht!$C$7,Verweise!$B$2:$B$4542,B3098)=1,"Feiertag",IF(C3098="Samstag","",IF(C3098="Sonntag","",Übersicht!$C$8)))</f>
        <v>Feiertag</v>
      </c>
    </row>
    <row r="3099" spans="1:4" x14ac:dyDescent="0.25">
      <c r="A3099" t="s">
        <v>77</v>
      </c>
      <c r="B3099" s="48">
        <v>45748</v>
      </c>
      <c r="C3099" t="s">
        <v>47</v>
      </c>
      <c r="D3099" t="str">
        <f>IF(COUNTIFS(Verweise!$A$2:$A$4542,Übersicht!$C$7,Verweise!$B$2:$B$4542,B3099)=1,"Feiertag",IF(C3099="Samstag","",IF(C3099="Sonntag","",Übersicht!$C$8)))</f>
        <v>Feiertag</v>
      </c>
    </row>
    <row r="3100" spans="1:4" x14ac:dyDescent="0.25">
      <c r="A3100" t="s">
        <v>77</v>
      </c>
      <c r="B3100" s="48">
        <v>45777</v>
      </c>
      <c r="C3100" t="s">
        <v>48</v>
      </c>
      <c r="D3100" t="str">
        <f>IF(COUNTIFS(Verweise!$A$2:$A$4542,Übersicht!$C$7,Verweise!$B$2:$B$4542,B3100)=1,"Feiertag",IF(C3100="Samstag","",IF(C3100="Sonntag","",Übersicht!$C$8)))</f>
        <v>Feiertag</v>
      </c>
    </row>
    <row r="3101" spans="1:4" x14ac:dyDescent="0.25">
      <c r="A3101" t="s">
        <v>77</v>
      </c>
      <c r="B3101" s="48">
        <v>45786</v>
      </c>
      <c r="C3101" t="s">
        <v>49</v>
      </c>
      <c r="D3101" t="str">
        <f>IF(COUNTIFS(Verweise!$A$2:$A$4542,Übersicht!$C$7,Verweise!$B$2:$B$4542,B3101)=1,"Feiertag",IF(C3101="Samstag","",IF(C3101="Sonntag","",Übersicht!$C$8)))</f>
        <v>Feiertag</v>
      </c>
    </row>
    <row r="3102" spans="1:4" x14ac:dyDescent="0.25">
      <c r="A3102" t="s">
        <v>77</v>
      </c>
      <c r="B3102" s="48">
        <v>45796</v>
      </c>
      <c r="C3102" t="s">
        <v>50</v>
      </c>
      <c r="D3102" t="str">
        <f>IF(COUNTIFS(Verweise!$A$2:$A$4542,Übersicht!$C$7,Verweise!$B$2:$B$4542,B3102)=1,"Feiertag",IF(C3102="Samstag","",IF(C3102="Sonntag","",Übersicht!$C$8)))</f>
        <v>Feiertag</v>
      </c>
    </row>
    <row r="3103" spans="1:4" x14ac:dyDescent="0.25">
      <c r="A3103" t="s">
        <v>77</v>
      </c>
      <c r="B3103" s="48">
        <v>45797</v>
      </c>
      <c r="C3103" t="s">
        <v>51</v>
      </c>
      <c r="D3103" t="str">
        <f>IF(COUNTIFS(Verweise!$A$2:$A$4542,Übersicht!$C$7,Verweise!$B$2:$B$4542,B3103)=1,"Feiertag",IF(C3103="Samstag","",IF(C3103="Sonntag","",Übersicht!$C$8)))</f>
        <v>Feiertag</v>
      </c>
    </row>
    <row r="3104" spans="1:4" x14ac:dyDescent="0.25">
      <c r="A3104" t="s">
        <v>77</v>
      </c>
      <c r="B3104" s="48">
        <v>45807</v>
      </c>
      <c r="C3104" t="s">
        <v>52</v>
      </c>
      <c r="D3104" t="str">
        <f>IF(COUNTIFS(Verweise!$A$2:$A$4542,Übersicht!$C$7,Verweise!$B$2:$B$4542,B3104)=1,"Feiertag",IF(C3104="Samstag","",IF(C3104="Sonntag","",Übersicht!$C$8)))</f>
        <v>Feiertag</v>
      </c>
    </row>
    <row r="3105" spans="1:4" x14ac:dyDescent="0.25">
      <c r="A3105" t="s">
        <v>77</v>
      </c>
      <c r="B3105" s="48">
        <v>45932</v>
      </c>
      <c r="C3105" t="s">
        <v>53</v>
      </c>
      <c r="D3105" t="str">
        <f>IF(COUNTIFS(Verweise!$A$2:$A$4542,Übersicht!$C$7,Verweise!$B$2:$B$4542,B3105)=1,"Feiertag",IF(C3105="Samstag","",IF(C3105="Sonntag","",Übersicht!$C$8)))</f>
        <v>Feiertag</v>
      </c>
    </row>
    <row r="3106" spans="1:4" x14ac:dyDescent="0.25">
      <c r="A3106" t="s">
        <v>77</v>
      </c>
      <c r="B3106" s="48">
        <v>45960</v>
      </c>
      <c r="C3106" t="s">
        <v>62</v>
      </c>
      <c r="D3106" t="str">
        <f>IF(COUNTIFS(Verweise!$A$2:$A$4542,Übersicht!$C$7,Verweise!$B$2:$B$4542,B3106)=1,"Feiertag",IF(C3106="Samstag","",IF(C3106="Sonntag","",Übersicht!$C$8)))</f>
        <v>Büro</v>
      </c>
    </row>
    <row r="3107" spans="1:4" x14ac:dyDescent="0.25">
      <c r="A3107" t="s">
        <v>77</v>
      </c>
      <c r="B3107" s="48">
        <v>46015</v>
      </c>
      <c r="C3107" t="s">
        <v>55</v>
      </c>
      <c r="D3107" t="str">
        <f>IF(COUNTIFS(Verweise!$A$2:$A$4542,Übersicht!$C$7,Verweise!$B$2:$B$4542,B3107)=1,"Feiertag",IF(C3107="Samstag","",IF(C3107="Sonntag","",Übersicht!$C$8)))</f>
        <v>Feiertag</v>
      </c>
    </row>
    <row r="3108" spans="1:4" x14ac:dyDescent="0.25">
      <c r="A3108" t="s">
        <v>77</v>
      </c>
      <c r="B3108" s="48">
        <v>46016</v>
      </c>
      <c r="C3108" t="s">
        <v>56</v>
      </c>
      <c r="D3108" t="str">
        <f>IF(COUNTIFS(Verweise!$A$2:$A$4542,Übersicht!$C$7,Verweise!$B$2:$B$4542,B3108)=1,"Feiertag",IF(C3108="Samstag","",IF(C3108="Sonntag","",Übersicht!$C$8)))</f>
        <v>Feiertag</v>
      </c>
    </row>
    <row r="3109" spans="1:4" x14ac:dyDescent="0.25">
      <c r="A3109" t="s">
        <v>42</v>
      </c>
      <c r="B3109" s="48">
        <v>46022</v>
      </c>
      <c r="C3109" t="s">
        <v>43</v>
      </c>
      <c r="D3109" t="str">
        <f>IF(COUNTIFS(Verweise!$A$2:$A$4542,Übersicht!$C$7,Verweise!$B$2:$B$4542,B3109)=1,"Feiertag",IF(C3109="Samstag","",IF(C3109="Sonntag","",Übersicht!$C$8)))</f>
        <v>Feiertag</v>
      </c>
    </row>
    <row r="3110" spans="1:4" x14ac:dyDescent="0.25">
      <c r="A3110" t="s">
        <v>42</v>
      </c>
      <c r="B3110" s="48">
        <v>46027</v>
      </c>
      <c r="C3110" t="s">
        <v>44</v>
      </c>
      <c r="D3110" t="str">
        <f>IF(COUNTIFS(Verweise!$A$2:$A$4542,Übersicht!$C$7,Verweise!$B$2:$B$4542,B3110)=1,"Feiertag",IF(C3110="Samstag","",IF(C3110="Sonntag","",Übersicht!$C$8)))</f>
        <v>Büro</v>
      </c>
    </row>
    <row r="3111" spans="1:4" x14ac:dyDescent="0.25">
      <c r="A3111" t="s">
        <v>42</v>
      </c>
      <c r="B3111" s="48">
        <v>46130</v>
      </c>
      <c r="C3111" t="s">
        <v>45</v>
      </c>
      <c r="D3111" t="str">
        <f>IF(COUNTIFS(Verweise!$A$2:$A$4542,Übersicht!$C$7,Verweise!$B$2:$B$4542,B3111)=1,"Feiertag",IF(C3111="Samstag","",IF(C3111="Sonntag","",Übersicht!$C$8)))</f>
        <v>Feiertag</v>
      </c>
    </row>
    <row r="3112" spans="1:4" x14ac:dyDescent="0.25">
      <c r="A3112" t="s">
        <v>42</v>
      </c>
      <c r="B3112" s="48">
        <v>46132</v>
      </c>
      <c r="C3112" t="s">
        <v>46</v>
      </c>
      <c r="D3112" t="str">
        <f>IF(COUNTIFS(Verweise!$A$2:$A$4542,Übersicht!$C$7,Verweise!$B$2:$B$4542,B3112)=1,"Feiertag",IF(C3112="Samstag","",IF(C3112="Sonntag","",Übersicht!$C$8)))</f>
        <v>Feiertag</v>
      </c>
    </row>
    <row r="3113" spans="1:4" x14ac:dyDescent="0.25">
      <c r="A3113" t="s">
        <v>42</v>
      </c>
      <c r="B3113" s="48">
        <v>46133</v>
      </c>
      <c r="C3113" t="s">
        <v>47</v>
      </c>
      <c r="D3113" t="str">
        <f>IF(COUNTIFS(Verweise!$A$2:$A$4542,Übersicht!$C$7,Verweise!$B$2:$B$4542,B3113)=1,"Feiertag",IF(C3113="Samstag","",IF(C3113="Sonntag","",Übersicht!$C$8)))</f>
        <v>Feiertag</v>
      </c>
    </row>
    <row r="3114" spans="1:4" x14ac:dyDescent="0.25">
      <c r="A3114" t="s">
        <v>42</v>
      </c>
      <c r="B3114" s="48">
        <v>46142</v>
      </c>
      <c r="C3114" t="s">
        <v>48</v>
      </c>
      <c r="D3114" t="str">
        <f>IF(COUNTIFS(Verweise!$A$2:$A$4542,Übersicht!$C$7,Verweise!$B$2:$B$4542,B3114)=1,"Feiertag",IF(C3114="Samstag","",IF(C3114="Sonntag","",Übersicht!$C$8)))</f>
        <v>Feiertag</v>
      </c>
    </row>
    <row r="3115" spans="1:4" x14ac:dyDescent="0.25">
      <c r="A3115" t="s">
        <v>42</v>
      </c>
      <c r="B3115" s="48">
        <v>46171</v>
      </c>
      <c r="C3115" t="s">
        <v>49</v>
      </c>
      <c r="D3115" t="str">
        <f>IF(COUNTIFS(Verweise!$A$2:$A$4542,Übersicht!$C$7,Verweise!$B$2:$B$4542,B3115)=1,"Feiertag",IF(C3115="Samstag","",IF(C3115="Sonntag","",Übersicht!$C$8)))</f>
        <v>Feiertag</v>
      </c>
    </row>
    <row r="3116" spans="1:4" x14ac:dyDescent="0.25">
      <c r="A3116" t="s">
        <v>42</v>
      </c>
      <c r="B3116" s="48">
        <v>46181</v>
      </c>
      <c r="C3116" t="s">
        <v>50</v>
      </c>
      <c r="D3116" t="str">
        <f>IF(COUNTIFS(Verweise!$A$2:$A$4542,Übersicht!$C$7,Verweise!$B$2:$B$4542,B3116)=1,"Feiertag",IF(C3116="Samstag","",IF(C3116="Sonntag","",Übersicht!$C$8)))</f>
        <v>Feiertag</v>
      </c>
    </row>
    <row r="3117" spans="1:4" x14ac:dyDescent="0.25">
      <c r="A3117" t="s">
        <v>42</v>
      </c>
      <c r="B3117" s="48">
        <v>46182</v>
      </c>
      <c r="C3117" t="s">
        <v>51</v>
      </c>
      <c r="D3117" t="str">
        <f>IF(COUNTIFS(Verweise!$A$2:$A$4542,Übersicht!$C$7,Verweise!$B$2:$B$4542,B3117)=1,"Feiertag",IF(C3117="Samstag","",IF(C3117="Sonntag","",Übersicht!$C$8)))</f>
        <v>Feiertag</v>
      </c>
    </row>
    <row r="3118" spans="1:4" x14ac:dyDescent="0.25">
      <c r="A3118" t="s">
        <v>42</v>
      </c>
      <c r="B3118" s="48">
        <v>46192</v>
      </c>
      <c r="C3118" t="s">
        <v>52</v>
      </c>
      <c r="D3118" t="str">
        <f>IF(COUNTIFS(Verweise!$A$2:$A$4542,Übersicht!$C$7,Verweise!$B$2:$B$4542,B3118)=1,"Feiertag",IF(C3118="Samstag","",IF(C3118="Sonntag","",Übersicht!$C$8)))</f>
        <v>Feiertag</v>
      </c>
    </row>
    <row r="3119" spans="1:4" x14ac:dyDescent="0.25">
      <c r="A3119" t="s">
        <v>42</v>
      </c>
      <c r="B3119" s="48">
        <v>46297</v>
      </c>
      <c r="C3119" t="s">
        <v>53</v>
      </c>
      <c r="D3119" t="str">
        <f>IF(COUNTIFS(Verweise!$A$2:$A$4542,Übersicht!$C$7,Verweise!$B$2:$B$4542,B3119)=1,"Feiertag",IF(C3119="Samstag","",IF(C3119="Sonntag","",Übersicht!$C$8)))</f>
        <v>Feiertag</v>
      </c>
    </row>
    <row r="3120" spans="1:4" x14ac:dyDescent="0.25">
      <c r="A3120" t="s">
        <v>42</v>
      </c>
      <c r="B3120" s="48">
        <v>46326</v>
      </c>
      <c r="C3120" t="s">
        <v>54</v>
      </c>
      <c r="D3120" t="str">
        <f>IF(COUNTIFS(Verweise!$A$2:$A$4542,Übersicht!$C$7,Verweise!$B$2:$B$4542,B3120)=1,"Feiertag",IF(C3120="Samstag","",IF(C3120="Sonntag","",Übersicht!$C$8)))</f>
        <v>Feiertag</v>
      </c>
    </row>
    <row r="3121" spans="1:4" x14ac:dyDescent="0.25">
      <c r="A3121" t="s">
        <v>42</v>
      </c>
      <c r="B3121" s="48">
        <v>46380</v>
      </c>
      <c r="C3121" t="s">
        <v>55</v>
      </c>
      <c r="D3121" t="str">
        <f>IF(COUNTIFS(Verweise!$A$2:$A$4542,Übersicht!$C$7,Verweise!$B$2:$B$4542,B3121)=1,"Feiertag",IF(C3121="Samstag","",IF(C3121="Sonntag","",Übersicht!$C$8)))</f>
        <v>Feiertag</v>
      </c>
    </row>
    <row r="3122" spans="1:4" x14ac:dyDescent="0.25">
      <c r="A3122" t="s">
        <v>42</v>
      </c>
      <c r="B3122" s="48">
        <v>46381</v>
      </c>
      <c r="C3122" t="s">
        <v>56</v>
      </c>
      <c r="D3122" t="str">
        <f>IF(COUNTIFS(Verweise!$A$2:$A$4542,Übersicht!$C$7,Verweise!$B$2:$B$4542,B3122)=1,"Feiertag",IF(C3122="Samstag","",IF(C3122="Sonntag","",Übersicht!$C$8)))</f>
        <v>Feiertag</v>
      </c>
    </row>
    <row r="3123" spans="1:4" x14ac:dyDescent="0.25">
      <c r="A3123" t="s">
        <v>57</v>
      </c>
      <c r="B3123" s="48">
        <v>46022</v>
      </c>
      <c r="C3123" t="s">
        <v>43</v>
      </c>
      <c r="D3123" t="str">
        <f>IF(COUNTIFS(Verweise!$A$2:$A$4542,Übersicht!$C$7,Verweise!$B$2:$B$4542,B3123)=1,"Feiertag",IF(C3123="Samstag","",IF(C3123="Sonntag","",Übersicht!$C$8)))</f>
        <v>Feiertag</v>
      </c>
    </row>
    <row r="3124" spans="1:4" x14ac:dyDescent="0.25">
      <c r="A3124" t="s">
        <v>57</v>
      </c>
      <c r="B3124" s="48">
        <v>46027</v>
      </c>
      <c r="C3124" t="s">
        <v>44</v>
      </c>
      <c r="D3124" t="str">
        <f>IF(COUNTIFS(Verweise!$A$2:$A$4542,Übersicht!$C$7,Verweise!$B$2:$B$4542,B3124)=1,"Feiertag",IF(C3124="Samstag","",IF(C3124="Sonntag","",Übersicht!$C$8)))</f>
        <v>Büro</v>
      </c>
    </row>
    <row r="3125" spans="1:4" x14ac:dyDescent="0.25">
      <c r="A3125" t="s">
        <v>57</v>
      </c>
      <c r="B3125" s="48">
        <v>46130</v>
      </c>
      <c r="C3125" t="s">
        <v>45</v>
      </c>
      <c r="D3125" t="str">
        <f>IF(COUNTIFS(Verweise!$A$2:$A$4542,Übersicht!$C$7,Verweise!$B$2:$B$4542,B3125)=1,"Feiertag",IF(C3125="Samstag","",IF(C3125="Sonntag","",Übersicht!$C$8)))</f>
        <v>Feiertag</v>
      </c>
    </row>
    <row r="3126" spans="1:4" x14ac:dyDescent="0.25">
      <c r="A3126" t="s">
        <v>57</v>
      </c>
      <c r="B3126" s="48">
        <v>46132</v>
      </c>
      <c r="C3126" t="s">
        <v>46</v>
      </c>
      <c r="D3126" t="str">
        <f>IF(COUNTIFS(Verweise!$A$2:$A$4542,Übersicht!$C$7,Verweise!$B$2:$B$4542,B3126)=1,"Feiertag",IF(C3126="Samstag","",IF(C3126="Sonntag","",Übersicht!$C$8)))</f>
        <v>Feiertag</v>
      </c>
    </row>
    <row r="3127" spans="1:4" x14ac:dyDescent="0.25">
      <c r="A3127" t="s">
        <v>57</v>
      </c>
      <c r="B3127" s="48">
        <v>46133</v>
      </c>
      <c r="C3127" t="s">
        <v>47</v>
      </c>
      <c r="D3127" t="str">
        <f>IF(COUNTIFS(Verweise!$A$2:$A$4542,Übersicht!$C$7,Verweise!$B$2:$B$4542,B3127)=1,"Feiertag",IF(C3127="Samstag","",IF(C3127="Sonntag","",Übersicht!$C$8)))</f>
        <v>Feiertag</v>
      </c>
    </row>
    <row r="3128" spans="1:4" x14ac:dyDescent="0.25">
      <c r="A3128" t="s">
        <v>57</v>
      </c>
      <c r="B3128" s="48">
        <v>46142</v>
      </c>
      <c r="C3128" t="s">
        <v>48</v>
      </c>
      <c r="D3128" t="str">
        <f>IF(COUNTIFS(Verweise!$A$2:$A$4542,Übersicht!$C$7,Verweise!$B$2:$B$4542,B3128)=1,"Feiertag",IF(C3128="Samstag","",IF(C3128="Sonntag","",Übersicht!$C$8)))</f>
        <v>Feiertag</v>
      </c>
    </row>
    <row r="3129" spans="1:4" x14ac:dyDescent="0.25">
      <c r="A3129" t="s">
        <v>57</v>
      </c>
      <c r="B3129" s="48">
        <v>46171</v>
      </c>
      <c r="C3129" t="s">
        <v>49</v>
      </c>
      <c r="D3129" t="str">
        <f>IF(COUNTIFS(Verweise!$A$2:$A$4542,Übersicht!$C$7,Verweise!$B$2:$B$4542,B3129)=1,"Feiertag",IF(C3129="Samstag","",IF(C3129="Sonntag","",Übersicht!$C$8)))</f>
        <v>Feiertag</v>
      </c>
    </row>
    <row r="3130" spans="1:4" x14ac:dyDescent="0.25">
      <c r="A3130" t="s">
        <v>57</v>
      </c>
      <c r="B3130" s="48">
        <v>46181</v>
      </c>
      <c r="C3130" t="s">
        <v>50</v>
      </c>
      <c r="D3130" t="str">
        <f>IF(COUNTIFS(Verweise!$A$2:$A$4542,Übersicht!$C$7,Verweise!$B$2:$B$4542,B3130)=1,"Feiertag",IF(C3130="Samstag","",IF(C3130="Sonntag","",Übersicht!$C$8)))</f>
        <v>Feiertag</v>
      </c>
    </row>
    <row r="3131" spans="1:4" x14ac:dyDescent="0.25">
      <c r="A3131" t="s">
        <v>57</v>
      </c>
      <c r="B3131" s="48">
        <v>46182</v>
      </c>
      <c r="C3131" t="s">
        <v>51</v>
      </c>
      <c r="D3131" t="str">
        <f>IF(COUNTIFS(Verweise!$A$2:$A$4542,Übersicht!$C$7,Verweise!$B$2:$B$4542,B3131)=1,"Feiertag",IF(C3131="Samstag","",IF(C3131="Sonntag","",Übersicht!$C$8)))</f>
        <v>Feiertag</v>
      </c>
    </row>
    <row r="3132" spans="1:4" x14ac:dyDescent="0.25">
      <c r="A3132" t="s">
        <v>57</v>
      </c>
      <c r="B3132" s="48">
        <v>46192</v>
      </c>
      <c r="C3132" t="s">
        <v>52</v>
      </c>
      <c r="D3132" t="str">
        <f>IF(COUNTIFS(Verweise!$A$2:$A$4542,Übersicht!$C$7,Verweise!$B$2:$B$4542,B3132)=1,"Feiertag",IF(C3132="Samstag","",IF(C3132="Sonntag","",Übersicht!$C$8)))</f>
        <v>Feiertag</v>
      </c>
    </row>
    <row r="3133" spans="1:4" x14ac:dyDescent="0.25">
      <c r="A3133" t="s">
        <v>57</v>
      </c>
      <c r="B3133" s="48">
        <v>46297</v>
      </c>
      <c r="C3133" t="s">
        <v>53</v>
      </c>
      <c r="D3133" t="str">
        <f>IF(COUNTIFS(Verweise!$A$2:$A$4542,Übersicht!$C$7,Verweise!$B$2:$B$4542,B3133)=1,"Feiertag",IF(C3133="Samstag","",IF(C3133="Sonntag","",Übersicht!$C$8)))</f>
        <v>Feiertag</v>
      </c>
    </row>
    <row r="3134" spans="1:4" x14ac:dyDescent="0.25">
      <c r="A3134" t="s">
        <v>57</v>
      </c>
      <c r="B3134" s="48">
        <v>46326</v>
      </c>
      <c r="C3134" t="s">
        <v>54</v>
      </c>
      <c r="D3134" t="str">
        <f>IF(COUNTIFS(Verweise!$A$2:$A$4542,Übersicht!$C$7,Verweise!$B$2:$B$4542,B3134)=1,"Feiertag",IF(C3134="Samstag","",IF(C3134="Sonntag","",Übersicht!$C$8)))</f>
        <v>Feiertag</v>
      </c>
    </row>
    <row r="3135" spans="1:4" x14ac:dyDescent="0.25">
      <c r="A3135" t="s">
        <v>57</v>
      </c>
      <c r="B3135" s="48">
        <v>46380</v>
      </c>
      <c r="C3135" t="s">
        <v>55</v>
      </c>
      <c r="D3135" t="str">
        <f>IF(COUNTIFS(Verweise!$A$2:$A$4542,Übersicht!$C$7,Verweise!$B$2:$B$4542,B3135)=1,"Feiertag",IF(C3135="Samstag","",IF(C3135="Sonntag","",Übersicht!$C$8)))</f>
        <v>Feiertag</v>
      </c>
    </row>
    <row r="3136" spans="1:4" x14ac:dyDescent="0.25">
      <c r="A3136" t="s">
        <v>57</v>
      </c>
      <c r="B3136" s="48">
        <v>46381</v>
      </c>
      <c r="C3136" t="s">
        <v>56</v>
      </c>
      <c r="D3136" t="str">
        <f>IF(COUNTIFS(Verweise!$A$2:$A$4542,Übersicht!$C$7,Verweise!$B$2:$B$4542,B3136)=1,"Feiertag",IF(C3136="Samstag","",IF(C3136="Sonntag","",Übersicht!$C$8)))</f>
        <v>Feiertag</v>
      </c>
    </row>
    <row r="3137" spans="1:4" x14ac:dyDescent="0.25">
      <c r="A3137" t="s">
        <v>58</v>
      </c>
      <c r="B3137" s="48">
        <v>46022</v>
      </c>
      <c r="C3137" t="s">
        <v>43</v>
      </c>
      <c r="D3137" t="str">
        <f>IF(COUNTIFS(Verweise!$A$2:$A$4542,Übersicht!$C$7,Verweise!$B$2:$B$4542,B3137)=1,"Feiertag",IF(C3137="Samstag","",IF(C3137="Sonntag","",Übersicht!$C$8)))</f>
        <v>Feiertag</v>
      </c>
    </row>
    <row r="3138" spans="1:4" x14ac:dyDescent="0.25">
      <c r="A3138" t="s">
        <v>58</v>
      </c>
      <c r="B3138" s="48">
        <v>46027</v>
      </c>
      <c r="C3138" t="s">
        <v>44</v>
      </c>
      <c r="D3138" t="str">
        <f>IF(COUNTIFS(Verweise!$A$2:$A$4542,Übersicht!$C$7,Verweise!$B$2:$B$4542,B3138)=1,"Feiertag",IF(C3138="Samstag","",IF(C3138="Sonntag","",Übersicht!$C$8)))</f>
        <v>Büro</v>
      </c>
    </row>
    <row r="3139" spans="1:4" x14ac:dyDescent="0.25">
      <c r="A3139" t="s">
        <v>58</v>
      </c>
      <c r="B3139" s="48">
        <v>46130</v>
      </c>
      <c r="C3139" t="s">
        <v>45</v>
      </c>
      <c r="D3139" t="str">
        <f>IF(COUNTIFS(Verweise!$A$2:$A$4542,Übersicht!$C$7,Verweise!$B$2:$B$4542,B3139)=1,"Feiertag",IF(C3139="Samstag","",IF(C3139="Sonntag","",Übersicht!$C$8)))</f>
        <v>Feiertag</v>
      </c>
    </row>
    <row r="3140" spans="1:4" x14ac:dyDescent="0.25">
      <c r="A3140" t="s">
        <v>58</v>
      </c>
      <c r="B3140" s="48">
        <v>46132</v>
      </c>
      <c r="C3140" t="s">
        <v>46</v>
      </c>
      <c r="D3140" t="str">
        <f>IF(COUNTIFS(Verweise!$A$2:$A$4542,Übersicht!$C$7,Verweise!$B$2:$B$4542,B3140)=1,"Feiertag",IF(C3140="Samstag","",IF(C3140="Sonntag","",Übersicht!$C$8)))</f>
        <v>Feiertag</v>
      </c>
    </row>
    <row r="3141" spans="1:4" x14ac:dyDescent="0.25">
      <c r="A3141" t="s">
        <v>58</v>
      </c>
      <c r="B3141" s="48">
        <v>46133</v>
      </c>
      <c r="C3141" t="s">
        <v>47</v>
      </c>
      <c r="D3141" t="str">
        <f>IF(COUNTIFS(Verweise!$A$2:$A$4542,Übersicht!$C$7,Verweise!$B$2:$B$4542,B3141)=1,"Feiertag",IF(C3141="Samstag","",IF(C3141="Sonntag","",Übersicht!$C$8)))</f>
        <v>Feiertag</v>
      </c>
    </row>
    <row r="3142" spans="1:4" x14ac:dyDescent="0.25">
      <c r="A3142" t="s">
        <v>58</v>
      </c>
      <c r="B3142" s="48">
        <v>46142</v>
      </c>
      <c r="C3142" t="s">
        <v>48</v>
      </c>
      <c r="D3142" t="str">
        <f>IF(COUNTIFS(Verweise!$A$2:$A$4542,Übersicht!$C$7,Verweise!$B$2:$B$4542,B3142)=1,"Feiertag",IF(C3142="Samstag","",IF(C3142="Sonntag","",Übersicht!$C$8)))</f>
        <v>Feiertag</v>
      </c>
    </row>
    <row r="3143" spans="1:4" x14ac:dyDescent="0.25">
      <c r="A3143" t="s">
        <v>58</v>
      </c>
      <c r="B3143" s="48">
        <v>46171</v>
      </c>
      <c r="C3143" t="s">
        <v>49</v>
      </c>
      <c r="D3143" t="str">
        <f>IF(COUNTIFS(Verweise!$A$2:$A$4542,Übersicht!$C$7,Verweise!$B$2:$B$4542,B3143)=1,"Feiertag",IF(C3143="Samstag","",IF(C3143="Sonntag","",Übersicht!$C$8)))</f>
        <v>Feiertag</v>
      </c>
    </row>
    <row r="3144" spans="1:4" x14ac:dyDescent="0.25">
      <c r="A3144" t="s">
        <v>58</v>
      </c>
      <c r="B3144" s="48">
        <v>46181</v>
      </c>
      <c r="C3144" t="s">
        <v>50</v>
      </c>
      <c r="D3144" t="str">
        <f>IF(COUNTIFS(Verweise!$A$2:$A$4542,Übersicht!$C$7,Verweise!$B$2:$B$4542,B3144)=1,"Feiertag",IF(C3144="Samstag","",IF(C3144="Sonntag","",Übersicht!$C$8)))</f>
        <v>Feiertag</v>
      </c>
    </row>
    <row r="3145" spans="1:4" x14ac:dyDescent="0.25">
      <c r="A3145" t="s">
        <v>58</v>
      </c>
      <c r="B3145" s="48">
        <v>46182</v>
      </c>
      <c r="C3145" t="s">
        <v>51</v>
      </c>
      <c r="D3145" t="str">
        <f>IF(COUNTIFS(Verweise!$A$2:$A$4542,Übersicht!$C$7,Verweise!$B$2:$B$4542,B3145)=1,"Feiertag",IF(C3145="Samstag","",IF(C3145="Sonntag","",Übersicht!$C$8)))</f>
        <v>Feiertag</v>
      </c>
    </row>
    <row r="3146" spans="1:4" x14ac:dyDescent="0.25">
      <c r="A3146" t="s">
        <v>58</v>
      </c>
      <c r="B3146" s="48">
        <v>46192</v>
      </c>
      <c r="C3146" t="s">
        <v>52</v>
      </c>
      <c r="D3146" t="str">
        <f>IF(COUNTIFS(Verweise!$A$2:$A$4542,Übersicht!$C$7,Verweise!$B$2:$B$4542,B3146)=1,"Feiertag",IF(C3146="Samstag","",IF(C3146="Sonntag","",Übersicht!$C$8)))</f>
        <v>Feiertag</v>
      </c>
    </row>
    <row r="3147" spans="1:4" x14ac:dyDescent="0.25">
      <c r="A3147" t="s">
        <v>58</v>
      </c>
      <c r="B3147" s="48">
        <v>46248</v>
      </c>
      <c r="C3147" t="s">
        <v>59</v>
      </c>
      <c r="D3147" t="str">
        <f>IF(COUNTIFS(Verweise!$A$2:$A$4542,Übersicht!$C$7,Verweise!$B$2:$B$4542,B3147)=1,"Feiertag",IF(C3147="Samstag","",IF(C3147="Sonntag","",Übersicht!$C$8)))</f>
        <v>Büro</v>
      </c>
    </row>
    <row r="3148" spans="1:4" x14ac:dyDescent="0.25">
      <c r="A3148" t="s">
        <v>58</v>
      </c>
      <c r="B3148" s="48">
        <v>46297</v>
      </c>
      <c r="C3148" t="s">
        <v>53</v>
      </c>
      <c r="D3148" t="str">
        <f>IF(COUNTIFS(Verweise!$A$2:$A$4542,Übersicht!$C$7,Verweise!$B$2:$B$4542,B3148)=1,"Feiertag",IF(C3148="Samstag","",IF(C3148="Sonntag","",Übersicht!$C$8)))</f>
        <v>Feiertag</v>
      </c>
    </row>
    <row r="3149" spans="1:4" x14ac:dyDescent="0.25">
      <c r="A3149" t="s">
        <v>58</v>
      </c>
      <c r="B3149" s="48">
        <v>46326</v>
      </c>
      <c r="C3149" t="s">
        <v>54</v>
      </c>
      <c r="D3149" t="str">
        <f>IF(COUNTIFS(Verweise!$A$2:$A$4542,Übersicht!$C$7,Verweise!$B$2:$B$4542,B3149)=1,"Feiertag",IF(C3149="Samstag","",IF(C3149="Sonntag","",Übersicht!$C$8)))</f>
        <v>Feiertag</v>
      </c>
    </row>
    <row r="3150" spans="1:4" x14ac:dyDescent="0.25">
      <c r="A3150" t="s">
        <v>58</v>
      </c>
      <c r="B3150" s="48">
        <v>46380</v>
      </c>
      <c r="C3150" t="s">
        <v>55</v>
      </c>
      <c r="D3150" t="str">
        <f>IF(COUNTIFS(Verweise!$A$2:$A$4542,Übersicht!$C$7,Verweise!$B$2:$B$4542,B3150)=1,"Feiertag",IF(C3150="Samstag","",IF(C3150="Sonntag","",Übersicht!$C$8)))</f>
        <v>Feiertag</v>
      </c>
    </row>
    <row r="3151" spans="1:4" x14ac:dyDescent="0.25">
      <c r="A3151" t="s">
        <v>58</v>
      </c>
      <c r="B3151" s="48">
        <v>46381</v>
      </c>
      <c r="C3151" t="s">
        <v>56</v>
      </c>
      <c r="D3151" t="str">
        <f>IF(COUNTIFS(Verweise!$A$2:$A$4542,Übersicht!$C$7,Verweise!$B$2:$B$4542,B3151)=1,"Feiertag",IF(C3151="Samstag","",IF(C3151="Sonntag","",Übersicht!$C$8)))</f>
        <v>Feiertag</v>
      </c>
    </row>
    <row r="3152" spans="1:4" x14ac:dyDescent="0.25">
      <c r="A3152" t="s">
        <v>60</v>
      </c>
      <c r="B3152" s="48">
        <v>46022</v>
      </c>
      <c r="C3152" t="s">
        <v>43</v>
      </c>
      <c r="D3152" t="str">
        <f>IF(COUNTIFS(Verweise!$A$2:$A$4542,Übersicht!$C$7,Verweise!$B$2:$B$4542,B3152)=1,"Feiertag",IF(C3152="Samstag","",IF(C3152="Sonntag","",Übersicht!$C$8)))</f>
        <v>Feiertag</v>
      </c>
    </row>
    <row r="3153" spans="1:4" x14ac:dyDescent="0.25">
      <c r="A3153" t="s">
        <v>60</v>
      </c>
      <c r="B3153" s="48">
        <v>46130</v>
      </c>
      <c r="C3153" t="s">
        <v>45</v>
      </c>
      <c r="D3153" t="str">
        <f>IF(COUNTIFS(Verweise!$A$2:$A$4542,Übersicht!$C$7,Verweise!$B$2:$B$4542,B3153)=1,"Feiertag",IF(C3153="Samstag","",IF(C3153="Sonntag","",Übersicht!$C$8)))</f>
        <v>Feiertag</v>
      </c>
    </row>
    <row r="3154" spans="1:4" x14ac:dyDescent="0.25">
      <c r="A3154" t="s">
        <v>60</v>
      </c>
      <c r="B3154" s="48">
        <v>46132</v>
      </c>
      <c r="C3154" t="s">
        <v>46</v>
      </c>
      <c r="D3154" t="str">
        <f>IF(COUNTIFS(Verweise!$A$2:$A$4542,Übersicht!$C$7,Verweise!$B$2:$B$4542,B3154)=1,"Feiertag",IF(C3154="Samstag","",IF(C3154="Sonntag","",Übersicht!$C$8)))</f>
        <v>Feiertag</v>
      </c>
    </row>
    <row r="3155" spans="1:4" x14ac:dyDescent="0.25">
      <c r="A3155" t="s">
        <v>60</v>
      </c>
      <c r="B3155" s="48">
        <v>46133</v>
      </c>
      <c r="C3155" t="s">
        <v>47</v>
      </c>
      <c r="D3155" t="str">
        <f>IF(COUNTIFS(Verweise!$A$2:$A$4542,Übersicht!$C$7,Verweise!$B$2:$B$4542,B3155)=1,"Feiertag",IF(C3155="Samstag","",IF(C3155="Sonntag","",Übersicht!$C$8)))</f>
        <v>Feiertag</v>
      </c>
    </row>
    <row r="3156" spans="1:4" x14ac:dyDescent="0.25">
      <c r="A3156" t="s">
        <v>60</v>
      </c>
      <c r="B3156" s="48">
        <v>46142</v>
      </c>
      <c r="C3156" t="s">
        <v>48</v>
      </c>
      <c r="D3156" t="str">
        <f>IF(COUNTIFS(Verweise!$A$2:$A$4542,Übersicht!$C$7,Verweise!$B$2:$B$4542,B3156)=1,"Feiertag",IF(C3156="Samstag","",IF(C3156="Sonntag","",Übersicht!$C$8)))</f>
        <v>Feiertag</v>
      </c>
    </row>
    <row r="3157" spans="1:4" x14ac:dyDescent="0.25">
      <c r="A3157" t="s">
        <v>60</v>
      </c>
      <c r="B3157" s="48">
        <v>46171</v>
      </c>
      <c r="C3157" t="s">
        <v>49</v>
      </c>
      <c r="D3157" t="str">
        <f>IF(COUNTIFS(Verweise!$A$2:$A$4542,Übersicht!$C$7,Verweise!$B$2:$B$4542,B3157)=1,"Feiertag",IF(C3157="Samstag","",IF(C3157="Sonntag","",Übersicht!$C$8)))</f>
        <v>Feiertag</v>
      </c>
    </row>
    <row r="3158" spans="1:4" x14ac:dyDescent="0.25">
      <c r="A3158" t="s">
        <v>60</v>
      </c>
      <c r="B3158" s="48">
        <v>46181</v>
      </c>
      <c r="C3158" t="s">
        <v>50</v>
      </c>
      <c r="D3158" t="str">
        <f>IF(COUNTIFS(Verweise!$A$2:$A$4542,Übersicht!$C$7,Verweise!$B$2:$B$4542,B3158)=1,"Feiertag",IF(C3158="Samstag","",IF(C3158="Sonntag","",Übersicht!$C$8)))</f>
        <v>Feiertag</v>
      </c>
    </row>
    <row r="3159" spans="1:4" x14ac:dyDescent="0.25">
      <c r="A3159" t="s">
        <v>60</v>
      </c>
      <c r="B3159" s="48">
        <v>46182</v>
      </c>
      <c r="C3159" t="s">
        <v>51</v>
      </c>
      <c r="D3159" t="str">
        <f>IF(COUNTIFS(Verweise!$A$2:$A$4542,Übersicht!$C$7,Verweise!$B$2:$B$4542,B3159)=1,"Feiertag",IF(C3159="Samstag","",IF(C3159="Sonntag","",Übersicht!$C$8)))</f>
        <v>Feiertag</v>
      </c>
    </row>
    <row r="3160" spans="1:4" x14ac:dyDescent="0.25">
      <c r="A3160" t="s">
        <v>60</v>
      </c>
      <c r="B3160" s="48">
        <v>46297</v>
      </c>
      <c r="C3160" t="s">
        <v>53</v>
      </c>
      <c r="D3160" t="str">
        <f>IF(COUNTIFS(Verweise!$A$2:$A$4542,Übersicht!$C$7,Verweise!$B$2:$B$4542,B3160)=1,"Feiertag",IF(C3160="Samstag","",IF(C3160="Sonntag","",Übersicht!$C$8)))</f>
        <v>Feiertag</v>
      </c>
    </row>
    <row r="3161" spans="1:4" x14ac:dyDescent="0.25">
      <c r="A3161" t="s">
        <v>60</v>
      </c>
      <c r="B3161" s="48">
        <v>46380</v>
      </c>
      <c r="C3161" t="s">
        <v>55</v>
      </c>
      <c r="D3161" t="str">
        <f>IF(COUNTIFS(Verweise!$A$2:$A$4542,Übersicht!$C$7,Verweise!$B$2:$B$4542,B3161)=1,"Feiertag",IF(C3161="Samstag","",IF(C3161="Sonntag","",Übersicht!$C$8)))</f>
        <v>Feiertag</v>
      </c>
    </row>
    <row r="3162" spans="1:4" x14ac:dyDescent="0.25">
      <c r="A3162" t="s">
        <v>60</v>
      </c>
      <c r="B3162" s="48">
        <v>46381</v>
      </c>
      <c r="C3162" t="s">
        <v>56</v>
      </c>
      <c r="D3162" t="str">
        <f>IF(COUNTIFS(Verweise!$A$2:$A$4542,Übersicht!$C$7,Verweise!$B$2:$B$4542,B3162)=1,"Feiertag",IF(C3162="Samstag","",IF(C3162="Sonntag","",Übersicht!$C$8)))</f>
        <v>Feiertag</v>
      </c>
    </row>
    <row r="3163" spans="1:4" x14ac:dyDescent="0.25">
      <c r="A3163" t="s">
        <v>61</v>
      </c>
      <c r="B3163" s="48">
        <v>46022</v>
      </c>
      <c r="C3163" t="s">
        <v>43</v>
      </c>
      <c r="D3163" t="str">
        <f>IF(COUNTIFS(Verweise!$A$2:$A$4542,Übersicht!$C$7,Verweise!$B$2:$B$4542,B3163)=1,"Feiertag",IF(C3163="Samstag","",IF(C3163="Sonntag","",Übersicht!$C$8)))</f>
        <v>Feiertag</v>
      </c>
    </row>
    <row r="3164" spans="1:4" x14ac:dyDescent="0.25">
      <c r="A3164" t="s">
        <v>61</v>
      </c>
      <c r="B3164" s="48">
        <v>46130</v>
      </c>
      <c r="C3164" t="s">
        <v>45</v>
      </c>
      <c r="D3164" t="str">
        <f>IF(COUNTIFS(Verweise!$A$2:$A$4542,Übersicht!$C$7,Verweise!$B$2:$B$4542,B3164)=1,"Feiertag",IF(C3164="Samstag","",IF(C3164="Sonntag","",Übersicht!$C$8)))</f>
        <v>Feiertag</v>
      </c>
    </row>
    <row r="3165" spans="1:4" x14ac:dyDescent="0.25">
      <c r="A3165" t="s">
        <v>61</v>
      </c>
      <c r="B3165" s="48">
        <v>46132</v>
      </c>
      <c r="C3165" t="s">
        <v>46</v>
      </c>
      <c r="D3165" t="str">
        <f>IF(COUNTIFS(Verweise!$A$2:$A$4542,Übersicht!$C$7,Verweise!$B$2:$B$4542,B3165)=1,"Feiertag",IF(C3165="Samstag","",IF(C3165="Sonntag","",Übersicht!$C$8)))</f>
        <v>Feiertag</v>
      </c>
    </row>
    <row r="3166" spans="1:4" x14ac:dyDescent="0.25">
      <c r="A3166" t="s">
        <v>61</v>
      </c>
      <c r="B3166" s="48">
        <v>46133</v>
      </c>
      <c r="C3166" t="s">
        <v>47</v>
      </c>
      <c r="D3166" t="str">
        <f>IF(COUNTIFS(Verweise!$A$2:$A$4542,Übersicht!$C$7,Verweise!$B$2:$B$4542,B3166)=1,"Feiertag",IF(C3166="Samstag","",IF(C3166="Sonntag","",Übersicht!$C$8)))</f>
        <v>Feiertag</v>
      </c>
    </row>
    <row r="3167" spans="1:4" x14ac:dyDescent="0.25">
      <c r="A3167" t="s">
        <v>61</v>
      </c>
      <c r="B3167" s="48">
        <v>46142</v>
      </c>
      <c r="C3167" t="s">
        <v>48</v>
      </c>
      <c r="D3167" t="str">
        <f>IF(COUNTIFS(Verweise!$A$2:$A$4542,Übersicht!$C$7,Verweise!$B$2:$B$4542,B3167)=1,"Feiertag",IF(C3167="Samstag","",IF(C3167="Sonntag","",Übersicht!$C$8)))</f>
        <v>Feiertag</v>
      </c>
    </row>
    <row r="3168" spans="1:4" x14ac:dyDescent="0.25">
      <c r="A3168" t="s">
        <v>61</v>
      </c>
      <c r="B3168" s="48">
        <v>46171</v>
      </c>
      <c r="C3168" t="s">
        <v>49</v>
      </c>
      <c r="D3168" t="str">
        <f>IF(COUNTIFS(Verweise!$A$2:$A$4542,Übersicht!$C$7,Verweise!$B$2:$B$4542,B3168)=1,"Feiertag",IF(C3168="Samstag","",IF(C3168="Sonntag","",Übersicht!$C$8)))</f>
        <v>Feiertag</v>
      </c>
    </row>
    <row r="3169" spans="1:4" x14ac:dyDescent="0.25">
      <c r="A3169" t="s">
        <v>61</v>
      </c>
      <c r="B3169" s="48">
        <v>46181</v>
      </c>
      <c r="C3169" t="s">
        <v>50</v>
      </c>
      <c r="D3169" t="str">
        <f>IF(COUNTIFS(Verweise!$A$2:$A$4542,Übersicht!$C$7,Verweise!$B$2:$B$4542,B3169)=1,"Feiertag",IF(C3169="Samstag","",IF(C3169="Sonntag","",Übersicht!$C$8)))</f>
        <v>Feiertag</v>
      </c>
    </row>
    <row r="3170" spans="1:4" x14ac:dyDescent="0.25">
      <c r="A3170" t="s">
        <v>61</v>
      </c>
      <c r="B3170" s="48">
        <v>46182</v>
      </c>
      <c r="C3170" t="s">
        <v>51</v>
      </c>
      <c r="D3170" t="str">
        <f>IF(COUNTIFS(Verweise!$A$2:$A$4542,Übersicht!$C$7,Verweise!$B$2:$B$4542,B3170)=1,"Feiertag",IF(C3170="Samstag","",IF(C3170="Sonntag","",Übersicht!$C$8)))</f>
        <v>Feiertag</v>
      </c>
    </row>
    <row r="3171" spans="1:4" x14ac:dyDescent="0.25">
      <c r="A3171" t="s">
        <v>61</v>
      </c>
      <c r="B3171" s="48">
        <v>46297</v>
      </c>
      <c r="C3171" t="s">
        <v>53</v>
      </c>
      <c r="D3171" t="str">
        <f>IF(COUNTIFS(Verweise!$A$2:$A$4542,Übersicht!$C$7,Verweise!$B$2:$B$4542,B3171)=1,"Feiertag",IF(C3171="Samstag","",IF(C3171="Sonntag","",Übersicht!$C$8)))</f>
        <v>Feiertag</v>
      </c>
    </row>
    <row r="3172" spans="1:4" x14ac:dyDescent="0.25">
      <c r="A3172" t="s">
        <v>61</v>
      </c>
      <c r="B3172" s="48">
        <v>46325</v>
      </c>
      <c r="C3172" t="s">
        <v>62</v>
      </c>
      <c r="D3172" t="str">
        <f>IF(COUNTIFS(Verweise!$A$2:$A$4542,Übersicht!$C$7,Verweise!$B$2:$B$4542,B3172)=1,"Feiertag",IF(C3172="Samstag","",IF(C3172="Sonntag","",Übersicht!$C$8)))</f>
        <v>Büro</v>
      </c>
    </row>
    <row r="3173" spans="1:4" x14ac:dyDescent="0.25">
      <c r="A3173" t="s">
        <v>61</v>
      </c>
      <c r="B3173" s="48">
        <v>46380</v>
      </c>
      <c r="C3173" t="s">
        <v>55</v>
      </c>
      <c r="D3173" t="str">
        <f>IF(COUNTIFS(Verweise!$A$2:$A$4542,Übersicht!$C$7,Verweise!$B$2:$B$4542,B3173)=1,"Feiertag",IF(C3173="Samstag","",IF(C3173="Sonntag","",Übersicht!$C$8)))</f>
        <v>Feiertag</v>
      </c>
    </row>
    <row r="3174" spans="1:4" x14ac:dyDescent="0.25">
      <c r="A3174" t="s">
        <v>61</v>
      </c>
      <c r="B3174" s="48">
        <v>46381</v>
      </c>
      <c r="C3174" t="s">
        <v>56</v>
      </c>
      <c r="D3174" t="str">
        <f>IF(COUNTIFS(Verweise!$A$2:$A$4542,Übersicht!$C$7,Verweise!$B$2:$B$4542,B3174)=1,"Feiertag",IF(C3174="Samstag","",IF(C3174="Sonntag","",Übersicht!$C$8)))</f>
        <v>Feiertag</v>
      </c>
    </row>
    <row r="3175" spans="1:4" x14ac:dyDescent="0.25">
      <c r="A3175" t="s">
        <v>63</v>
      </c>
      <c r="B3175" s="48">
        <v>46022</v>
      </c>
      <c r="C3175" t="s">
        <v>43</v>
      </c>
      <c r="D3175" t="str">
        <f>IF(COUNTIFS(Verweise!$A$2:$A$4542,Übersicht!$C$7,Verweise!$B$2:$B$4542,B3175)=1,"Feiertag",IF(C3175="Samstag","",IF(C3175="Sonntag","",Übersicht!$C$8)))</f>
        <v>Feiertag</v>
      </c>
    </row>
    <row r="3176" spans="1:4" x14ac:dyDescent="0.25">
      <c r="A3176" t="s">
        <v>63</v>
      </c>
      <c r="B3176" s="48">
        <v>46130</v>
      </c>
      <c r="C3176" t="s">
        <v>45</v>
      </c>
      <c r="D3176" t="str">
        <f>IF(COUNTIFS(Verweise!$A$2:$A$4542,Übersicht!$C$7,Verweise!$B$2:$B$4542,B3176)=1,"Feiertag",IF(C3176="Samstag","",IF(C3176="Sonntag","",Übersicht!$C$8)))</f>
        <v>Feiertag</v>
      </c>
    </row>
    <row r="3177" spans="1:4" x14ac:dyDescent="0.25">
      <c r="A3177" t="s">
        <v>63</v>
      </c>
      <c r="B3177" s="48">
        <v>46132</v>
      </c>
      <c r="C3177" t="s">
        <v>46</v>
      </c>
      <c r="D3177" t="str">
        <f>IF(COUNTIFS(Verweise!$A$2:$A$4542,Übersicht!$C$7,Verweise!$B$2:$B$4542,B3177)=1,"Feiertag",IF(C3177="Samstag","",IF(C3177="Sonntag","",Übersicht!$C$8)))</f>
        <v>Feiertag</v>
      </c>
    </row>
    <row r="3178" spans="1:4" x14ac:dyDescent="0.25">
      <c r="A3178" t="s">
        <v>63</v>
      </c>
      <c r="B3178" s="48">
        <v>46133</v>
      </c>
      <c r="C3178" t="s">
        <v>47</v>
      </c>
      <c r="D3178" t="str">
        <f>IF(COUNTIFS(Verweise!$A$2:$A$4542,Übersicht!$C$7,Verweise!$B$2:$B$4542,B3178)=1,"Feiertag",IF(C3178="Samstag","",IF(C3178="Sonntag","",Übersicht!$C$8)))</f>
        <v>Feiertag</v>
      </c>
    </row>
    <row r="3179" spans="1:4" x14ac:dyDescent="0.25">
      <c r="A3179" t="s">
        <v>63</v>
      </c>
      <c r="B3179" s="48">
        <v>46142</v>
      </c>
      <c r="C3179" t="s">
        <v>48</v>
      </c>
      <c r="D3179" t="str">
        <f>IF(COUNTIFS(Verweise!$A$2:$A$4542,Übersicht!$C$7,Verweise!$B$2:$B$4542,B3179)=1,"Feiertag",IF(C3179="Samstag","",IF(C3179="Sonntag","",Übersicht!$C$8)))</f>
        <v>Feiertag</v>
      </c>
    </row>
    <row r="3180" spans="1:4" x14ac:dyDescent="0.25">
      <c r="A3180" t="s">
        <v>63</v>
      </c>
      <c r="B3180" s="48">
        <v>46171</v>
      </c>
      <c r="C3180" t="s">
        <v>49</v>
      </c>
      <c r="D3180" t="str">
        <f>IF(COUNTIFS(Verweise!$A$2:$A$4542,Übersicht!$C$7,Verweise!$B$2:$B$4542,B3180)=1,"Feiertag",IF(C3180="Samstag","",IF(C3180="Sonntag","",Übersicht!$C$8)))</f>
        <v>Feiertag</v>
      </c>
    </row>
    <row r="3181" spans="1:4" x14ac:dyDescent="0.25">
      <c r="A3181" t="s">
        <v>63</v>
      </c>
      <c r="B3181" s="48">
        <v>46181</v>
      </c>
      <c r="C3181" t="s">
        <v>50</v>
      </c>
      <c r="D3181" t="str">
        <f>IF(COUNTIFS(Verweise!$A$2:$A$4542,Übersicht!$C$7,Verweise!$B$2:$B$4542,B3181)=1,"Feiertag",IF(C3181="Samstag","",IF(C3181="Sonntag","",Übersicht!$C$8)))</f>
        <v>Feiertag</v>
      </c>
    </row>
    <row r="3182" spans="1:4" x14ac:dyDescent="0.25">
      <c r="A3182" t="s">
        <v>63</v>
      </c>
      <c r="B3182" s="48">
        <v>46182</v>
      </c>
      <c r="C3182" t="s">
        <v>51</v>
      </c>
      <c r="D3182" t="str">
        <f>IF(COUNTIFS(Verweise!$A$2:$A$4542,Übersicht!$C$7,Verweise!$B$2:$B$4542,B3182)=1,"Feiertag",IF(C3182="Samstag","",IF(C3182="Sonntag","",Übersicht!$C$8)))</f>
        <v>Feiertag</v>
      </c>
    </row>
    <row r="3183" spans="1:4" x14ac:dyDescent="0.25">
      <c r="A3183" t="s">
        <v>63</v>
      </c>
      <c r="B3183" s="48">
        <v>46297</v>
      </c>
      <c r="C3183" t="s">
        <v>53</v>
      </c>
      <c r="D3183" t="str">
        <f>IF(COUNTIFS(Verweise!$A$2:$A$4542,Übersicht!$C$7,Verweise!$B$2:$B$4542,B3183)=1,"Feiertag",IF(C3183="Samstag","",IF(C3183="Sonntag","",Übersicht!$C$8)))</f>
        <v>Feiertag</v>
      </c>
    </row>
    <row r="3184" spans="1:4" x14ac:dyDescent="0.25">
      <c r="A3184" t="s">
        <v>63</v>
      </c>
      <c r="B3184" s="48">
        <v>46380</v>
      </c>
      <c r="C3184" t="s">
        <v>55</v>
      </c>
      <c r="D3184" t="str">
        <f>IF(COUNTIFS(Verweise!$A$2:$A$4542,Übersicht!$C$7,Verweise!$B$2:$B$4542,B3184)=1,"Feiertag",IF(C3184="Samstag","",IF(C3184="Sonntag","",Übersicht!$C$8)))</f>
        <v>Feiertag</v>
      </c>
    </row>
    <row r="3185" spans="1:4" x14ac:dyDescent="0.25">
      <c r="A3185" t="s">
        <v>63</v>
      </c>
      <c r="B3185" s="48">
        <v>46381</v>
      </c>
      <c r="C3185" t="s">
        <v>56</v>
      </c>
      <c r="D3185" t="str">
        <f>IF(COUNTIFS(Verweise!$A$2:$A$4542,Übersicht!$C$7,Verweise!$B$2:$B$4542,B3185)=1,"Feiertag",IF(C3185="Samstag","",IF(C3185="Sonntag","",Übersicht!$C$8)))</f>
        <v>Feiertag</v>
      </c>
    </row>
    <row r="3186" spans="1:4" x14ac:dyDescent="0.25">
      <c r="A3186" t="s">
        <v>64</v>
      </c>
      <c r="B3186" s="48">
        <v>46022</v>
      </c>
      <c r="C3186" t="s">
        <v>43</v>
      </c>
      <c r="D3186" t="str">
        <f>IF(COUNTIFS(Verweise!$A$2:$A$4542,Übersicht!$C$7,Verweise!$B$2:$B$4542,B3186)=1,"Feiertag",IF(C3186="Samstag","",IF(C3186="Sonntag","",Übersicht!$C$8)))</f>
        <v>Feiertag</v>
      </c>
    </row>
    <row r="3187" spans="1:4" x14ac:dyDescent="0.25">
      <c r="A3187" t="s">
        <v>64</v>
      </c>
      <c r="B3187" s="48">
        <v>46130</v>
      </c>
      <c r="C3187" t="s">
        <v>45</v>
      </c>
      <c r="D3187" t="str">
        <f>IF(COUNTIFS(Verweise!$A$2:$A$4542,Übersicht!$C$7,Verweise!$B$2:$B$4542,B3187)=1,"Feiertag",IF(C3187="Samstag","",IF(C3187="Sonntag","",Übersicht!$C$8)))</f>
        <v>Feiertag</v>
      </c>
    </row>
    <row r="3188" spans="1:4" x14ac:dyDescent="0.25">
      <c r="A3188" t="s">
        <v>64</v>
      </c>
      <c r="B3188" s="48">
        <v>46132</v>
      </c>
      <c r="C3188" t="s">
        <v>46</v>
      </c>
      <c r="D3188" t="str">
        <f>IF(COUNTIFS(Verweise!$A$2:$A$4542,Übersicht!$C$7,Verweise!$B$2:$B$4542,B3188)=1,"Feiertag",IF(C3188="Samstag","",IF(C3188="Sonntag","",Übersicht!$C$8)))</f>
        <v>Feiertag</v>
      </c>
    </row>
    <row r="3189" spans="1:4" x14ac:dyDescent="0.25">
      <c r="A3189" t="s">
        <v>64</v>
      </c>
      <c r="B3189" s="48">
        <v>46133</v>
      </c>
      <c r="C3189" t="s">
        <v>47</v>
      </c>
      <c r="D3189" t="str">
        <f>IF(COUNTIFS(Verweise!$A$2:$A$4542,Übersicht!$C$7,Verweise!$B$2:$B$4542,B3189)=1,"Feiertag",IF(C3189="Samstag","",IF(C3189="Sonntag","",Übersicht!$C$8)))</f>
        <v>Feiertag</v>
      </c>
    </row>
    <row r="3190" spans="1:4" x14ac:dyDescent="0.25">
      <c r="A3190" t="s">
        <v>64</v>
      </c>
      <c r="B3190" s="48">
        <v>46142</v>
      </c>
      <c r="C3190" t="s">
        <v>48</v>
      </c>
      <c r="D3190" t="str">
        <f>IF(COUNTIFS(Verweise!$A$2:$A$4542,Übersicht!$C$7,Verweise!$B$2:$B$4542,B3190)=1,"Feiertag",IF(C3190="Samstag","",IF(C3190="Sonntag","",Übersicht!$C$8)))</f>
        <v>Feiertag</v>
      </c>
    </row>
    <row r="3191" spans="1:4" x14ac:dyDescent="0.25">
      <c r="A3191" t="s">
        <v>64</v>
      </c>
      <c r="B3191" s="48">
        <v>46171</v>
      </c>
      <c r="C3191" t="s">
        <v>49</v>
      </c>
      <c r="D3191" t="str">
        <f>IF(COUNTIFS(Verweise!$A$2:$A$4542,Übersicht!$C$7,Verweise!$B$2:$B$4542,B3191)=1,"Feiertag",IF(C3191="Samstag","",IF(C3191="Sonntag","",Übersicht!$C$8)))</f>
        <v>Feiertag</v>
      </c>
    </row>
    <row r="3192" spans="1:4" x14ac:dyDescent="0.25">
      <c r="A3192" t="s">
        <v>64</v>
      </c>
      <c r="B3192" s="48">
        <v>46181</v>
      </c>
      <c r="C3192" t="s">
        <v>50</v>
      </c>
      <c r="D3192" t="str">
        <f>IF(COUNTIFS(Verweise!$A$2:$A$4542,Übersicht!$C$7,Verweise!$B$2:$B$4542,B3192)=1,"Feiertag",IF(C3192="Samstag","",IF(C3192="Sonntag","",Übersicht!$C$8)))</f>
        <v>Feiertag</v>
      </c>
    </row>
    <row r="3193" spans="1:4" x14ac:dyDescent="0.25">
      <c r="A3193" t="s">
        <v>64</v>
      </c>
      <c r="B3193" s="48">
        <v>46182</v>
      </c>
      <c r="C3193" t="s">
        <v>51</v>
      </c>
      <c r="D3193" t="str">
        <f>IF(COUNTIFS(Verweise!$A$2:$A$4542,Übersicht!$C$7,Verweise!$B$2:$B$4542,B3193)=1,"Feiertag",IF(C3193="Samstag","",IF(C3193="Sonntag","",Übersicht!$C$8)))</f>
        <v>Feiertag</v>
      </c>
    </row>
    <row r="3194" spans="1:4" x14ac:dyDescent="0.25">
      <c r="A3194" t="s">
        <v>64</v>
      </c>
      <c r="B3194" s="48">
        <v>46297</v>
      </c>
      <c r="C3194" t="s">
        <v>53</v>
      </c>
      <c r="D3194" t="str">
        <f>IF(COUNTIFS(Verweise!$A$2:$A$4542,Übersicht!$C$7,Verweise!$B$2:$B$4542,B3194)=1,"Feiertag",IF(C3194="Samstag","",IF(C3194="Sonntag","",Übersicht!$C$8)))</f>
        <v>Feiertag</v>
      </c>
    </row>
    <row r="3195" spans="1:4" x14ac:dyDescent="0.25">
      <c r="A3195" t="s">
        <v>64</v>
      </c>
      <c r="B3195" s="48">
        <v>46380</v>
      </c>
      <c r="C3195" t="s">
        <v>55</v>
      </c>
      <c r="D3195" t="str">
        <f>IF(COUNTIFS(Verweise!$A$2:$A$4542,Übersicht!$C$7,Verweise!$B$2:$B$4542,B3195)=1,"Feiertag",IF(C3195="Samstag","",IF(C3195="Sonntag","",Übersicht!$C$8)))</f>
        <v>Feiertag</v>
      </c>
    </row>
    <row r="3196" spans="1:4" x14ac:dyDescent="0.25">
      <c r="A3196" t="s">
        <v>64</v>
      </c>
      <c r="B3196" s="48">
        <v>46381</v>
      </c>
      <c r="C3196" t="s">
        <v>56</v>
      </c>
      <c r="D3196" t="str">
        <f>IF(COUNTIFS(Verweise!$A$2:$A$4542,Übersicht!$C$7,Verweise!$B$2:$B$4542,B3196)=1,"Feiertag",IF(C3196="Samstag","",IF(C3196="Sonntag","",Übersicht!$C$8)))</f>
        <v>Feiertag</v>
      </c>
    </row>
    <row r="3197" spans="1:4" x14ac:dyDescent="0.25">
      <c r="A3197" t="s">
        <v>65</v>
      </c>
      <c r="B3197" s="48">
        <v>46022</v>
      </c>
      <c r="C3197" t="s">
        <v>43</v>
      </c>
      <c r="D3197" t="str">
        <f>IF(COUNTIFS(Verweise!$A$2:$A$4542,Übersicht!$C$7,Verweise!$B$2:$B$4542,B3197)=1,"Feiertag",IF(C3197="Samstag","",IF(C3197="Sonntag","",Übersicht!$C$8)))</f>
        <v>Feiertag</v>
      </c>
    </row>
    <row r="3198" spans="1:4" x14ac:dyDescent="0.25">
      <c r="A3198" t="s">
        <v>65</v>
      </c>
      <c r="B3198" s="48">
        <v>46130</v>
      </c>
      <c r="C3198" t="s">
        <v>45</v>
      </c>
      <c r="D3198" t="str">
        <f>IF(COUNTIFS(Verweise!$A$2:$A$4542,Übersicht!$C$7,Verweise!$B$2:$B$4542,B3198)=1,"Feiertag",IF(C3198="Samstag","",IF(C3198="Sonntag","",Übersicht!$C$8)))</f>
        <v>Feiertag</v>
      </c>
    </row>
    <row r="3199" spans="1:4" x14ac:dyDescent="0.25">
      <c r="A3199" t="s">
        <v>65</v>
      </c>
      <c r="B3199" s="48">
        <v>46132</v>
      </c>
      <c r="C3199" t="s">
        <v>46</v>
      </c>
      <c r="D3199" t="str">
        <f>IF(COUNTIFS(Verweise!$A$2:$A$4542,Übersicht!$C$7,Verweise!$B$2:$B$4542,B3199)=1,"Feiertag",IF(C3199="Samstag","",IF(C3199="Sonntag","",Übersicht!$C$8)))</f>
        <v>Feiertag</v>
      </c>
    </row>
    <row r="3200" spans="1:4" x14ac:dyDescent="0.25">
      <c r="A3200" t="s">
        <v>65</v>
      </c>
      <c r="B3200" s="48">
        <v>46133</v>
      </c>
      <c r="C3200" t="s">
        <v>47</v>
      </c>
      <c r="D3200" t="str">
        <f>IF(COUNTIFS(Verweise!$A$2:$A$4542,Übersicht!$C$7,Verweise!$B$2:$B$4542,B3200)=1,"Feiertag",IF(C3200="Samstag","",IF(C3200="Sonntag","",Übersicht!$C$8)))</f>
        <v>Feiertag</v>
      </c>
    </row>
    <row r="3201" spans="1:4" x14ac:dyDescent="0.25">
      <c r="A3201" t="s">
        <v>65</v>
      </c>
      <c r="B3201" s="48">
        <v>46142</v>
      </c>
      <c r="C3201" t="s">
        <v>48</v>
      </c>
      <c r="D3201" t="str">
        <f>IF(COUNTIFS(Verweise!$A$2:$A$4542,Übersicht!$C$7,Verweise!$B$2:$B$4542,B3201)=1,"Feiertag",IF(C3201="Samstag","",IF(C3201="Sonntag","",Übersicht!$C$8)))</f>
        <v>Feiertag</v>
      </c>
    </row>
    <row r="3202" spans="1:4" x14ac:dyDescent="0.25">
      <c r="A3202" t="s">
        <v>65</v>
      </c>
      <c r="B3202" s="48">
        <v>46171</v>
      </c>
      <c r="C3202" t="s">
        <v>49</v>
      </c>
      <c r="D3202" t="str">
        <f>IF(COUNTIFS(Verweise!$A$2:$A$4542,Übersicht!$C$7,Verweise!$B$2:$B$4542,B3202)=1,"Feiertag",IF(C3202="Samstag","",IF(C3202="Sonntag","",Übersicht!$C$8)))</f>
        <v>Feiertag</v>
      </c>
    </row>
    <row r="3203" spans="1:4" x14ac:dyDescent="0.25">
      <c r="A3203" t="s">
        <v>65</v>
      </c>
      <c r="B3203" s="48">
        <v>46181</v>
      </c>
      <c r="C3203" t="s">
        <v>50</v>
      </c>
      <c r="D3203" t="str">
        <f>IF(COUNTIFS(Verweise!$A$2:$A$4542,Übersicht!$C$7,Verweise!$B$2:$B$4542,B3203)=1,"Feiertag",IF(C3203="Samstag","",IF(C3203="Sonntag","",Übersicht!$C$8)))</f>
        <v>Feiertag</v>
      </c>
    </row>
    <row r="3204" spans="1:4" x14ac:dyDescent="0.25">
      <c r="A3204" t="s">
        <v>65</v>
      </c>
      <c r="B3204" s="48">
        <v>46182</v>
      </c>
      <c r="C3204" t="s">
        <v>51</v>
      </c>
      <c r="D3204" t="str">
        <f>IF(COUNTIFS(Verweise!$A$2:$A$4542,Übersicht!$C$7,Verweise!$B$2:$B$4542,B3204)=1,"Feiertag",IF(C3204="Samstag","",IF(C3204="Sonntag","",Übersicht!$C$8)))</f>
        <v>Feiertag</v>
      </c>
    </row>
    <row r="3205" spans="1:4" x14ac:dyDescent="0.25">
      <c r="A3205" t="s">
        <v>65</v>
      </c>
      <c r="B3205" s="48">
        <v>46192</v>
      </c>
      <c r="C3205" t="s">
        <v>52</v>
      </c>
      <c r="D3205" t="str">
        <f>IF(COUNTIFS(Verweise!$A$2:$A$4542,Übersicht!$C$7,Verweise!$B$2:$B$4542,B3205)=1,"Feiertag",IF(C3205="Samstag","",IF(C3205="Sonntag","",Übersicht!$C$8)))</f>
        <v>Feiertag</v>
      </c>
    </row>
    <row r="3206" spans="1:4" x14ac:dyDescent="0.25">
      <c r="A3206" t="s">
        <v>65</v>
      </c>
      <c r="B3206" s="48">
        <v>46297</v>
      </c>
      <c r="C3206" t="s">
        <v>53</v>
      </c>
      <c r="D3206" t="str">
        <f>IF(COUNTIFS(Verweise!$A$2:$A$4542,Übersicht!$C$7,Verweise!$B$2:$B$4542,B3206)=1,"Feiertag",IF(C3206="Samstag","",IF(C3206="Sonntag","",Übersicht!$C$8)))</f>
        <v>Feiertag</v>
      </c>
    </row>
    <row r="3207" spans="1:4" x14ac:dyDescent="0.25">
      <c r="A3207" t="s">
        <v>65</v>
      </c>
      <c r="B3207" s="48">
        <v>46380</v>
      </c>
      <c r="C3207" t="s">
        <v>55</v>
      </c>
      <c r="D3207" t="str">
        <f>IF(COUNTIFS(Verweise!$A$2:$A$4542,Übersicht!$C$7,Verweise!$B$2:$B$4542,B3207)=1,"Feiertag",IF(C3207="Samstag","",IF(C3207="Sonntag","",Übersicht!$C$8)))</f>
        <v>Feiertag</v>
      </c>
    </row>
    <row r="3208" spans="1:4" x14ac:dyDescent="0.25">
      <c r="A3208" t="s">
        <v>65</v>
      </c>
      <c r="B3208" s="48">
        <v>46381</v>
      </c>
      <c r="C3208" t="s">
        <v>56</v>
      </c>
      <c r="D3208" t="str">
        <f>IF(COUNTIFS(Verweise!$A$2:$A$4542,Übersicht!$C$7,Verweise!$B$2:$B$4542,B3208)=1,"Feiertag",IF(C3208="Samstag","",IF(C3208="Sonntag","",Übersicht!$C$8)))</f>
        <v>Feiertag</v>
      </c>
    </row>
    <row r="3209" spans="1:4" x14ac:dyDescent="0.25">
      <c r="A3209" t="s">
        <v>66</v>
      </c>
      <c r="B3209" s="48">
        <v>46022</v>
      </c>
      <c r="C3209" t="s">
        <v>43</v>
      </c>
      <c r="D3209" t="str">
        <f>IF(COUNTIFS(Verweise!$A$2:$A$4542,Übersicht!$C$7,Verweise!$B$2:$B$4542,B3209)=1,"Feiertag",IF(C3209="Samstag","",IF(C3209="Sonntag","",Übersicht!$C$8)))</f>
        <v>Feiertag</v>
      </c>
    </row>
    <row r="3210" spans="1:4" x14ac:dyDescent="0.25">
      <c r="A3210" t="s">
        <v>66</v>
      </c>
      <c r="B3210" s="48">
        <v>46130</v>
      </c>
      <c r="C3210" t="s">
        <v>45</v>
      </c>
      <c r="D3210" t="str">
        <f>IF(COUNTIFS(Verweise!$A$2:$A$4542,Übersicht!$C$7,Verweise!$B$2:$B$4542,B3210)=1,"Feiertag",IF(C3210="Samstag","",IF(C3210="Sonntag","",Übersicht!$C$8)))</f>
        <v>Feiertag</v>
      </c>
    </row>
    <row r="3211" spans="1:4" x14ac:dyDescent="0.25">
      <c r="A3211" t="s">
        <v>66</v>
      </c>
      <c r="B3211" s="48">
        <v>46132</v>
      </c>
      <c r="C3211" t="s">
        <v>46</v>
      </c>
      <c r="D3211" t="str">
        <f>IF(COUNTIFS(Verweise!$A$2:$A$4542,Übersicht!$C$7,Verweise!$B$2:$B$4542,B3211)=1,"Feiertag",IF(C3211="Samstag","",IF(C3211="Sonntag","",Übersicht!$C$8)))</f>
        <v>Feiertag</v>
      </c>
    </row>
    <row r="3212" spans="1:4" x14ac:dyDescent="0.25">
      <c r="A3212" t="s">
        <v>66</v>
      </c>
      <c r="B3212" s="48">
        <v>46133</v>
      </c>
      <c r="C3212" t="s">
        <v>47</v>
      </c>
      <c r="D3212" t="str">
        <f>IF(COUNTIFS(Verweise!$A$2:$A$4542,Übersicht!$C$7,Verweise!$B$2:$B$4542,B3212)=1,"Feiertag",IF(C3212="Samstag","",IF(C3212="Sonntag","",Übersicht!$C$8)))</f>
        <v>Feiertag</v>
      </c>
    </row>
    <row r="3213" spans="1:4" x14ac:dyDescent="0.25">
      <c r="A3213" t="s">
        <v>66</v>
      </c>
      <c r="B3213" s="48">
        <v>46142</v>
      </c>
      <c r="C3213" t="s">
        <v>48</v>
      </c>
      <c r="D3213" t="str">
        <f>IF(COUNTIFS(Verweise!$A$2:$A$4542,Übersicht!$C$7,Verweise!$B$2:$B$4542,B3213)=1,"Feiertag",IF(C3213="Samstag","",IF(C3213="Sonntag","",Übersicht!$C$8)))</f>
        <v>Feiertag</v>
      </c>
    </row>
    <row r="3214" spans="1:4" x14ac:dyDescent="0.25">
      <c r="A3214" t="s">
        <v>66</v>
      </c>
      <c r="B3214" s="48">
        <v>46171</v>
      </c>
      <c r="C3214" t="s">
        <v>49</v>
      </c>
      <c r="D3214" t="str">
        <f>IF(COUNTIFS(Verweise!$A$2:$A$4542,Übersicht!$C$7,Verweise!$B$2:$B$4542,B3214)=1,"Feiertag",IF(C3214="Samstag","",IF(C3214="Sonntag","",Übersicht!$C$8)))</f>
        <v>Feiertag</v>
      </c>
    </row>
    <row r="3215" spans="1:4" x14ac:dyDescent="0.25">
      <c r="A3215" t="s">
        <v>66</v>
      </c>
      <c r="B3215" s="48">
        <v>46181</v>
      </c>
      <c r="C3215" t="s">
        <v>50</v>
      </c>
      <c r="D3215" t="str">
        <f>IF(COUNTIFS(Verweise!$A$2:$A$4542,Übersicht!$C$7,Verweise!$B$2:$B$4542,B3215)=1,"Feiertag",IF(C3215="Samstag","",IF(C3215="Sonntag","",Übersicht!$C$8)))</f>
        <v>Feiertag</v>
      </c>
    </row>
    <row r="3216" spans="1:4" x14ac:dyDescent="0.25">
      <c r="A3216" t="s">
        <v>66</v>
      </c>
      <c r="B3216" s="48">
        <v>46182</v>
      </c>
      <c r="C3216" t="s">
        <v>51</v>
      </c>
      <c r="D3216" t="str">
        <f>IF(COUNTIFS(Verweise!$A$2:$A$4542,Übersicht!$C$7,Verweise!$B$2:$B$4542,B3216)=1,"Feiertag",IF(C3216="Samstag","",IF(C3216="Sonntag","",Übersicht!$C$8)))</f>
        <v>Feiertag</v>
      </c>
    </row>
    <row r="3217" spans="1:4" x14ac:dyDescent="0.25">
      <c r="A3217" t="s">
        <v>66</v>
      </c>
      <c r="B3217" s="48">
        <v>46297</v>
      </c>
      <c r="C3217" t="s">
        <v>53</v>
      </c>
      <c r="D3217" t="str">
        <f>IF(COUNTIFS(Verweise!$A$2:$A$4542,Übersicht!$C$7,Verweise!$B$2:$B$4542,B3217)=1,"Feiertag",IF(C3217="Samstag","",IF(C3217="Sonntag","",Übersicht!$C$8)))</f>
        <v>Feiertag</v>
      </c>
    </row>
    <row r="3218" spans="1:4" x14ac:dyDescent="0.25">
      <c r="A3218" t="s">
        <v>66</v>
      </c>
      <c r="B3218" s="48">
        <v>46325</v>
      </c>
      <c r="C3218" t="s">
        <v>62</v>
      </c>
      <c r="D3218" t="str">
        <f>IF(COUNTIFS(Verweise!$A$2:$A$4542,Übersicht!$C$7,Verweise!$B$2:$B$4542,B3218)=1,"Feiertag",IF(C3218="Samstag","",IF(C3218="Sonntag","",Übersicht!$C$8)))</f>
        <v>Büro</v>
      </c>
    </row>
    <row r="3219" spans="1:4" x14ac:dyDescent="0.25">
      <c r="A3219" t="s">
        <v>66</v>
      </c>
      <c r="B3219" s="48">
        <v>46380</v>
      </c>
      <c r="C3219" t="s">
        <v>55</v>
      </c>
      <c r="D3219" t="str">
        <f>IF(COUNTIFS(Verweise!$A$2:$A$4542,Übersicht!$C$7,Verweise!$B$2:$B$4542,B3219)=1,"Feiertag",IF(C3219="Samstag","",IF(C3219="Sonntag","",Übersicht!$C$8)))</f>
        <v>Feiertag</v>
      </c>
    </row>
    <row r="3220" spans="1:4" x14ac:dyDescent="0.25">
      <c r="A3220" t="s">
        <v>66</v>
      </c>
      <c r="B3220" s="48">
        <v>46381</v>
      </c>
      <c r="C3220" t="s">
        <v>56</v>
      </c>
      <c r="D3220" t="str">
        <f>IF(COUNTIFS(Verweise!$A$2:$A$4542,Übersicht!$C$7,Verweise!$B$2:$B$4542,B3220)=1,"Feiertag",IF(C3220="Samstag","",IF(C3220="Sonntag","",Übersicht!$C$8)))</f>
        <v>Feiertag</v>
      </c>
    </row>
    <row r="3221" spans="1:4" x14ac:dyDescent="0.25">
      <c r="A3221" t="s">
        <v>67</v>
      </c>
      <c r="B3221" s="48">
        <v>46022</v>
      </c>
      <c r="C3221" t="s">
        <v>43</v>
      </c>
      <c r="D3221" t="str">
        <f>IF(COUNTIFS(Verweise!$A$2:$A$4542,Übersicht!$C$7,Verweise!$B$2:$B$4542,B3221)=1,"Feiertag",IF(C3221="Samstag","",IF(C3221="Sonntag","",Übersicht!$C$8)))</f>
        <v>Feiertag</v>
      </c>
    </row>
    <row r="3222" spans="1:4" x14ac:dyDescent="0.25">
      <c r="A3222" t="s">
        <v>67</v>
      </c>
      <c r="B3222" s="48">
        <v>46130</v>
      </c>
      <c r="C3222" t="s">
        <v>45</v>
      </c>
      <c r="D3222" t="str">
        <f>IF(COUNTIFS(Verweise!$A$2:$A$4542,Übersicht!$C$7,Verweise!$B$2:$B$4542,B3222)=1,"Feiertag",IF(C3222="Samstag","",IF(C3222="Sonntag","",Übersicht!$C$8)))</f>
        <v>Feiertag</v>
      </c>
    </row>
    <row r="3223" spans="1:4" x14ac:dyDescent="0.25">
      <c r="A3223" t="s">
        <v>67</v>
      </c>
      <c r="B3223" s="48">
        <v>46132</v>
      </c>
      <c r="C3223" t="s">
        <v>46</v>
      </c>
      <c r="D3223" t="str">
        <f>IF(COUNTIFS(Verweise!$A$2:$A$4542,Übersicht!$C$7,Verweise!$B$2:$B$4542,B3223)=1,"Feiertag",IF(C3223="Samstag","",IF(C3223="Sonntag","",Übersicht!$C$8)))</f>
        <v>Feiertag</v>
      </c>
    </row>
    <row r="3224" spans="1:4" x14ac:dyDescent="0.25">
      <c r="A3224" t="s">
        <v>67</v>
      </c>
      <c r="B3224" s="48">
        <v>46133</v>
      </c>
      <c r="C3224" t="s">
        <v>47</v>
      </c>
      <c r="D3224" t="str">
        <f>IF(COUNTIFS(Verweise!$A$2:$A$4542,Übersicht!$C$7,Verweise!$B$2:$B$4542,B3224)=1,"Feiertag",IF(C3224="Samstag","",IF(C3224="Sonntag","",Übersicht!$C$8)))</f>
        <v>Feiertag</v>
      </c>
    </row>
    <row r="3225" spans="1:4" x14ac:dyDescent="0.25">
      <c r="A3225" t="s">
        <v>67</v>
      </c>
      <c r="B3225" s="48">
        <v>46142</v>
      </c>
      <c r="C3225" t="s">
        <v>48</v>
      </c>
      <c r="D3225" t="str">
        <f>IF(COUNTIFS(Verweise!$A$2:$A$4542,Übersicht!$C$7,Verweise!$B$2:$B$4542,B3225)=1,"Feiertag",IF(C3225="Samstag","",IF(C3225="Sonntag","",Übersicht!$C$8)))</f>
        <v>Feiertag</v>
      </c>
    </row>
    <row r="3226" spans="1:4" x14ac:dyDescent="0.25">
      <c r="A3226" t="s">
        <v>67</v>
      </c>
      <c r="B3226" s="48">
        <v>46171</v>
      </c>
      <c r="C3226" t="s">
        <v>49</v>
      </c>
      <c r="D3226" t="str">
        <f>IF(COUNTIFS(Verweise!$A$2:$A$4542,Übersicht!$C$7,Verweise!$B$2:$B$4542,B3226)=1,"Feiertag",IF(C3226="Samstag","",IF(C3226="Sonntag","",Übersicht!$C$8)))</f>
        <v>Feiertag</v>
      </c>
    </row>
    <row r="3227" spans="1:4" x14ac:dyDescent="0.25">
      <c r="A3227" t="s">
        <v>67</v>
      </c>
      <c r="B3227" s="48">
        <v>46181</v>
      </c>
      <c r="C3227" t="s">
        <v>50</v>
      </c>
      <c r="D3227" t="str">
        <f>IF(COUNTIFS(Verweise!$A$2:$A$4542,Übersicht!$C$7,Verweise!$B$2:$B$4542,B3227)=1,"Feiertag",IF(C3227="Samstag","",IF(C3227="Sonntag","",Übersicht!$C$8)))</f>
        <v>Feiertag</v>
      </c>
    </row>
    <row r="3228" spans="1:4" x14ac:dyDescent="0.25">
      <c r="A3228" t="s">
        <v>67</v>
      </c>
      <c r="B3228" s="48">
        <v>46182</v>
      </c>
      <c r="C3228" t="s">
        <v>51</v>
      </c>
      <c r="D3228" t="str">
        <f>IF(COUNTIFS(Verweise!$A$2:$A$4542,Übersicht!$C$7,Verweise!$B$2:$B$4542,B3228)=1,"Feiertag",IF(C3228="Samstag","",IF(C3228="Sonntag","",Übersicht!$C$8)))</f>
        <v>Feiertag</v>
      </c>
    </row>
    <row r="3229" spans="1:4" x14ac:dyDescent="0.25">
      <c r="A3229" t="s">
        <v>67</v>
      </c>
      <c r="B3229" s="48">
        <v>46297</v>
      </c>
      <c r="C3229" t="s">
        <v>53</v>
      </c>
      <c r="D3229" t="str">
        <f>IF(COUNTIFS(Verweise!$A$2:$A$4542,Übersicht!$C$7,Verweise!$B$2:$B$4542,B3229)=1,"Feiertag",IF(C3229="Samstag","",IF(C3229="Sonntag","",Übersicht!$C$8)))</f>
        <v>Feiertag</v>
      </c>
    </row>
    <row r="3230" spans="1:4" x14ac:dyDescent="0.25">
      <c r="A3230" t="s">
        <v>67</v>
      </c>
      <c r="B3230" s="48">
        <v>46380</v>
      </c>
      <c r="C3230" t="s">
        <v>55</v>
      </c>
      <c r="D3230" t="str">
        <f>IF(COUNTIFS(Verweise!$A$2:$A$4542,Übersicht!$C$7,Verweise!$B$2:$B$4542,B3230)=1,"Feiertag",IF(C3230="Samstag","",IF(C3230="Sonntag","",Übersicht!$C$8)))</f>
        <v>Feiertag</v>
      </c>
    </row>
    <row r="3231" spans="1:4" x14ac:dyDescent="0.25">
      <c r="A3231" t="s">
        <v>67</v>
      </c>
      <c r="B3231" s="48">
        <v>46381</v>
      </c>
      <c r="C3231" t="s">
        <v>56</v>
      </c>
      <c r="D3231" t="str">
        <f>IF(COUNTIFS(Verweise!$A$2:$A$4542,Übersicht!$C$7,Verweise!$B$2:$B$4542,B3231)=1,"Feiertag",IF(C3231="Samstag","",IF(C3231="Sonntag","",Übersicht!$C$8)))</f>
        <v>Feiertag</v>
      </c>
    </row>
    <row r="3232" spans="1:4" x14ac:dyDescent="0.25">
      <c r="A3232" t="s">
        <v>68</v>
      </c>
      <c r="B3232" s="48">
        <v>46022</v>
      </c>
      <c r="C3232" t="s">
        <v>43</v>
      </c>
      <c r="D3232" t="str">
        <f>IF(COUNTIFS(Verweise!$A$2:$A$4542,Übersicht!$C$7,Verweise!$B$2:$B$4542,B3232)=1,"Feiertag",IF(C3232="Samstag","",IF(C3232="Sonntag","",Übersicht!$C$8)))</f>
        <v>Feiertag</v>
      </c>
    </row>
    <row r="3233" spans="1:4" x14ac:dyDescent="0.25">
      <c r="A3233" t="s">
        <v>68</v>
      </c>
      <c r="B3233" s="48">
        <v>46130</v>
      </c>
      <c r="C3233" t="s">
        <v>45</v>
      </c>
      <c r="D3233" t="str">
        <f>IF(COUNTIFS(Verweise!$A$2:$A$4542,Übersicht!$C$7,Verweise!$B$2:$B$4542,B3233)=1,"Feiertag",IF(C3233="Samstag","",IF(C3233="Sonntag","",Übersicht!$C$8)))</f>
        <v>Feiertag</v>
      </c>
    </row>
    <row r="3234" spans="1:4" x14ac:dyDescent="0.25">
      <c r="A3234" t="s">
        <v>68</v>
      </c>
      <c r="B3234" s="48">
        <v>46132</v>
      </c>
      <c r="C3234" t="s">
        <v>46</v>
      </c>
      <c r="D3234" t="str">
        <f>IF(COUNTIFS(Verweise!$A$2:$A$4542,Übersicht!$C$7,Verweise!$B$2:$B$4542,B3234)=1,"Feiertag",IF(C3234="Samstag","",IF(C3234="Sonntag","",Übersicht!$C$8)))</f>
        <v>Feiertag</v>
      </c>
    </row>
    <row r="3235" spans="1:4" x14ac:dyDescent="0.25">
      <c r="A3235" t="s">
        <v>68</v>
      </c>
      <c r="B3235" s="48">
        <v>46133</v>
      </c>
      <c r="C3235" t="s">
        <v>47</v>
      </c>
      <c r="D3235" t="str">
        <f>IF(COUNTIFS(Verweise!$A$2:$A$4542,Übersicht!$C$7,Verweise!$B$2:$B$4542,B3235)=1,"Feiertag",IF(C3235="Samstag","",IF(C3235="Sonntag","",Übersicht!$C$8)))</f>
        <v>Feiertag</v>
      </c>
    </row>
    <row r="3236" spans="1:4" x14ac:dyDescent="0.25">
      <c r="A3236" t="s">
        <v>68</v>
      </c>
      <c r="B3236" s="48">
        <v>46142</v>
      </c>
      <c r="C3236" t="s">
        <v>48</v>
      </c>
      <c r="D3236" t="str">
        <f>IF(COUNTIFS(Verweise!$A$2:$A$4542,Übersicht!$C$7,Verweise!$B$2:$B$4542,B3236)=1,"Feiertag",IF(C3236="Samstag","",IF(C3236="Sonntag","",Übersicht!$C$8)))</f>
        <v>Feiertag</v>
      </c>
    </row>
    <row r="3237" spans="1:4" x14ac:dyDescent="0.25">
      <c r="A3237" t="s">
        <v>68</v>
      </c>
      <c r="B3237" s="48">
        <v>46171</v>
      </c>
      <c r="C3237" t="s">
        <v>49</v>
      </c>
      <c r="D3237" t="str">
        <f>IF(COUNTIFS(Verweise!$A$2:$A$4542,Übersicht!$C$7,Verweise!$B$2:$B$4542,B3237)=1,"Feiertag",IF(C3237="Samstag","",IF(C3237="Sonntag","",Übersicht!$C$8)))</f>
        <v>Feiertag</v>
      </c>
    </row>
    <row r="3238" spans="1:4" x14ac:dyDescent="0.25">
      <c r="A3238" t="s">
        <v>68</v>
      </c>
      <c r="B3238" s="48">
        <v>46181</v>
      </c>
      <c r="C3238" t="s">
        <v>50</v>
      </c>
      <c r="D3238" t="str">
        <f>IF(COUNTIFS(Verweise!$A$2:$A$4542,Übersicht!$C$7,Verweise!$B$2:$B$4542,B3238)=1,"Feiertag",IF(C3238="Samstag","",IF(C3238="Sonntag","",Übersicht!$C$8)))</f>
        <v>Feiertag</v>
      </c>
    </row>
    <row r="3239" spans="1:4" x14ac:dyDescent="0.25">
      <c r="A3239" t="s">
        <v>68</v>
      </c>
      <c r="B3239" s="48">
        <v>46182</v>
      </c>
      <c r="C3239" t="s">
        <v>51</v>
      </c>
      <c r="D3239" t="str">
        <f>IF(COUNTIFS(Verweise!$A$2:$A$4542,Übersicht!$C$7,Verweise!$B$2:$B$4542,B3239)=1,"Feiertag",IF(C3239="Samstag","",IF(C3239="Sonntag","",Übersicht!$C$8)))</f>
        <v>Feiertag</v>
      </c>
    </row>
    <row r="3240" spans="1:4" x14ac:dyDescent="0.25">
      <c r="A3240" t="s">
        <v>68</v>
      </c>
      <c r="B3240" s="48">
        <v>46192</v>
      </c>
      <c r="C3240" t="s">
        <v>52</v>
      </c>
      <c r="D3240" t="str">
        <f>IF(COUNTIFS(Verweise!$A$2:$A$4542,Übersicht!$C$7,Verweise!$B$2:$B$4542,B3240)=1,"Feiertag",IF(C3240="Samstag","",IF(C3240="Sonntag","",Übersicht!$C$8)))</f>
        <v>Feiertag</v>
      </c>
    </row>
    <row r="3241" spans="1:4" x14ac:dyDescent="0.25">
      <c r="A3241" t="s">
        <v>68</v>
      </c>
      <c r="B3241" s="48">
        <v>46297</v>
      </c>
      <c r="C3241" t="s">
        <v>53</v>
      </c>
      <c r="D3241" t="str">
        <f>IF(COUNTIFS(Verweise!$A$2:$A$4542,Übersicht!$C$7,Verweise!$B$2:$B$4542,B3241)=1,"Feiertag",IF(C3241="Samstag","",IF(C3241="Sonntag","",Übersicht!$C$8)))</f>
        <v>Feiertag</v>
      </c>
    </row>
    <row r="3242" spans="1:4" x14ac:dyDescent="0.25">
      <c r="A3242" t="s">
        <v>68</v>
      </c>
      <c r="B3242" s="48">
        <v>46326</v>
      </c>
      <c r="C3242" t="s">
        <v>54</v>
      </c>
      <c r="D3242" t="str">
        <f>IF(COUNTIFS(Verweise!$A$2:$A$4542,Übersicht!$C$7,Verweise!$B$2:$B$4542,B3242)=1,"Feiertag",IF(C3242="Samstag","",IF(C3242="Sonntag","",Übersicht!$C$8)))</f>
        <v>Feiertag</v>
      </c>
    </row>
    <row r="3243" spans="1:4" x14ac:dyDescent="0.25">
      <c r="A3243" t="s">
        <v>68</v>
      </c>
      <c r="B3243" s="48">
        <v>46380</v>
      </c>
      <c r="C3243" t="s">
        <v>55</v>
      </c>
      <c r="D3243" t="str">
        <f>IF(COUNTIFS(Verweise!$A$2:$A$4542,Übersicht!$C$7,Verweise!$B$2:$B$4542,B3243)=1,"Feiertag",IF(C3243="Samstag","",IF(C3243="Sonntag","",Übersicht!$C$8)))</f>
        <v>Feiertag</v>
      </c>
    </row>
    <row r="3244" spans="1:4" x14ac:dyDescent="0.25">
      <c r="A3244" t="s">
        <v>68</v>
      </c>
      <c r="B3244" s="48">
        <v>46381</v>
      </c>
      <c r="C3244" t="s">
        <v>56</v>
      </c>
      <c r="D3244" t="str">
        <f>IF(COUNTIFS(Verweise!$A$2:$A$4542,Übersicht!$C$7,Verweise!$B$2:$B$4542,B3244)=1,"Feiertag",IF(C3244="Samstag","",IF(C3244="Sonntag","",Übersicht!$C$8)))</f>
        <v>Feiertag</v>
      </c>
    </row>
    <row r="3245" spans="1:4" x14ac:dyDescent="0.25">
      <c r="A3245" t="s">
        <v>69</v>
      </c>
      <c r="B3245" s="48">
        <v>46022</v>
      </c>
      <c r="C3245" t="s">
        <v>43</v>
      </c>
      <c r="D3245" t="str">
        <f>IF(COUNTIFS(Verweise!$A$2:$A$4542,Übersicht!$C$7,Verweise!$B$2:$B$4542,B3245)=1,"Feiertag",IF(C3245="Samstag","",IF(C3245="Sonntag","",Übersicht!$C$8)))</f>
        <v>Feiertag</v>
      </c>
    </row>
    <row r="3246" spans="1:4" x14ac:dyDescent="0.25">
      <c r="A3246" t="s">
        <v>69</v>
      </c>
      <c r="B3246" s="48">
        <v>46130</v>
      </c>
      <c r="C3246" t="s">
        <v>45</v>
      </c>
      <c r="D3246" t="str">
        <f>IF(COUNTIFS(Verweise!$A$2:$A$4542,Übersicht!$C$7,Verweise!$B$2:$B$4542,B3246)=1,"Feiertag",IF(C3246="Samstag","",IF(C3246="Sonntag","",Übersicht!$C$8)))</f>
        <v>Feiertag</v>
      </c>
    </row>
    <row r="3247" spans="1:4" x14ac:dyDescent="0.25">
      <c r="A3247" t="s">
        <v>69</v>
      </c>
      <c r="B3247" s="48">
        <v>46132</v>
      </c>
      <c r="C3247" t="s">
        <v>46</v>
      </c>
      <c r="D3247" t="str">
        <f>IF(COUNTIFS(Verweise!$A$2:$A$4542,Übersicht!$C$7,Verweise!$B$2:$B$4542,B3247)=1,"Feiertag",IF(C3247="Samstag","",IF(C3247="Sonntag","",Übersicht!$C$8)))</f>
        <v>Feiertag</v>
      </c>
    </row>
    <row r="3248" spans="1:4" x14ac:dyDescent="0.25">
      <c r="A3248" t="s">
        <v>69</v>
      </c>
      <c r="B3248" s="48">
        <v>46133</v>
      </c>
      <c r="C3248" t="s">
        <v>47</v>
      </c>
      <c r="D3248" t="str">
        <f>IF(COUNTIFS(Verweise!$A$2:$A$4542,Übersicht!$C$7,Verweise!$B$2:$B$4542,B3248)=1,"Feiertag",IF(C3248="Samstag","",IF(C3248="Sonntag","",Übersicht!$C$8)))</f>
        <v>Feiertag</v>
      </c>
    </row>
    <row r="3249" spans="1:4" x14ac:dyDescent="0.25">
      <c r="A3249" t="s">
        <v>69</v>
      </c>
      <c r="B3249" s="48">
        <v>46142</v>
      </c>
      <c r="C3249" t="s">
        <v>48</v>
      </c>
      <c r="D3249" t="str">
        <f>IF(COUNTIFS(Verweise!$A$2:$A$4542,Übersicht!$C$7,Verweise!$B$2:$B$4542,B3249)=1,"Feiertag",IF(C3249="Samstag","",IF(C3249="Sonntag","",Übersicht!$C$8)))</f>
        <v>Feiertag</v>
      </c>
    </row>
    <row r="3250" spans="1:4" x14ac:dyDescent="0.25">
      <c r="A3250" t="s">
        <v>69</v>
      </c>
      <c r="B3250" s="48">
        <v>46171</v>
      </c>
      <c r="C3250" t="s">
        <v>49</v>
      </c>
      <c r="D3250" t="str">
        <f>IF(COUNTIFS(Verweise!$A$2:$A$4542,Übersicht!$C$7,Verweise!$B$2:$B$4542,B3250)=1,"Feiertag",IF(C3250="Samstag","",IF(C3250="Sonntag","",Übersicht!$C$8)))</f>
        <v>Feiertag</v>
      </c>
    </row>
    <row r="3251" spans="1:4" x14ac:dyDescent="0.25">
      <c r="A3251" t="s">
        <v>69</v>
      </c>
      <c r="B3251" s="48">
        <v>46181</v>
      </c>
      <c r="C3251" t="s">
        <v>50</v>
      </c>
      <c r="D3251" t="str">
        <f>IF(COUNTIFS(Verweise!$A$2:$A$4542,Übersicht!$C$7,Verweise!$B$2:$B$4542,B3251)=1,"Feiertag",IF(C3251="Samstag","",IF(C3251="Sonntag","",Übersicht!$C$8)))</f>
        <v>Feiertag</v>
      </c>
    </row>
    <row r="3252" spans="1:4" x14ac:dyDescent="0.25">
      <c r="A3252" t="s">
        <v>69</v>
      </c>
      <c r="B3252" s="48">
        <v>46182</v>
      </c>
      <c r="C3252" t="s">
        <v>51</v>
      </c>
      <c r="D3252" t="str">
        <f>IF(COUNTIFS(Verweise!$A$2:$A$4542,Übersicht!$C$7,Verweise!$B$2:$B$4542,B3252)=1,"Feiertag",IF(C3252="Samstag","",IF(C3252="Sonntag","",Übersicht!$C$8)))</f>
        <v>Feiertag</v>
      </c>
    </row>
    <row r="3253" spans="1:4" x14ac:dyDescent="0.25">
      <c r="A3253" t="s">
        <v>69</v>
      </c>
      <c r="B3253" s="48">
        <v>46192</v>
      </c>
      <c r="C3253" t="s">
        <v>52</v>
      </c>
      <c r="D3253" t="str">
        <f>IF(COUNTIFS(Verweise!$A$2:$A$4542,Übersicht!$C$7,Verweise!$B$2:$B$4542,B3253)=1,"Feiertag",IF(C3253="Samstag","",IF(C3253="Sonntag","",Übersicht!$C$8)))</f>
        <v>Feiertag</v>
      </c>
    </row>
    <row r="3254" spans="1:4" x14ac:dyDescent="0.25">
      <c r="A3254" t="s">
        <v>69</v>
      </c>
      <c r="B3254" s="48">
        <v>46297</v>
      </c>
      <c r="C3254" t="s">
        <v>53</v>
      </c>
      <c r="D3254" t="str">
        <f>IF(COUNTIFS(Verweise!$A$2:$A$4542,Übersicht!$C$7,Verweise!$B$2:$B$4542,B3254)=1,"Feiertag",IF(C3254="Samstag","",IF(C3254="Sonntag","",Übersicht!$C$8)))</f>
        <v>Feiertag</v>
      </c>
    </row>
    <row r="3255" spans="1:4" x14ac:dyDescent="0.25">
      <c r="A3255" t="s">
        <v>69</v>
      </c>
      <c r="B3255" s="48">
        <v>46326</v>
      </c>
      <c r="C3255" t="s">
        <v>54</v>
      </c>
      <c r="D3255" t="str">
        <f>IF(COUNTIFS(Verweise!$A$2:$A$4542,Übersicht!$C$7,Verweise!$B$2:$B$4542,B3255)=1,"Feiertag",IF(C3255="Samstag","",IF(C3255="Sonntag","",Übersicht!$C$8)))</f>
        <v>Feiertag</v>
      </c>
    </row>
    <row r="3256" spans="1:4" x14ac:dyDescent="0.25">
      <c r="A3256" t="s">
        <v>69</v>
      </c>
      <c r="B3256" s="48">
        <v>46380</v>
      </c>
      <c r="C3256" t="s">
        <v>55</v>
      </c>
      <c r="D3256" t="str">
        <f>IF(COUNTIFS(Verweise!$A$2:$A$4542,Übersicht!$C$7,Verweise!$B$2:$B$4542,B3256)=1,"Feiertag",IF(C3256="Samstag","",IF(C3256="Sonntag","",Übersicht!$C$8)))</f>
        <v>Feiertag</v>
      </c>
    </row>
    <row r="3257" spans="1:4" x14ac:dyDescent="0.25">
      <c r="A3257" t="s">
        <v>69</v>
      </c>
      <c r="B3257" s="48">
        <v>46381</v>
      </c>
      <c r="C3257" t="s">
        <v>56</v>
      </c>
      <c r="D3257" t="str">
        <f>IF(COUNTIFS(Verweise!$A$2:$A$4542,Übersicht!$C$7,Verweise!$B$2:$B$4542,B3257)=1,"Feiertag",IF(C3257="Samstag","",IF(C3257="Sonntag","",Übersicht!$C$8)))</f>
        <v>Feiertag</v>
      </c>
    </row>
    <row r="3258" spans="1:4" x14ac:dyDescent="0.25">
      <c r="A3258" t="s">
        <v>70</v>
      </c>
      <c r="B3258" s="48">
        <v>46022</v>
      </c>
      <c r="C3258" t="s">
        <v>43</v>
      </c>
      <c r="D3258" t="str">
        <f>IF(COUNTIFS(Verweise!$A$2:$A$4542,Übersicht!$C$7,Verweise!$B$2:$B$4542,B3258)=1,"Feiertag",IF(C3258="Samstag","",IF(C3258="Sonntag","",Übersicht!$C$8)))</f>
        <v>Feiertag</v>
      </c>
    </row>
    <row r="3259" spans="1:4" x14ac:dyDescent="0.25">
      <c r="A3259" t="s">
        <v>70</v>
      </c>
      <c r="B3259" s="48">
        <v>46130</v>
      </c>
      <c r="C3259" t="s">
        <v>45</v>
      </c>
      <c r="D3259" t="str">
        <f>IF(COUNTIFS(Verweise!$A$2:$A$4542,Übersicht!$C$7,Verweise!$B$2:$B$4542,B3259)=1,"Feiertag",IF(C3259="Samstag","",IF(C3259="Sonntag","",Übersicht!$C$8)))</f>
        <v>Feiertag</v>
      </c>
    </row>
    <row r="3260" spans="1:4" x14ac:dyDescent="0.25">
      <c r="A3260" t="s">
        <v>70</v>
      </c>
      <c r="B3260" s="48">
        <v>46132</v>
      </c>
      <c r="C3260" t="s">
        <v>46</v>
      </c>
      <c r="D3260" t="str">
        <f>IF(COUNTIFS(Verweise!$A$2:$A$4542,Übersicht!$C$7,Verweise!$B$2:$B$4542,B3260)=1,"Feiertag",IF(C3260="Samstag","",IF(C3260="Sonntag","",Übersicht!$C$8)))</f>
        <v>Feiertag</v>
      </c>
    </row>
    <row r="3261" spans="1:4" x14ac:dyDescent="0.25">
      <c r="A3261" t="s">
        <v>70</v>
      </c>
      <c r="B3261" s="48">
        <v>46133</v>
      </c>
      <c r="C3261" t="s">
        <v>47</v>
      </c>
      <c r="D3261" t="str">
        <f>IF(COUNTIFS(Verweise!$A$2:$A$4542,Übersicht!$C$7,Verweise!$B$2:$B$4542,B3261)=1,"Feiertag",IF(C3261="Samstag","",IF(C3261="Sonntag","",Übersicht!$C$8)))</f>
        <v>Feiertag</v>
      </c>
    </row>
    <row r="3262" spans="1:4" x14ac:dyDescent="0.25">
      <c r="A3262" t="s">
        <v>70</v>
      </c>
      <c r="B3262" s="48">
        <v>46142</v>
      </c>
      <c r="C3262" t="s">
        <v>48</v>
      </c>
      <c r="D3262" t="str">
        <f>IF(COUNTIFS(Verweise!$A$2:$A$4542,Übersicht!$C$7,Verweise!$B$2:$B$4542,B3262)=1,"Feiertag",IF(C3262="Samstag","",IF(C3262="Sonntag","",Übersicht!$C$8)))</f>
        <v>Feiertag</v>
      </c>
    </row>
    <row r="3263" spans="1:4" x14ac:dyDescent="0.25">
      <c r="A3263" t="s">
        <v>70</v>
      </c>
      <c r="B3263" s="48">
        <v>46171</v>
      </c>
      <c r="C3263" t="s">
        <v>49</v>
      </c>
      <c r="D3263" t="str">
        <f>IF(COUNTIFS(Verweise!$A$2:$A$4542,Übersicht!$C$7,Verweise!$B$2:$B$4542,B3263)=1,"Feiertag",IF(C3263="Samstag","",IF(C3263="Sonntag","",Übersicht!$C$8)))</f>
        <v>Feiertag</v>
      </c>
    </row>
    <row r="3264" spans="1:4" x14ac:dyDescent="0.25">
      <c r="A3264" t="s">
        <v>70</v>
      </c>
      <c r="B3264" s="48">
        <v>46181</v>
      </c>
      <c r="C3264" t="s">
        <v>50</v>
      </c>
      <c r="D3264" t="str">
        <f>IF(COUNTIFS(Verweise!$A$2:$A$4542,Übersicht!$C$7,Verweise!$B$2:$B$4542,B3264)=1,"Feiertag",IF(C3264="Samstag","",IF(C3264="Sonntag","",Übersicht!$C$8)))</f>
        <v>Feiertag</v>
      </c>
    </row>
    <row r="3265" spans="1:4" x14ac:dyDescent="0.25">
      <c r="A3265" t="s">
        <v>70</v>
      </c>
      <c r="B3265" s="48">
        <v>46182</v>
      </c>
      <c r="C3265" t="s">
        <v>51</v>
      </c>
      <c r="D3265" t="str">
        <f>IF(COUNTIFS(Verweise!$A$2:$A$4542,Übersicht!$C$7,Verweise!$B$2:$B$4542,B3265)=1,"Feiertag",IF(C3265="Samstag","",IF(C3265="Sonntag","",Übersicht!$C$8)))</f>
        <v>Feiertag</v>
      </c>
    </row>
    <row r="3266" spans="1:4" x14ac:dyDescent="0.25">
      <c r="A3266" t="s">
        <v>70</v>
      </c>
      <c r="B3266" s="48">
        <v>46192</v>
      </c>
      <c r="C3266" t="s">
        <v>52</v>
      </c>
      <c r="D3266" t="str">
        <f>IF(COUNTIFS(Verweise!$A$2:$A$4542,Übersicht!$C$7,Verweise!$B$2:$B$4542,B3266)=1,"Feiertag",IF(C3266="Samstag","",IF(C3266="Sonntag","",Übersicht!$C$8)))</f>
        <v>Feiertag</v>
      </c>
    </row>
    <row r="3267" spans="1:4" x14ac:dyDescent="0.25">
      <c r="A3267" t="s">
        <v>70</v>
      </c>
      <c r="B3267" s="48">
        <v>46248</v>
      </c>
      <c r="C3267" t="s">
        <v>59</v>
      </c>
      <c r="D3267" t="str">
        <f>IF(COUNTIFS(Verweise!$A$2:$A$4542,Übersicht!$C$7,Verweise!$B$2:$B$4542,B3267)=1,"Feiertag",IF(C3267="Samstag","",IF(C3267="Sonntag","",Übersicht!$C$8)))</f>
        <v>Büro</v>
      </c>
    </row>
    <row r="3268" spans="1:4" x14ac:dyDescent="0.25">
      <c r="A3268" t="s">
        <v>70</v>
      </c>
      <c r="B3268" s="48">
        <v>46297</v>
      </c>
      <c r="C3268" t="s">
        <v>53</v>
      </c>
      <c r="D3268" t="str">
        <f>IF(COUNTIFS(Verweise!$A$2:$A$4542,Übersicht!$C$7,Verweise!$B$2:$B$4542,B3268)=1,"Feiertag",IF(C3268="Samstag","",IF(C3268="Sonntag","",Übersicht!$C$8)))</f>
        <v>Feiertag</v>
      </c>
    </row>
    <row r="3269" spans="1:4" x14ac:dyDescent="0.25">
      <c r="A3269" t="s">
        <v>70</v>
      </c>
      <c r="B3269" s="48">
        <v>46326</v>
      </c>
      <c r="C3269" t="s">
        <v>54</v>
      </c>
      <c r="D3269" t="str">
        <f>IF(COUNTIFS(Verweise!$A$2:$A$4542,Übersicht!$C$7,Verweise!$B$2:$B$4542,B3269)=1,"Feiertag",IF(C3269="Samstag","",IF(C3269="Sonntag","",Übersicht!$C$8)))</f>
        <v>Feiertag</v>
      </c>
    </row>
    <row r="3270" spans="1:4" x14ac:dyDescent="0.25">
      <c r="A3270" t="s">
        <v>70</v>
      </c>
      <c r="B3270" s="48">
        <v>46380</v>
      </c>
      <c r="C3270" t="s">
        <v>55</v>
      </c>
      <c r="D3270" t="str">
        <f>IF(COUNTIFS(Verweise!$A$2:$A$4542,Übersicht!$C$7,Verweise!$B$2:$B$4542,B3270)=1,"Feiertag",IF(C3270="Samstag","",IF(C3270="Sonntag","",Übersicht!$C$8)))</f>
        <v>Feiertag</v>
      </c>
    </row>
    <row r="3271" spans="1:4" x14ac:dyDescent="0.25">
      <c r="A3271" t="s">
        <v>70</v>
      </c>
      <c r="B3271" s="48">
        <v>46381</v>
      </c>
      <c r="C3271" t="s">
        <v>56</v>
      </c>
      <c r="D3271" t="str">
        <f>IF(COUNTIFS(Verweise!$A$2:$A$4542,Übersicht!$C$7,Verweise!$B$2:$B$4542,B3271)=1,"Feiertag",IF(C3271="Samstag","",IF(C3271="Sonntag","",Übersicht!$C$8)))</f>
        <v>Feiertag</v>
      </c>
    </row>
    <row r="3272" spans="1:4" x14ac:dyDescent="0.25">
      <c r="A3272" t="s">
        <v>71</v>
      </c>
      <c r="B3272" s="48">
        <v>46022</v>
      </c>
      <c r="C3272" t="s">
        <v>43</v>
      </c>
      <c r="D3272" t="str">
        <f>IF(COUNTIFS(Verweise!$A$2:$A$4542,Übersicht!$C$7,Verweise!$B$2:$B$4542,B3272)=1,"Feiertag",IF(C3272="Samstag","",IF(C3272="Sonntag","",Übersicht!$C$8)))</f>
        <v>Feiertag</v>
      </c>
    </row>
    <row r="3273" spans="1:4" x14ac:dyDescent="0.25">
      <c r="A3273" t="s">
        <v>71</v>
      </c>
      <c r="B3273" s="48">
        <v>46130</v>
      </c>
      <c r="C3273" t="s">
        <v>45</v>
      </c>
      <c r="D3273" t="str">
        <f>IF(COUNTIFS(Verweise!$A$2:$A$4542,Übersicht!$C$7,Verweise!$B$2:$B$4542,B3273)=1,"Feiertag",IF(C3273="Samstag","",IF(C3273="Sonntag","",Übersicht!$C$8)))</f>
        <v>Feiertag</v>
      </c>
    </row>
    <row r="3274" spans="1:4" x14ac:dyDescent="0.25">
      <c r="A3274" t="s">
        <v>71</v>
      </c>
      <c r="B3274" s="48">
        <v>46132</v>
      </c>
      <c r="C3274" t="s">
        <v>46</v>
      </c>
      <c r="D3274" t="str">
        <f>IF(COUNTIFS(Verweise!$A$2:$A$4542,Übersicht!$C$7,Verweise!$B$2:$B$4542,B3274)=1,"Feiertag",IF(C3274="Samstag","",IF(C3274="Sonntag","",Übersicht!$C$8)))</f>
        <v>Feiertag</v>
      </c>
    </row>
    <row r="3275" spans="1:4" x14ac:dyDescent="0.25">
      <c r="A3275" t="s">
        <v>71</v>
      </c>
      <c r="B3275" s="48">
        <v>46133</v>
      </c>
      <c r="C3275" t="s">
        <v>47</v>
      </c>
      <c r="D3275" t="str">
        <f>IF(COUNTIFS(Verweise!$A$2:$A$4542,Übersicht!$C$7,Verweise!$B$2:$B$4542,B3275)=1,"Feiertag",IF(C3275="Samstag","",IF(C3275="Sonntag","",Übersicht!$C$8)))</f>
        <v>Feiertag</v>
      </c>
    </row>
    <row r="3276" spans="1:4" x14ac:dyDescent="0.25">
      <c r="A3276" t="s">
        <v>71</v>
      </c>
      <c r="B3276" s="48">
        <v>46142</v>
      </c>
      <c r="C3276" t="s">
        <v>48</v>
      </c>
      <c r="D3276" t="str">
        <f>IF(COUNTIFS(Verweise!$A$2:$A$4542,Übersicht!$C$7,Verweise!$B$2:$B$4542,B3276)=1,"Feiertag",IF(C3276="Samstag","",IF(C3276="Sonntag","",Übersicht!$C$8)))</f>
        <v>Feiertag</v>
      </c>
    </row>
    <row r="3277" spans="1:4" x14ac:dyDescent="0.25">
      <c r="A3277" t="s">
        <v>71</v>
      </c>
      <c r="B3277" s="48">
        <v>46171</v>
      </c>
      <c r="C3277" t="s">
        <v>49</v>
      </c>
      <c r="D3277" t="str">
        <f>IF(COUNTIFS(Verweise!$A$2:$A$4542,Übersicht!$C$7,Verweise!$B$2:$B$4542,B3277)=1,"Feiertag",IF(C3277="Samstag","",IF(C3277="Sonntag","",Übersicht!$C$8)))</f>
        <v>Feiertag</v>
      </c>
    </row>
    <row r="3278" spans="1:4" x14ac:dyDescent="0.25">
      <c r="A3278" t="s">
        <v>71</v>
      </c>
      <c r="B3278" s="48">
        <v>46181</v>
      </c>
      <c r="C3278" t="s">
        <v>50</v>
      </c>
      <c r="D3278" t="str">
        <f>IF(COUNTIFS(Verweise!$A$2:$A$4542,Übersicht!$C$7,Verweise!$B$2:$B$4542,B3278)=1,"Feiertag",IF(C3278="Samstag","",IF(C3278="Sonntag","",Übersicht!$C$8)))</f>
        <v>Feiertag</v>
      </c>
    </row>
    <row r="3279" spans="1:4" x14ac:dyDescent="0.25">
      <c r="A3279" t="s">
        <v>71</v>
      </c>
      <c r="B3279" s="48">
        <v>46182</v>
      </c>
      <c r="C3279" t="s">
        <v>51</v>
      </c>
      <c r="D3279" t="str">
        <f>IF(COUNTIFS(Verweise!$A$2:$A$4542,Übersicht!$C$7,Verweise!$B$2:$B$4542,B3279)=1,"Feiertag",IF(C3279="Samstag","",IF(C3279="Sonntag","",Übersicht!$C$8)))</f>
        <v>Feiertag</v>
      </c>
    </row>
    <row r="3280" spans="1:4" x14ac:dyDescent="0.25">
      <c r="A3280" t="s">
        <v>71</v>
      </c>
      <c r="B3280" s="48">
        <v>46297</v>
      </c>
      <c r="C3280" t="s">
        <v>53</v>
      </c>
      <c r="D3280" t="str">
        <f>IF(COUNTIFS(Verweise!$A$2:$A$4542,Übersicht!$C$7,Verweise!$B$2:$B$4542,B3280)=1,"Feiertag",IF(C3280="Samstag","",IF(C3280="Sonntag","",Übersicht!$C$8)))</f>
        <v>Feiertag</v>
      </c>
    </row>
    <row r="3281" spans="1:4" x14ac:dyDescent="0.25">
      <c r="A3281" t="s">
        <v>71</v>
      </c>
      <c r="B3281" s="48">
        <v>46325</v>
      </c>
      <c r="C3281" t="s">
        <v>62</v>
      </c>
      <c r="D3281" t="str">
        <f>IF(COUNTIFS(Verweise!$A$2:$A$4542,Übersicht!$C$7,Verweise!$B$2:$B$4542,B3281)=1,"Feiertag",IF(C3281="Samstag","",IF(C3281="Sonntag","",Übersicht!$C$8)))</f>
        <v>Büro</v>
      </c>
    </row>
    <row r="3282" spans="1:4" x14ac:dyDescent="0.25">
      <c r="A3282" t="s">
        <v>71</v>
      </c>
      <c r="B3282" s="48">
        <v>46345</v>
      </c>
      <c r="C3282" t="s">
        <v>72</v>
      </c>
      <c r="D3282" t="str">
        <f>IF(COUNTIFS(Verweise!$A$2:$A$4542,Übersicht!$C$7,Verweise!$B$2:$B$4542,B3282)=1,"Feiertag",IF(C3282="Samstag","",IF(C3282="Sonntag","",Übersicht!$C$8)))</f>
        <v>Büro</v>
      </c>
    </row>
    <row r="3283" spans="1:4" x14ac:dyDescent="0.25">
      <c r="A3283" t="s">
        <v>71</v>
      </c>
      <c r="B3283" s="48">
        <v>46380</v>
      </c>
      <c r="C3283" t="s">
        <v>55</v>
      </c>
      <c r="D3283" t="str">
        <f>IF(COUNTIFS(Verweise!$A$2:$A$4542,Übersicht!$C$7,Verweise!$B$2:$B$4542,B3283)=1,"Feiertag",IF(C3283="Samstag","",IF(C3283="Sonntag","",Übersicht!$C$8)))</f>
        <v>Feiertag</v>
      </c>
    </row>
    <row r="3284" spans="1:4" x14ac:dyDescent="0.25">
      <c r="A3284" t="s">
        <v>71</v>
      </c>
      <c r="B3284" s="48">
        <v>46381</v>
      </c>
      <c r="C3284" t="s">
        <v>56</v>
      </c>
      <c r="D3284" t="str">
        <f>IF(COUNTIFS(Verweise!$A$2:$A$4542,Übersicht!$C$7,Verweise!$B$2:$B$4542,B3284)=1,"Feiertag",IF(C3284="Samstag","",IF(C3284="Sonntag","",Übersicht!$C$8)))</f>
        <v>Feiertag</v>
      </c>
    </row>
    <row r="3285" spans="1:4" x14ac:dyDescent="0.25">
      <c r="A3285" t="s">
        <v>73</v>
      </c>
      <c r="B3285" s="48">
        <v>46022</v>
      </c>
      <c r="C3285" t="s">
        <v>43</v>
      </c>
      <c r="D3285" t="str">
        <f>IF(COUNTIFS(Verweise!$A$2:$A$4542,Übersicht!$C$7,Verweise!$B$2:$B$4542,B3285)=1,"Feiertag",IF(C3285="Samstag","",IF(C3285="Sonntag","",Übersicht!$C$8)))</f>
        <v>Feiertag</v>
      </c>
    </row>
    <row r="3286" spans="1:4" x14ac:dyDescent="0.25">
      <c r="A3286" t="s">
        <v>73</v>
      </c>
      <c r="B3286" s="48">
        <v>46130</v>
      </c>
      <c r="C3286" t="s">
        <v>45</v>
      </c>
      <c r="D3286" t="str">
        <f>IF(COUNTIFS(Verweise!$A$2:$A$4542,Übersicht!$C$7,Verweise!$B$2:$B$4542,B3286)=1,"Feiertag",IF(C3286="Samstag","",IF(C3286="Sonntag","",Übersicht!$C$8)))</f>
        <v>Feiertag</v>
      </c>
    </row>
    <row r="3287" spans="1:4" x14ac:dyDescent="0.25">
      <c r="A3287" t="s">
        <v>73</v>
      </c>
      <c r="B3287" s="48">
        <v>46132</v>
      </c>
      <c r="C3287" t="s">
        <v>46</v>
      </c>
      <c r="D3287" t="str">
        <f>IF(COUNTIFS(Verweise!$A$2:$A$4542,Übersicht!$C$7,Verweise!$B$2:$B$4542,B3287)=1,"Feiertag",IF(C3287="Samstag","",IF(C3287="Sonntag","",Übersicht!$C$8)))</f>
        <v>Feiertag</v>
      </c>
    </row>
    <row r="3288" spans="1:4" x14ac:dyDescent="0.25">
      <c r="A3288" t="s">
        <v>73</v>
      </c>
      <c r="B3288" s="48">
        <v>46133</v>
      </c>
      <c r="C3288" t="s">
        <v>47</v>
      </c>
      <c r="D3288" t="str">
        <f>IF(COUNTIFS(Verweise!$A$2:$A$4542,Übersicht!$C$7,Verweise!$B$2:$B$4542,B3288)=1,"Feiertag",IF(C3288="Samstag","",IF(C3288="Sonntag","",Übersicht!$C$8)))</f>
        <v>Feiertag</v>
      </c>
    </row>
    <row r="3289" spans="1:4" x14ac:dyDescent="0.25">
      <c r="A3289" t="s">
        <v>73</v>
      </c>
      <c r="B3289" s="48">
        <v>46142</v>
      </c>
      <c r="C3289" t="s">
        <v>48</v>
      </c>
      <c r="D3289" t="str">
        <f>IF(COUNTIFS(Verweise!$A$2:$A$4542,Übersicht!$C$7,Verweise!$B$2:$B$4542,B3289)=1,"Feiertag",IF(C3289="Samstag","",IF(C3289="Sonntag","",Übersicht!$C$8)))</f>
        <v>Feiertag</v>
      </c>
    </row>
    <row r="3290" spans="1:4" x14ac:dyDescent="0.25">
      <c r="A3290" t="s">
        <v>73</v>
      </c>
      <c r="B3290" s="48">
        <v>46171</v>
      </c>
      <c r="C3290" t="s">
        <v>49</v>
      </c>
      <c r="D3290" t="str">
        <f>IF(COUNTIFS(Verweise!$A$2:$A$4542,Übersicht!$C$7,Verweise!$B$2:$B$4542,B3290)=1,"Feiertag",IF(C3290="Samstag","",IF(C3290="Sonntag","",Übersicht!$C$8)))</f>
        <v>Feiertag</v>
      </c>
    </row>
    <row r="3291" spans="1:4" x14ac:dyDescent="0.25">
      <c r="A3291" t="s">
        <v>73</v>
      </c>
      <c r="B3291" s="48">
        <v>46181</v>
      </c>
      <c r="C3291" t="s">
        <v>50</v>
      </c>
      <c r="D3291" t="str">
        <f>IF(COUNTIFS(Verweise!$A$2:$A$4542,Übersicht!$C$7,Verweise!$B$2:$B$4542,B3291)=1,"Feiertag",IF(C3291="Samstag","",IF(C3291="Sonntag","",Übersicht!$C$8)))</f>
        <v>Feiertag</v>
      </c>
    </row>
    <row r="3292" spans="1:4" x14ac:dyDescent="0.25">
      <c r="A3292" t="s">
        <v>73</v>
      </c>
      <c r="B3292" s="48">
        <v>46182</v>
      </c>
      <c r="C3292" t="s">
        <v>51</v>
      </c>
      <c r="D3292" t="str">
        <f>IF(COUNTIFS(Verweise!$A$2:$A$4542,Übersicht!$C$7,Verweise!$B$2:$B$4542,B3292)=1,"Feiertag",IF(C3292="Samstag","",IF(C3292="Sonntag","",Übersicht!$C$8)))</f>
        <v>Feiertag</v>
      </c>
    </row>
    <row r="3293" spans="1:4" x14ac:dyDescent="0.25">
      <c r="A3293" t="s">
        <v>73</v>
      </c>
      <c r="B3293" s="48">
        <v>46192</v>
      </c>
      <c r="C3293" t="s">
        <v>52</v>
      </c>
      <c r="D3293" t="str">
        <f>IF(COUNTIFS(Verweise!$A$2:$A$4542,Übersicht!$C$7,Verweise!$B$2:$B$4542,B3293)=1,"Feiertag",IF(C3293="Samstag","",IF(C3293="Sonntag","",Übersicht!$C$8)))</f>
        <v>Feiertag</v>
      </c>
    </row>
    <row r="3294" spans="1:4" x14ac:dyDescent="0.25">
      <c r="A3294" t="s">
        <v>73</v>
      </c>
      <c r="B3294" s="48">
        <v>46297</v>
      </c>
      <c r="C3294" t="s">
        <v>53</v>
      </c>
      <c r="D3294" t="str">
        <f>IF(COUNTIFS(Verweise!$A$2:$A$4542,Übersicht!$C$7,Verweise!$B$2:$B$4542,B3294)=1,"Feiertag",IF(C3294="Samstag","",IF(C3294="Sonntag","",Übersicht!$C$8)))</f>
        <v>Feiertag</v>
      </c>
    </row>
    <row r="3295" spans="1:4" x14ac:dyDescent="0.25">
      <c r="A3295" t="s">
        <v>73</v>
      </c>
      <c r="B3295" s="48">
        <v>46325</v>
      </c>
      <c r="C3295" t="s">
        <v>62</v>
      </c>
      <c r="D3295" t="str">
        <f>IF(COUNTIFS(Verweise!$A$2:$A$4542,Übersicht!$C$7,Verweise!$B$2:$B$4542,B3295)=1,"Feiertag",IF(C3295="Samstag","",IF(C3295="Sonntag","",Übersicht!$C$8)))</f>
        <v>Büro</v>
      </c>
    </row>
    <row r="3296" spans="1:4" x14ac:dyDescent="0.25">
      <c r="A3296" t="s">
        <v>73</v>
      </c>
      <c r="B3296" s="48">
        <v>46345</v>
      </c>
      <c r="C3296" t="s">
        <v>72</v>
      </c>
      <c r="D3296" t="str">
        <f>IF(COUNTIFS(Verweise!$A$2:$A$4542,Übersicht!$C$7,Verweise!$B$2:$B$4542,B3296)=1,"Feiertag",IF(C3296="Samstag","",IF(C3296="Sonntag","",Übersicht!$C$8)))</f>
        <v>Büro</v>
      </c>
    </row>
    <row r="3297" spans="1:4" x14ac:dyDescent="0.25">
      <c r="A3297" t="s">
        <v>73</v>
      </c>
      <c r="B3297" s="48">
        <v>46380</v>
      </c>
      <c r="C3297" t="s">
        <v>55</v>
      </c>
      <c r="D3297" t="str">
        <f>IF(COUNTIFS(Verweise!$A$2:$A$4542,Übersicht!$C$7,Verweise!$B$2:$B$4542,B3297)=1,"Feiertag",IF(C3297="Samstag","",IF(C3297="Sonntag","",Übersicht!$C$8)))</f>
        <v>Feiertag</v>
      </c>
    </row>
    <row r="3298" spans="1:4" x14ac:dyDescent="0.25">
      <c r="A3298" t="s">
        <v>73</v>
      </c>
      <c r="B3298" s="48">
        <v>46381</v>
      </c>
      <c r="C3298" t="s">
        <v>56</v>
      </c>
      <c r="D3298" t="str">
        <f>IF(COUNTIFS(Verweise!$A$2:$A$4542,Übersicht!$C$7,Verweise!$B$2:$B$4542,B3298)=1,"Feiertag",IF(C3298="Samstag","",IF(C3298="Sonntag","",Übersicht!$C$8)))</f>
        <v>Feiertag</v>
      </c>
    </row>
    <row r="3299" spans="1:4" x14ac:dyDescent="0.25">
      <c r="A3299" t="s">
        <v>74</v>
      </c>
      <c r="B3299" s="48">
        <v>46022</v>
      </c>
      <c r="C3299" t="s">
        <v>43</v>
      </c>
      <c r="D3299" t="str">
        <f>IF(COUNTIFS(Verweise!$A$2:$A$4542,Übersicht!$C$7,Verweise!$B$2:$B$4542,B3299)=1,"Feiertag",IF(C3299="Samstag","",IF(C3299="Sonntag","",Übersicht!$C$8)))</f>
        <v>Feiertag</v>
      </c>
    </row>
    <row r="3300" spans="1:4" x14ac:dyDescent="0.25">
      <c r="A3300" t="s">
        <v>74</v>
      </c>
      <c r="B3300" s="48">
        <v>46027</v>
      </c>
      <c r="C3300" t="s">
        <v>44</v>
      </c>
      <c r="D3300" t="str">
        <f>IF(COUNTIFS(Verweise!$A$2:$A$4542,Übersicht!$C$7,Verweise!$B$2:$B$4542,B3300)=1,"Feiertag",IF(C3300="Samstag","",IF(C3300="Sonntag","",Übersicht!$C$8)))</f>
        <v>Büro</v>
      </c>
    </row>
    <row r="3301" spans="1:4" x14ac:dyDescent="0.25">
      <c r="A3301" t="s">
        <v>74</v>
      </c>
      <c r="B3301" s="48">
        <v>46130</v>
      </c>
      <c r="C3301" t="s">
        <v>45</v>
      </c>
      <c r="D3301" t="str">
        <f>IF(COUNTIFS(Verweise!$A$2:$A$4542,Übersicht!$C$7,Verweise!$B$2:$B$4542,B3301)=1,"Feiertag",IF(C3301="Samstag","",IF(C3301="Sonntag","",Übersicht!$C$8)))</f>
        <v>Feiertag</v>
      </c>
    </row>
    <row r="3302" spans="1:4" x14ac:dyDescent="0.25">
      <c r="A3302" t="s">
        <v>74</v>
      </c>
      <c r="B3302" s="48">
        <v>46132</v>
      </c>
      <c r="C3302" t="s">
        <v>46</v>
      </c>
      <c r="D3302" t="str">
        <f>IF(COUNTIFS(Verweise!$A$2:$A$4542,Übersicht!$C$7,Verweise!$B$2:$B$4542,B3302)=1,"Feiertag",IF(C3302="Samstag","",IF(C3302="Sonntag","",Übersicht!$C$8)))</f>
        <v>Feiertag</v>
      </c>
    </row>
    <row r="3303" spans="1:4" x14ac:dyDescent="0.25">
      <c r="A3303" t="s">
        <v>74</v>
      </c>
      <c r="B3303" s="48">
        <v>46133</v>
      </c>
      <c r="C3303" t="s">
        <v>47</v>
      </c>
      <c r="D3303" t="str">
        <f>IF(COUNTIFS(Verweise!$A$2:$A$4542,Übersicht!$C$7,Verweise!$B$2:$B$4542,B3303)=1,"Feiertag",IF(C3303="Samstag","",IF(C3303="Sonntag","",Übersicht!$C$8)))</f>
        <v>Feiertag</v>
      </c>
    </row>
    <row r="3304" spans="1:4" x14ac:dyDescent="0.25">
      <c r="A3304" t="s">
        <v>74</v>
      </c>
      <c r="B3304" s="48">
        <v>46142</v>
      </c>
      <c r="C3304" t="s">
        <v>48</v>
      </c>
      <c r="D3304" t="str">
        <f>IF(COUNTIFS(Verweise!$A$2:$A$4542,Übersicht!$C$7,Verweise!$B$2:$B$4542,B3304)=1,"Feiertag",IF(C3304="Samstag","",IF(C3304="Sonntag","",Übersicht!$C$8)))</f>
        <v>Feiertag</v>
      </c>
    </row>
    <row r="3305" spans="1:4" x14ac:dyDescent="0.25">
      <c r="A3305" t="s">
        <v>74</v>
      </c>
      <c r="B3305" s="48">
        <v>46171</v>
      </c>
      <c r="C3305" t="s">
        <v>49</v>
      </c>
      <c r="D3305" t="str">
        <f>IF(COUNTIFS(Verweise!$A$2:$A$4542,Übersicht!$C$7,Verweise!$B$2:$B$4542,B3305)=1,"Feiertag",IF(C3305="Samstag","",IF(C3305="Sonntag","",Übersicht!$C$8)))</f>
        <v>Feiertag</v>
      </c>
    </row>
    <row r="3306" spans="1:4" x14ac:dyDescent="0.25">
      <c r="A3306" t="s">
        <v>74</v>
      </c>
      <c r="B3306" s="48">
        <v>46181</v>
      </c>
      <c r="C3306" t="s">
        <v>50</v>
      </c>
      <c r="D3306" t="str">
        <f>IF(COUNTIFS(Verweise!$A$2:$A$4542,Übersicht!$C$7,Verweise!$B$2:$B$4542,B3306)=1,"Feiertag",IF(C3306="Samstag","",IF(C3306="Sonntag","",Übersicht!$C$8)))</f>
        <v>Feiertag</v>
      </c>
    </row>
    <row r="3307" spans="1:4" x14ac:dyDescent="0.25">
      <c r="A3307" t="s">
        <v>74</v>
      </c>
      <c r="B3307" s="48">
        <v>46182</v>
      </c>
      <c r="C3307" t="s">
        <v>51</v>
      </c>
      <c r="D3307" t="str">
        <f>IF(COUNTIFS(Verweise!$A$2:$A$4542,Übersicht!$C$7,Verweise!$B$2:$B$4542,B3307)=1,"Feiertag",IF(C3307="Samstag","",IF(C3307="Sonntag","",Übersicht!$C$8)))</f>
        <v>Feiertag</v>
      </c>
    </row>
    <row r="3308" spans="1:4" x14ac:dyDescent="0.25">
      <c r="A3308" t="s">
        <v>74</v>
      </c>
      <c r="B3308" s="48">
        <v>46297</v>
      </c>
      <c r="C3308" t="s">
        <v>53</v>
      </c>
      <c r="D3308" t="str">
        <f>IF(COUNTIFS(Verweise!$A$2:$A$4542,Übersicht!$C$7,Verweise!$B$2:$B$4542,B3308)=1,"Feiertag",IF(C3308="Samstag","",IF(C3308="Sonntag","",Übersicht!$C$8)))</f>
        <v>Feiertag</v>
      </c>
    </row>
    <row r="3309" spans="1:4" x14ac:dyDescent="0.25">
      <c r="A3309" t="s">
        <v>74</v>
      </c>
      <c r="B3309" s="48">
        <v>46325</v>
      </c>
      <c r="C3309" t="s">
        <v>62</v>
      </c>
      <c r="D3309" t="str">
        <f>IF(COUNTIFS(Verweise!$A$2:$A$4542,Übersicht!$C$7,Verweise!$B$2:$B$4542,B3309)=1,"Feiertag",IF(C3309="Samstag","",IF(C3309="Sonntag","",Übersicht!$C$8)))</f>
        <v>Büro</v>
      </c>
    </row>
    <row r="3310" spans="1:4" x14ac:dyDescent="0.25">
      <c r="A3310" t="s">
        <v>74</v>
      </c>
      <c r="B3310" s="48">
        <v>46380</v>
      </c>
      <c r="C3310" t="s">
        <v>55</v>
      </c>
      <c r="D3310" t="str">
        <f>IF(COUNTIFS(Verweise!$A$2:$A$4542,Übersicht!$C$7,Verweise!$B$2:$B$4542,B3310)=1,"Feiertag",IF(C3310="Samstag","",IF(C3310="Sonntag","",Übersicht!$C$8)))</f>
        <v>Feiertag</v>
      </c>
    </row>
    <row r="3311" spans="1:4" x14ac:dyDescent="0.25">
      <c r="A3311" t="s">
        <v>74</v>
      </c>
      <c r="B3311" s="48">
        <v>46381</v>
      </c>
      <c r="C3311" t="s">
        <v>56</v>
      </c>
      <c r="D3311" t="str">
        <f>IF(COUNTIFS(Verweise!$A$2:$A$4542,Übersicht!$C$7,Verweise!$B$2:$B$4542,B3311)=1,"Feiertag",IF(C3311="Samstag","",IF(C3311="Sonntag","",Übersicht!$C$8)))</f>
        <v>Feiertag</v>
      </c>
    </row>
    <row r="3312" spans="1:4" x14ac:dyDescent="0.25">
      <c r="A3312" t="s">
        <v>75</v>
      </c>
      <c r="B3312" s="48">
        <v>46022</v>
      </c>
      <c r="C3312" t="s">
        <v>43</v>
      </c>
      <c r="D3312" t="str">
        <f>IF(COUNTIFS(Verweise!$A$2:$A$4542,Übersicht!$C$7,Verweise!$B$2:$B$4542,B3312)=1,"Feiertag",IF(C3312="Samstag","",IF(C3312="Sonntag","",Übersicht!$C$8)))</f>
        <v>Feiertag</v>
      </c>
    </row>
    <row r="3313" spans="1:4" x14ac:dyDescent="0.25">
      <c r="A3313" t="s">
        <v>75</v>
      </c>
      <c r="B3313" s="48">
        <v>46130</v>
      </c>
      <c r="C3313" t="s">
        <v>45</v>
      </c>
      <c r="D3313" t="str">
        <f>IF(COUNTIFS(Verweise!$A$2:$A$4542,Übersicht!$C$7,Verweise!$B$2:$B$4542,B3313)=1,"Feiertag",IF(C3313="Samstag","",IF(C3313="Sonntag","",Übersicht!$C$8)))</f>
        <v>Feiertag</v>
      </c>
    </row>
    <row r="3314" spans="1:4" x14ac:dyDescent="0.25">
      <c r="A3314" t="s">
        <v>75</v>
      </c>
      <c r="B3314" s="48">
        <v>46132</v>
      </c>
      <c r="C3314" t="s">
        <v>46</v>
      </c>
      <c r="D3314" t="str">
        <f>IF(COUNTIFS(Verweise!$A$2:$A$4542,Übersicht!$C$7,Verweise!$B$2:$B$4542,B3314)=1,"Feiertag",IF(C3314="Samstag","",IF(C3314="Sonntag","",Übersicht!$C$8)))</f>
        <v>Feiertag</v>
      </c>
    </row>
    <row r="3315" spans="1:4" x14ac:dyDescent="0.25">
      <c r="A3315" t="s">
        <v>75</v>
      </c>
      <c r="B3315" s="48">
        <v>46133</v>
      </c>
      <c r="C3315" t="s">
        <v>47</v>
      </c>
      <c r="D3315" t="str">
        <f>IF(COUNTIFS(Verweise!$A$2:$A$4542,Übersicht!$C$7,Verweise!$B$2:$B$4542,B3315)=1,"Feiertag",IF(C3315="Samstag","",IF(C3315="Sonntag","",Übersicht!$C$8)))</f>
        <v>Feiertag</v>
      </c>
    </row>
    <row r="3316" spans="1:4" x14ac:dyDescent="0.25">
      <c r="A3316" t="s">
        <v>75</v>
      </c>
      <c r="B3316" s="48">
        <v>46142</v>
      </c>
      <c r="C3316" t="s">
        <v>48</v>
      </c>
      <c r="D3316" t="str">
        <f>IF(COUNTIFS(Verweise!$A$2:$A$4542,Übersicht!$C$7,Verweise!$B$2:$B$4542,B3316)=1,"Feiertag",IF(C3316="Samstag","",IF(C3316="Sonntag","",Übersicht!$C$8)))</f>
        <v>Feiertag</v>
      </c>
    </row>
    <row r="3317" spans="1:4" x14ac:dyDescent="0.25">
      <c r="A3317" t="s">
        <v>75</v>
      </c>
      <c r="B3317" s="48">
        <v>46171</v>
      </c>
      <c r="C3317" t="s">
        <v>49</v>
      </c>
      <c r="D3317" t="str">
        <f>IF(COUNTIFS(Verweise!$A$2:$A$4542,Übersicht!$C$7,Verweise!$B$2:$B$4542,B3317)=1,"Feiertag",IF(C3317="Samstag","",IF(C3317="Sonntag","",Übersicht!$C$8)))</f>
        <v>Feiertag</v>
      </c>
    </row>
    <row r="3318" spans="1:4" x14ac:dyDescent="0.25">
      <c r="A3318" t="s">
        <v>75</v>
      </c>
      <c r="B3318" s="48">
        <v>46181</v>
      </c>
      <c r="C3318" t="s">
        <v>50</v>
      </c>
      <c r="D3318" t="str">
        <f>IF(COUNTIFS(Verweise!$A$2:$A$4542,Übersicht!$C$7,Verweise!$B$2:$B$4542,B3318)=1,"Feiertag",IF(C3318="Samstag","",IF(C3318="Sonntag","",Übersicht!$C$8)))</f>
        <v>Feiertag</v>
      </c>
    </row>
    <row r="3319" spans="1:4" x14ac:dyDescent="0.25">
      <c r="A3319" t="s">
        <v>75</v>
      </c>
      <c r="B3319" s="48">
        <v>46182</v>
      </c>
      <c r="C3319" t="s">
        <v>51</v>
      </c>
      <c r="D3319" t="str">
        <f>IF(COUNTIFS(Verweise!$A$2:$A$4542,Übersicht!$C$7,Verweise!$B$2:$B$4542,B3319)=1,"Feiertag",IF(C3319="Samstag","",IF(C3319="Sonntag","",Übersicht!$C$8)))</f>
        <v>Feiertag</v>
      </c>
    </row>
    <row r="3320" spans="1:4" x14ac:dyDescent="0.25">
      <c r="A3320" t="s">
        <v>75</v>
      </c>
      <c r="B3320" s="48">
        <v>46297</v>
      </c>
      <c r="C3320" t="s">
        <v>53</v>
      </c>
      <c r="D3320" t="str">
        <f>IF(COUNTIFS(Verweise!$A$2:$A$4542,Übersicht!$C$7,Verweise!$B$2:$B$4542,B3320)=1,"Feiertag",IF(C3320="Samstag","",IF(C3320="Sonntag","",Übersicht!$C$8)))</f>
        <v>Feiertag</v>
      </c>
    </row>
    <row r="3321" spans="1:4" x14ac:dyDescent="0.25">
      <c r="A3321" t="s">
        <v>75</v>
      </c>
      <c r="B3321" s="48">
        <v>46380</v>
      </c>
      <c r="C3321" t="s">
        <v>55</v>
      </c>
      <c r="D3321" t="str">
        <f>IF(COUNTIFS(Verweise!$A$2:$A$4542,Übersicht!$C$7,Verweise!$B$2:$B$4542,B3321)=1,"Feiertag",IF(C3321="Samstag","",IF(C3321="Sonntag","",Übersicht!$C$8)))</f>
        <v>Feiertag</v>
      </c>
    </row>
    <row r="3322" spans="1:4" x14ac:dyDescent="0.25">
      <c r="A3322" t="s">
        <v>75</v>
      </c>
      <c r="B3322" s="48">
        <v>46381</v>
      </c>
      <c r="C3322" t="s">
        <v>56</v>
      </c>
      <c r="D3322" t="str">
        <f>IF(COUNTIFS(Verweise!$A$2:$A$4542,Übersicht!$C$7,Verweise!$B$2:$B$4542,B3322)=1,"Feiertag",IF(C3322="Samstag","",IF(C3322="Sonntag","",Übersicht!$C$8)))</f>
        <v>Feiertag</v>
      </c>
    </row>
    <row r="3323" spans="1:4" x14ac:dyDescent="0.25">
      <c r="A3323" t="s">
        <v>76</v>
      </c>
      <c r="B3323" s="48">
        <v>46022</v>
      </c>
      <c r="C3323" t="s">
        <v>43</v>
      </c>
      <c r="D3323" t="str">
        <f>IF(COUNTIFS(Verweise!$A$2:$A$4542,Übersicht!$C$7,Verweise!$B$2:$B$4542,B3323)=1,"Feiertag",IF(C3323="Samstag","",IF(C3323="Sonntag","",Übersicht!$C$8)))</f>
        <v>Feiertag</v>
      </c>
    </row>
    <row r="3324" spans="1:4" x14ac:dyDescent="0.25">
      <c r="A3324" t="s">
        <v>76</v>
      </c>
      <c r="B3324" s="48">
        <v>46130</v>
      </c>
      <c r="C3324" t="s">
        <v>45</v>
      </c>
      <c r="D3324" t="str">
        <f>IF(COUNTIFS(Verweise!$A$2:$A$4542,Übersicht!$C$7,Verweise!$B$2:$B$4542,B3324)=1,"Feiertag",IF(C3324="Samstag","",IF(C3324="Sonntag","",Übersicht!$C$8)))</f>
        <v>Feiertag</v>
      </c>
    </row>
    <row r="3325" spans="1:4" x14ac:dyDescent="0.25">
      <c r="A3325" t="s">
        <v>76</v>
      </c>
      <c r="B3325" s="48">
        <v>46132</v>
      </c>
      <c r="C3325" t="s">
        <v>46</v>
      </c>
      <c r="D3325" t="str">
        <f>IF(COUNTIFS(Verweise!$A$2:$A$4542,Übersicht!$C$7,Verweise!$B$2:$B$4542,B3325)=1,"Feiertag",IF(C3325="Samstag","",IF(C3325="Sonntag","",Übersicht!$C$8)))</f>
        <v>Feiertag</v>
      </c>
    </row>
    <row r="3326" spans="1:4" x14ac:dyDescent="0.25">
      <c r="A3326" t="s">
        <v>76</v>
      </c>
      <c r="B3326" s="48">
        <v>46133</v>
      </c>
      <c r="C3326" t="s">
        <v>47</v>
      </c>
      <c r="D3326" t="str">
        <f>IF(COUNTIFS(Verweise!$A$2:$A$4542,Übersicht!$C$7,Verweise!$B$2:$B$4542,B3326)=1,"Feiertag",IF(C3326="Samstag","",IF(C3326="Sonntag","",Übersicht!$C$8)))</f>
        <v>Feiertag</v>
      </c>
    </row>
    <row r="3327" spans="1:4" x14ac:dyDescent="0.25">
      <c r="A3327" t="s">
        <v>76</v>
      </c>
      <c r="B3327" s="48">
        <v>46142</v>
      </c>
      <c r="C3327" t="s">
        <v>48</v>
      </c>
      <c r="D3327" t="str">
        <f>IF(COUNTIFS(Verweise!$A$2:$A$4542,Übersicht!$C$7,Verweise!$B$2:$B$4542,B3327)=1,"Feiertag",IF(C3327="Samstag","",IF(C3327="Sonntag","",Übersicht!$C$8)))</f>
        <v>Feiertag</v>
      </c>
    </row>
    <row r="3328" spans="1:4" x14ac:dyDescent="0.25">
      <c r="A3328" t="s">
        <v>76</v>
      </c>
      <c r="B3328" s="48">
        <v>46171</v>
      </c>
      <c r="C3328" t="s">
        <v>49</v>
      </c>
      <c r="D3328" t="str">
        <f>IF(COUNTIFS(Verweise!$A$2:$A$4542,Übersicht!$C$7,Verweise!$B$2:$B$4542,B3328)=1,"Feiertag",IF(C3328="Samstag","",IF(C3328="Sonntag","",Übersicht!$C$8)))</f>
        <v>Feiertag</v>
      </c>
    </row>
    <row r="3329" spans="1:4" x14ac:dyDescent="0.25">
      <c r="A3329" t="s">
        <v>76</v>
      </c>
      <c r="B3329" s="48">
        <v>46181</v>
      </c>
      <c r="C3329" t="s">
        <v>50</v>
      </c>
      <c r="D3329" t="str">
        <f>IF(COUNTIFS(Verweise!$A$2:$A$4542,Übersicht!$C$7,Verweise!$B$2:$B$4542,B3329)=1,"Feiertag",IF(C3329="Samstag","",IF(C3329="Sonntag","",Übersicht!$C$8)))</f>
        <v>Feiertag</v>
      </c>
    </row>
    <row r="3330" spans="1:4" x14ac:dyDescent="0.25">
      <c r="A3330" t="s">
        <v>76</v>
      </c>
      <c r="B3330" s="48">
        <v>46182</v>
      </c>
      <c r="C3330" t="s">
        <v>51</v>
      </c>
      <c r="D3330" t="str">
        <f>IF(COUNTIFS(Verweise!$A$2:$A$4542,Übersicht!$C$7,Verweise!$B$2:$B$4542,B3330)=1,"Feiertag",IF(C3330="Samstag","",IF(C3330="Sonntag","",Übersicht!$C$8)))</f>
        <v>Feiertag</v>
      </c>
    </row>
    <row r="3331" spans="1:4" x14ac:dyDescent="0.25">
      <c r="A3331" t="s">
        <v>76</v>
      </c>
      <c r="B3331" s="48">
        <v>46297</v>
      </c>
      <c r="C3331" t="s">
        <v>53</v>
      </c>
      <c r="D3331" t="str">
        <f>IF(COUNTIFS(Verweise!$A$2:$A$4542,Übersicht!$C$7,Verweise!$B$2:$B$4542,B3331)=1,"Feiertag",IF(C3331="Samstag","",IF(C3331="Sonntag","",Übersicht!$C$8)))</f>
        <v>Feiertag</v>
      </c>
    </row>
    <row r="3332" spans="1:4" x14ac:dyDescent="0.25">
      <c r="A3332" t="s">
        <v>76</v>
      </c>
      <c r="B3332" s="48">
        <v>46325</v>
      </c>
      <c r="C3332" t="s">
        <v>62</v>
      </c>
      <c r="D3332" t="str">
        <f>IF(COUNTIFS(Verweise!$A$2:$A$4542,Übersicht!$C$7,Verweise!$B$2:$B$4542,B3332)=1,"Feiertag",IF(C3332="Samstag","",IF(C3332="Sonntag","",Übersicht!$C$8)))</f>
        <v>Büro</v>
      </c>
    </row>
    <row r="3333" spans="1:4" x14ac:dyDescent="0.25">
      <c r="A3333" t="s">
        <v>76</v>
      </c>
      <c r="B3333" s="48">
        <v>46380</v>
      </c>
      <c r="C3333" t="s">
        <v>55</v>
      </c>
      <c r="D3333" t="str">
        <f>IF(COUNTIFS(Verweise!$A$2:$A$4542,Übersicht!$C$7,Verweise!$B$2:$B$4542,B3333)=1,"Feiertag",IF(C3333="Samstag","",IF(C3333="Sonntag","",Übersicht!$C$8)))</f>
        <v>Feiertag</v>
      </c>
    </row>
    <row r="3334" spans="1:4" x14ac:dyDescent="0.25">
      <c r="A3334" t="s">
        <v>76</v>
      </c>
      <c r="B3334" s="48">
        <v>46381</v>
      </c>
      <c r="C3334" t="s">
        <v>56</v>
      </c>
      <c r="D3334" t="str">
        <f>IF(COUNTIFS(Verweise!$A$2:$A$4542,Übersicht!$C$7,Verweise!$B$2:$B$4542,B3334)=1,"Feiertag",IF(C3334="Samstag","",IF(C3334="Sonntag","",Übersicht!$C$8)))</f>
        <v>Feiertag</v>
      </c>
    </row>
    <row r="3335" spans="1:4" x14ac:dyDescent="0.25">
      <c r="A3335" t="s">
        <v>77</v>
      </c>
      <c r="B3335" s="48">
        <v>46022</v>
      </c>
      <c r="C3335" t="s">
        <v>43</v>
      </c>
      <c r="D3335" t="str">
        <f>IF(COUNTIFS(Verweise!$A$2:$A$4542,Übersicht!$C$7,Verweise!$B$2:$B$4542,B3335)=1,"Feiertag",IF(C3335="Samstag","",IF(C3335="Sonntag","",Übersicht!$C$8)))</f>
        <v>Feiertag</v>
      </c>
    </row>
    <row r="3336" spans="1:4" x14ac:dyDescent="0.25">
      <c r="A3336" t="s">
        <v>77</v>
      </c>
      <c r="B3336" s="48">
        <v>46130</v>
      </c>
      <c r="C3336" t="s">
        <v>45</v>
      </c>
      <c r="D3336" t="str">
        <f>IF(COUNTIFS(Verweise!$A$2:$A$4542,Übersicht!$C$7,Verweise!$B$2:$B$4542,B3336)=1,"Feiertag",IF(C3336="Samstag","",IF(C3336="Sonntag","",Übersicht!$C$8)))</f>
        <v>Feiertag</v>
      </c>
    </row>
    <row r="3337" spans="1:4" x14ac:dyDescent="0.25">
      <c r="A3337" t="s">
        <v>77</v>
      </c>
      <c r="B3337" s="48">
        <v>46132</v>
      </c>
      <c r="C3337" t="s">
        <v>46</v>
      </c>
      <c r="D3337" t="str">
        <f>IF(COUNTIFS(Verweise!$A$2:$A$4542,Übersicht!$C$7,Verweise!$B$2:$B$4542,B3337)=1,"Feiertag",IF(C3337="Samstag","",IF(C3337="Sonntag","",Übersicht!$C$8)))</f>
        <v>Feiertag</v>
      </c>
    </row>
    <row r="3338" spans="1:4" x14ac:dyDescent="0.25">
      <c r="A3338" t="s">
        <v>77</v>
      </c>
      <c r="B3338" s="48">
        <v>46133</v>
      </c>
      <c r="C3338" t="s">
        <v>47</v>
      </c>
      <c r="D3338" t="str">
        <f>IF(COUNTIFS(Verweise!$A$2:$A$4542,Übersicht!$C$7,Verweise!$B$2:$B$4542,B3338)=1,"Feiertag",IF(C3338="Samstag","",IF(C3338="Sonntag","",Übersicht!$C$8)))</f>
        <v>Feiertag</v>
      </c>
    </row>
    <row r="3339" spans="1:4" x14ac:dyDescent="0.25">
      <c r="A3339" t="s">
        <v>77</v>
      </c>
      <c r="B3339" s="48">
        <v>46142</v>
      </c>
      <c r="C3339" t="s">
        <v>48</v>
      </c>
      <c r="D3339" t="str">
        <f>IF(COUNTIFS(Verweise!$A$2:$A$4542,Übersicht!$C$7,Verweise!$B$2:$B$4542,B3339)=1,"Feiertag",IF(C3339="Samstag","",IF(C3339="Sonntag","",Übersicht!$C$8)))</f>
        <v>Feiertag</v>
      </c>
    </row>
    <row r="3340" spans="1:4" x14ac:dyDescent="0.25">
      <c r="A3340" t="s">
        <v>77</v>
      </c>
      <c r="B3340" s="48">
        <v>46171</v>
      </c>
      <c r="C3340" t="s">
        <v>49</v>
      </c>
      <c r="D3340" t="str">
        <f>IF(COUNTIFS(Verweise!$A$2:$A$4542,Übersicht!$C$7,Verweise!$B$2:$B$4542,B3340)=1,"Feiertag",IF(C3340="Samstag","",IF(C3340="Sonntag","",Übersicht!$C$8)))</f>
        <v>Feiertag</v>
      </c>
    </row>
    <row r="3341" spans="1:4" x14ac:dyDescent="0.25">
      <c r="A3341" t="s">
        <v>77</v>
      </c>
      <c r="B3341" s="48">
        <v>46181</v>
      </c>
      <c r="C3341" t="s">
        <v>50</v>
      </c>
      <c r="D3341" t="str">
        <f>IF(COUNTIFS(Verweise!$A$2:$A$4542,Übersicht!$C$7,Verweise!$B$2:$B$4542,B3341)=1,"Feiertag",IF(C3341="Samstag","",IF(C3341="Sonntag","",Übersicht!$C$8)))</f>
        <v>Feiertag</v>
      </c>
    </row>
    <row r="3342" spans="1:4" x14ac:dyDescent="0.25">
      <c r="A3342" t="s">
        <v>77</v>
      </c>
      <c r="B3342" s="48">
        <v>46182</v>
      </c>
      <c r="C3342" t="s">
        <v>51</v>
      </c>
      <c r="D3342" t="str">
        <f>IF(COUNTIFS(Verweise!$A$2:$A$4542,Übersicht!$C$7,Verweise!$B$2:$B$4542,B3342)=1,"Feiertag",IF(C3342="Samstag","",IF(C3342="Sonntag","",Übersicht!$C$8)))</f>
        <v>Feiertag</v>
      </c>
    </row>
    <row r="3343" spans="1:4" x14ac:dyDescent="0.25">
      <c r="A3343" t="s">
        <v>77</v>
      </c>
      <c r="B3343" s="48">
        <v>46192</v>
      </c>
      <c r="C3343" t="s">
        <v>52</v>
      </c>
      <c r="D3343" t="str">
        <f>IF(COUNTIFS(Verweise!$A$2:$A$4542,Übersicht!$C$7,Verweise!$B$2:$B$4542,B3343)=1,"Feiertag",IF(C3343="Samstag","",IF(C3343="Sonntag","",Übersicht!$C$8)))</f>
        <v>Feiertag</v>
      </c>
    </row>
    <row r="3344" spans="1:4" x14ac:dyDescent="0.25">
      <c r="A3344" t="s">
        <v>77</v>
      </c>
      <c r="B3344" s="48">
        <v>46297</v>
      </c>
      <c r="C3344" t="s">
        <v>53</v>
      </c>
      <c r="D3344" t="str">
        <f>IF(COUNTIFS(Verweise!$A$2:$A$4542,Übersicht!$C$7,Verweise!$B$2:$B$4542,B3344)=1,"Feiertag",IF(C3344="Samstag","",IF(C3344="Sonntag","",Übersicht!$C$8)))</f>
        <v>Feiertag</v>
      </c>
    </row>
    <row r="3345" spans="1:4" x14ac:dyDescent="0.25">
      <c r="A3345" t="s">
        <v>77</v>
      </c>
      <c r="B3345" s="48">
        <v>46325</v>
      </c>
      <c r="C3345" t="s">
        <v>62</v>
      </c>
      <c r="D3345" t="str">
        <f>IF(COUNTIFS(Verweise!$A$2:$A$4542,Übersicht!$C$7,Verweise!$B$2:$B$4542,B3345)=1,"Feiertag",IF(C3345="Samstag","",IF(C3345="Sonntag","",Übersicht!$C$8)))</f>
        <v>Büro</v>
      </c>
    </row>
    <row r="3346" spans="1:4" x14ac:dyDescent="0.25">
      <c r="A3346" t="s">
        <v>77</v>
      </c>
      <c r="B3346" s="48">
        <v>46380</v>
      </c>
      <c r="C3346" t="s">
        <v>55</v>
      </c>
      <c r="D3346" t="str">
        <f>IF(COUNTIFS(Verweise!$A$2:$A$4542,Übersicht!$C$7,Verweise!$B$2:$B$4542,B3346)=1,"Feiertag",IF(C3346="Samstag","",IF(C3346="Sonntag","",Übersicht!$C$8)))</f>
        <v>Feiertag</v>
      </c>
    </row>
    <row r="3347" spans="1:4" x14ac:dyDescent="0.25">
      <c r="A3347" t="s">
        <v>77</v>
      </c>
      <c r="B3347" s="48">
        <v>46381</v>
      </c>
      <c r="C3347" t="s">
        <v>56</v>
      </c>
      <c r="D3347" t="str">
        <f>IF(COUNTIFS(Verweise!$A$2:$A$4542,Übersicht!$C$7,Verweise!$B$2:$B$4542,B3347)=1,"Feiertag",IF(C3347="Samstag","",IF(C3347="Sonntag","",Übersicht!$C$8)))</f>
        <v>Feiertag</v>
      </c>
    </row>
    <row r="3348" spans="1:4" x14ac:dyDescent="0.25">
      <c r="A3348" t="s">
        <v>42</v>
      </c>
      <c r="B3348" s="48">
        <v>46387</v>
      </c>
      <c r="C3348" t="s">
        <v>43</v>
      </c>
      <c r="D3348" t="str">
        <f>IF(COUNTIFS(Verweise!$A$2:$A$4542,Übersicht!$C$7,Verweise!$B$2:$B$4542,B3348)=1,"Feiertag",IF(C3348="Samstag","",IF(C3348="Sonntag","",Übersicht!$C$8)))</f>
        <v>Feiertag</v>
      </c>
    </row>
    <row r="3349" spans="1:4" x14ac:dyDescent="0.25">
      <c r="A3349" t="s">
        <v>42</v>
      </c>
      <c r="B3349" s="48">
        <v>46392</v>
      </c>
      <c r="C3349" t="s">
        <v>44</v>
      </c>
      <c r="D3349" t="str">
        <f>IF(COUNTIFS(Verweise!$A$2:$A$4542,Übersicht!$C$7,Verweise!$B$2:$B$4542,B3349)=1,"Feiertag",IF(C3349="Samstag","",IF(C3349="Sonntag","",Übersicht!$C$8)))</f>
        <v>Büro</v>
      </c>
    </row>
    <row r="3350" spans="1:4" x14ac:dyDescent="0.25">
      <c r="A3350" t="s">
        <v>42</v>
      </c>
      <c r="B3350" s="48">
        <v>46487</v>
      </c>
      <c r="C3350" t="s">
        <v>45</v>
      </c>
      <c r="D3350" t="str">
        <f>IF(COUNTIFS(Verweise!$A$2:$A$4542,Übersicht!$C$7,Verweise!$B$2:$B$4542,B3350)=1,"Feiertag",IF(C3350="Samstag","",IF(C3350="Sonntag","",Übersicht!$C$8)))</f>
        <v>Feiertag</v>
      </c>
    </row>
    <row r="3351" spans="1:4" x14ac:dyDescent="0.25">
      <c r="A3351" t="s">
        <v>42</v>
      </c>
      <c r="B3351" s="48">
        <v>46489</v>
      </c>
      <c r="C3351" t="s">
        <v>46</v>
      </c>
      <c r="D3351" t="str">
        <f>IF(COUNTIFS(Verweise!$A$2:$A$4542,Übersicht!$C$7,Verweise!$B$2:$B$4542,B3351)=1,"Feiertag",IF(C3351="Samstag","",IF(C3351="Sonntag","",Übersicht!$C$8)))</f>
        <v>Feiertag</v>
      </c>
    </row>
    <row r="3352" spans="1:4" x14ac:dyDescent="0.25">
      <c r="A3352" t="s">
        <v>42</v>
      </c>
      <c r="B3352" s="48">
        <v>46490</v>
      </c>
      <c r="C3352" t="s">
        <v>47</v>
      </c>
      <c r="D3352" t="str">
        <f>IF(COUNTIFS(Verweise!$A$2:$A$4542,Übersicht!$C$7,Verweise!$B$2:$B$4542,B3352)=1,"Feiertag",IF(C3352="Samstag","",IF(C3352="Sonntag","",Übersicht!$C$8)))</f>
        <v>Feiertag</v>
      </c>
    </row>
    <row r="3353" spans="1:4" x14ac:dyDescent="0.25">
      <c r="A3353" t="s">
        <v>42</v>
      </c>
      <c r="B3353" s="48">
        <v>46507</v>
      </c>
      <c r="C3353" t="s">
        <v>48</v>
      </c>
      <c r="D3353" t="str">
        <f>IF(COUNTIFS(Verweise!$A$2:$A$4542,Übersicht!$C$7,Verweise!$B$2:$B$4542,B3353)=1,"Feiertag",IF(C3353="Samstag","",IF(C3353="Sonntag","",Übersicht!$C$8)))</f>
        <v>Feiertag</v>
      </c>
    </row>
    <row r="3354" spans="1:4" x14ac:dyDescent="0.25">
      <c r="A3354" t="s">
        <v>42</v>
      </c>
      <c r="B3354" s="48">
        <v>46528</v>
      </c>
      <c r="C3354" t="s">
        <v>49</v>
      </c>
      <c r="D3354" t="str">
        <f>IF(COUNTIFS(Verweise!$A$2:$A$4542,Übersicht!$C$7,Verweise!$B$2:$B$4542,B3354)=1,"Feiertag",IF(C3354="Samstag","",IF(C3354="Sonntag","",Übersicht!$C$8)))</f>
        <v>Feiertag</v>
      </c>
    </row>
    <row r="3355" spans="1:4" x14ac:dyDescent="0.25">
      <c r="A3355" t="s">
        <v>42</v>
      </c>
      <c r="B3355" s="48">
        <v>46538</v>
      </c>
      <c r="C3355" t="s">
        <v>50</v>
      </c>
      <c r="D3355" t="str">
        <f>IF(COUNTIFS(Verweise!$A$2:$A$4542,Übersicht!$C$7,Verweise!$B$2:$B$4542,B3355)=1,"Feiertag",IF(C3355="Samstag","",IF(C3355="Sonntag","",Übersicht!$C$8)))</f>
        <v>Feiertag</v>
      </c>
    </row>
    <row r="3356" spans="1:4" x14ac:dyDescent="0.25">
      <c r="A3356" t="s">
        <v>42</v>
      </c>
      <c r="B3356" s="48">
        <v>46539</v>
      </c>
      <c r="C3356" t="s">
        <v>51</v>
      </c>
      <c r="D3356" t="str">
        <f>IF(COUNTIFS(Verweise!$A$2:$A$4542,Übersicht!$C$7,Verweise!$B$2:$B$4542,B3356)=1,"Feiertag",IF(C3356="Samstag","",IF(C3356="Sonntag","",Übersicht!$C$8)))</f>
        <v>Feiertag</v>
      </c>
    </row>
    <row r="3357" spans="1:4" x14ac:dyDescent="0.25">
      <c r="A3357" t="s">
        <v>42</v>
      </c>
      <c r="B3357" s="48">
        <v>46549</v>
      </c>
      <c r="C3357" t="s">
        <v>52</v>
      </c>
      <c r="D3357" t="str">
        <f>IF(COUNTIFS(Verweise!$A$2:$A$4542,Übersicht!$C$7,Verweise!$B$2:$B$4542,B3357)=1,"Feiertag",IF(C3357="Samstag","",IF(C3357="Sonntag","",Übersicht!$C$8)))</f>
        <v>Feiertag</v>
      </c>
    </row>
    <row r="3358" spans="1:4" x14ac:dyDescent="0.25">
      <c r="A3358" t="s">
        <v>42</v>
      </c>
      <c r="B3358" s="48">
        <v>46662</v>
      </c>
      <c r="C3358" t="s">
        <v>53</v>
      </c>
      <c r="D3358" t="str">
        <f>IF(COUNTIFS(Verweise!$A$2:$A$4542,Übersicht!$C$7,Verweise!$B$2:$B$4542,B3358)=1,"Feiertag",IF(C3358="Samstag","",IF(C3358="Sonntag","",Übersicht!$C$8)))</f>
        <v>Feiertag</v>
      </c>
    </row>
    <row r="3359" spans="1:4" x14ac:dyDescent="0.25">
      <c r="A3359" t="s">
        <v>42</v>
      </c>
      <c r="B3359" s="48">
        <v>46691</v>
      </c>
      <c r="C3359" t="s">
        <v>54</v>
      </c>
      <c r="D3359" t="str">
        <f>IF(COUNTIFS(Verweise!$A$2:$A$4542,Übersicht!$C$7,Verweise!$B$2:$B$4542,B3359)=1,"Feiertag",IF(C3359="Samstag","",IF(C3359="Sonntag","",Übersicht!$C$8)))</f>
        <v>Feiertag</v>
      </c>
    </row>
    <row r="3360" spans="1:4" x14ac:dyDescent="0.25">
      <c r="A3360" t="s">
        <v>42</v>
      </c>
      <c r="B3360" s="48">
        <v>46745</v>
      </c>
      <c r="C3360" t="s">
        <v>55</v>
      </c>
      <c r="D3360" t="str">
        <f>IF(COUNTIFS(Verweise!$A$2:$A$4542,Übersicht!$C$7,Verweise!$B$2:$B$4542,B3360)=1,"Feiertag",IF(C3360="Samstag","",IF(C3360="Sonntag","",Übersicht!$C$8)))</f>
        <v>Feiertag</v>
      </c>
    </row>
    <row r="3361" spans="1:4" x14ac:dyDescent="0.25">
      <c r="A3361" t="s">
        <v>42</v>
      </c>
      <c r="B3361" s="48">
        <v>46746</v>
      </c>
      <c r="C3361" t="s">
        <v>56</v>
      </c>
      <c r="D3361" t="str">
        <f>IF(COUNTIFS(Verweise!$A$2:$A$4542,Übersicht!$C$7,Verweise!$B$2:$B$4542,B3361)=1,"Feiertag",IF(C3361="Samstag","",IF(C3361="Sonntag","",Übersicht!$C$8)))</f>
        <v>Feiertag</v>
      </c>
    </row>
    <row r="3362" spans="1:4" x14ac:dyDescent="0.25">
      <c r="A3362" t="s">
        <v>57</v>
      </c>
      <c r="B3362" s="48">
        <v>46387</v>
      </c>
      <c r="C3362" t="s">
        <v>43</v>
      </c>
      <c r="D3362" t="str">
        <f>IF(COUNTIFS(Verweise!$A$2:$A$4542,Übersicht!$C$7,Verweise!$B$2:$B$4542,B3362)=1,"Feiertag",IF(C3362="Samstag","",IF(C3362="Sonntag","",Übersicht!$C$8)))</f>
        <v>Feiertag</v>
      </c>
    </row>
    <row r="3363" spans="1:4" x14ac:dyDescent="0.25">
      <c r="A3363" t="s">
        <v>57</v>
      </c>
      <c r="B3363" s="48">
        <v>46392</v>
      </c>
      <c r="C3363" t="s">
        <v>44</v>
      </c>
      <c r="D3363" t="str">
        <f>IF(COUNTIFS(Verweise!$A$2:$A$4542,Übersicht!$C$7,Verweise!$B$2:$B$4542,B3363)=1,"Feiertag",IF(C3363="Samstag","",IF(C3363="Sonntag","",Übersicht!$C$8)))</f>
        <v>Büro</v>
      </c>
    </row>
    <row r="3364" spans="1:4" x14ac:dyDescent="0.25">
      <c r="A3364" t="s">
        <v>57</v>
      </c>
      <c r="B3364" s="48">
        <v>46487</v>
      </c>
      <c r="C3364" t="s">
        <v>45</v>
      </c>
      <c r="D3364" t="str">
        <f>IF(COUNTIFS(Verweise!$A$2:$A$4542,Übersicht!$C$7,Verweise!$B$2:$B$4542,B3364)=1,"Feiertag",IF(C3364="Samstag","",IF(C3364="Sonntag","",Übersicht!$C$8)))</f>
        <v>Feiertag</v>
      </c>
    </row>
    <row r="3365" spans="1:4" x14ac:dyDescent="0.25">
      <c r="A3365" t="s">
        <v>57</v>
      </c>
      <c r="B3365" s="48">
        <v>46489</v>
      </c>
      <c r="C3365" t="s">
        <v>46</v>
      </c>
      <c r="D3365" t="str">
        <f>IF(COUNTIFS(Verweise!$A$2:$A$4542,Übersicht!$C$7,Verweise!$B$2:$B$4542,B3365)=1,"Feiertag",IF(C3365="Samstag","",IF(C3365="Sonntag","",Übersicht!$C$8)))</f>
        <v>Feiertag</v>
      </c>
    </row>
    <row r="3366" spans="1:4" x14ac:dyDescent="0.25">
      <c r="A3366" t="s">
        <v>57</v>
      </c>
      <c r="B3366" s="48">
        <v>46490</v>
      </c>
      <c r="C3366" t="s">
        <v>47</v>
      </c>
      <c r="D3366" t="str">
        <f>IF(COUNTIFS(Verweise!$A$2:$A$4542,Übersicht!$C$7,Verweise!$B$2:$B$4542,B3366)=1,"Feiertag",IF(C3366="Samstag","",IF(C3366="Sonntag","",Übersicht!$C$8)))</f>
        <v>Feiertag</v>
      </c>
    </row>
    <row r="3367" spans="1:4" x14ac:dyDescent="0.25">
      <c r="A3367" t="s">
        <v>57</v>
      </c>
      <c r="B3367" s="48">
        <v>46507</v>
      </c>
      <c r="C3367" t="s">
        <v>48</v>
      </c>
      <c r="D3367" t="str">
        <f>IF(COUNTIFS(Verweise!$A$2:$A$4542,Übersicht!$C$7,Verweise!$B$2:$B$4542,B3367)=1,"Feiertag",IF(C3367="Samstag","",IF(C3367="Sonntag","",Übersicht!$C$8)))</f>
        <v>Feiertag</v>
      </c>
    </row>
    <row r="3368" spans="1:4" x14ac:dyDescent="0.25">
      <c r="A3368" t="s">
        <v>57</v>
      </c>
      <c r="B3368" s="48">
        <v>46528</v>
      </c>
      <c r="C3368" t="s">
        <v>49</v>
      </c>
      <c r="D3368" t="str">
        <f>IF(COUNTIFS(Verweise!$A$2:$A$4542,Übersicht!$C$7,Verweise!$B$2:$B$4542,B3368)=1,"Feiertag",IF(C3368="Samstag","",IF(C3368="Sonntag","",Übersicht!$C$8)))</f>
        <v>Feiertag</v>
      </c>
    </row>
    <row r="3369" spans="1:4" x14ac:dyDescent="0.25">
      <c r="A3369" t="s">
        <v>57</v>
      </c>
      <c r="B3369" s="48">
        <v>46538</v>
      </c>
      <c r="C3369" t="s">
        <v>50</v>
      </c>
      <c r="D3369" t="str">
        <f>IF(COUNTIFS(Verweise!$A$2:$A$4542,Übersicht!$C$7,Verweise!$B$2:$B$4542,B3369)=1,"Feiertag",IF(C3369="Samstag","",IF(C3369="Sonntag","",Übersicht!$C$8)))</f>
        <v>Feiertag</v>
      </c>
    </row>
    <row r="3370" spans="1:4" x14ac:dyDescent="0.25">
      <c r="A3370" t="s">
        <v>57</v>
      </c>
      <c r="B3370" s="48">
        <v>46539</v>
      </c>
      <c r="C3370" t="s">
        <v>51</v>
      </c>
      <c r="D3370" t="str">
        <f>IF(COUNTIFS(Verweise!$A$2:$A$4542,Übersicht!$C$7,Verweise!$B$2:$B$4542,B3370)=1,"Feiertag",IF(C3370="Samstag","",IF(C3370="Sonntag","",Übersicht!$C$8)))</f>
        <v>Feiertag</v>
      </c>
    </row>
    <row r="3371" spans="1:4" x14ac:dyDescent="0.25">
      <c r="A3371" t="s">
        <v>57</v>
      </c>
      <c r="B3371" s="48">
        <v>46549</v>
      </c>
      <c r="C3371" t="s">
        <v>52</v>
      </c>
      <c r="D3371" t="str">
        <f>IF(COUNTIFS(Verweise!$A$2:$A$4542,Übersicht!$C$7,Verweise!$B$2:$B$4542,B3371)=1,"Feiertag",IF(C3371="Samstag","",IF(C3371="Sonntag","",Übersicht!$C$8)))</f>
        <v>Feiertag</v>
      </c>
    </row>
    <row r="3372" spans="1:4" x14ac:dyDescent="0.25">
      <c r="A3372" t="s">
        <v>57</v>
      </c>
      <c r="B3372" s="48">
        <v>46662</v>
      </c>
      <c r="C3372" t="s">
        <v>53</v>
      </c>
      <c r="D3372" t="str">
        <f>IF(COUNTIFS(Verweise!$A$2:$A$4542,Übersicht!$C$7,Verweise!$B$2:$B$4542,B3372)=1,"Feiertag",IF(C3372="Samstag","",IF(C3372="Sonntag","",Übersicht!$C$8)))</f>
        <v>Feiertag</v>
      </c>
    </row>
    <row r="3373" spans="1:4" x14ac:dyDescent="0.25">
      <c r="A3373" t="s">
        <v>57</v>
      </c>
      <c r="B3373" s="48">
        <v>46691</v>
      </c>
      <c r="C3373" t="s">
        <v>54</v>
      </c>
      <c r="D3373" t="str">
        <f>IF(COUNTIFS(Verweise!$A$2:$A$4542,Übersicht!$C$7,Verweise!$B$2:$B$4542,B3373)=1,"Feiertag",IF(C3373="Samstag","",IF(C3373="Sonntag","",Übersicht!$C$8)))</f>
        <v>Feiertag</v>
      </c>
    </row>
    <row r="3374" spans="1:4" x14ac:dyDescent="0.25">
      <c r="A3374" t="s">
        <v>57</v>
      </c>
      <c r="B3374" s="48">
        <v>46745</v>
      </c>
      <c r="C3374" t="s">
        <v>55</v>
      </c>
      <c r="D3374" t="str">
        <f>IF(COUNTIFS(Verweise!$A$2:$A$4542,Übersicht!$C$7,Verweise!$B$2:$B$4542,B3374)=1,"Feiertag",IF(C3374="Samstag","",IF(C3374="Sonntag","",Übersicht!$C$8)))</f>
        <v>Feiertag</v>
      </c>
    </row>
    <row r="3375" spans="1:4" x14ac:dyDescent="0.25">
      <c r="A3375" t="s">
        <v>57</v>
      </c>
      <c r="B3375" s="48">
        <v>46746</v>
      </c>
      <c r="C3375" t="s">
        <v>56</v>
      </c>
      <c r="D3375" t="str">
        <f>IF(COUNTIFS(Verweise!$A$2:$A$4542,Übersicht!$C$7,Verweise!$B$2:$B$4542,B3375)=1,"Feiertag",IF(C3375="Samstag","",IF(C3375="Sonntag","",Übersicht!$C$8)))</f>
        <v>Feiertag</v>
      </c>
    </row>
    <row r="3376" spans="1:4" x14ac:dyDescent="0.25">
      <c r="A3376" t="s">
        <v>58</v>
      </c>
      <c r="B3376" s="48">
        <v>46387</v>
      </c>
      <c r="C3376" t="s">
        <v>43</v>
      </c>
      <c r="D3376" t="str">
        <f>IF(COUNTIFS(Verweise!$A$2:$A$4542,Übersicht!$C$7,Verweise!$B$2:$B$4542,B3376)=1,"Feiertag",IF(C3376="Samstag","",IF(C3376="Sonntag","",Übersicht!$C$8)))</f>
        <v>Feiertag</v>
      </c>
    </row>
    <row r="3377" spans="1:4" x14ac:dyDescent="0.25">
      <c r="A3377" t="s">
        <v>58</v>
      </c>
      <c r="B3377" s="48">
        <v>46392</v>
      </c>
      <c r="C3377" t="s">
        <v>44</v>
      </c>
      <c r="D3377" t="str">
        <f>IF(COUNTIFS(Verweise!$A$2:$A$4542,Übersicht!$C$7,Verweise!$B$2:$B$4542,B3377)=1,"Feiertag",IF(C3377="Samstag","",IF(C3377="Sonntag","",Übersicht!$C$8)))</f>
        <v>Büro</v>
      </c>
    </row>
    <row r="3378" spans="1:4" x14ac:dyDescent="0.25">
      <c r="A3378" t="s">
        <v>58</v>
      </c>
      <c r="B3378" s="48">
        <v>46487</v>
      </c>
      <c r="C3378" t="s">
        <v>45</v>
      </c>
      <c r="D3378" t="str">
        <f>IF(COUNTIFS(Verweise!$A$2:$A$4542,Übersicht!$C$7,Verweise!$B$2:$B$4542,B3378)=1,"Feiertag",IF(C3378="Samstag","",IF(C3378="Sonntag","",Übersicht!$C$8)))</f>
        <v>Feiertag</v>
      </c>
    </row>
    <row r="3379" spans="1:4" x14ac:dyDescent="0.25">
      <c r="A3379" t="s">
        <v>58</v>
      </c>
      <c r="B3379" s="48">
        <v>46489</v>
      </c>
      <c r="C3379" t="s">
        <v>46</v>
      </c>
      <c r="D3379" t="str">
        <f>IF(COUNTIFS(Verweise!$A$2:$A$4542,Übersicht!$C$7,Verweise!$B$2:$B$4542,B3379)=1,"Feiertag",IF(C3379="Samstag","",IF(C3379="Sonntag","",Übersicht!$C$8)))</f>
        <v>Feiertag</v>
      </c>
    </row>
    <row r="3380" spans="1:4" x14ac:dyDescent="0.25">
      <c r="A3380" t="s">
        <v>58</v>
      </c>
      <c r="B3380" s="48">
        <v>46490</v>
      </c>
      <c r="C3380" t="s">
        <v>47</v>
      </c>
      <c r="D3380" t="str">
        <f>IF(COUNTIFS(Verweise!$A$2:$A$4542,Übersicht!$C$7,Verweise!$B$2:$B$4542,B3380)=1,"Feiertag",IF(C3380="Samstag","",IF(C3380="Sonntag","",Übersicht!$C$8)))</f>
        <v>Feiertag</v>
      </c>
    </row>
    <row r="3381" spans="1:4" x14ac:dyDescent="0.25">
      <c r="A3381" t="s">
        <v>58</v>
      </c>
      <c r="B3381" s="48">
        <v>46507</v>
      </c>
      <c r="C3381" t="s">
        <v>48</v>
      </c>
      <c r="D3381" t="str">
        <f>IF(COUNTIFS(Verweise!$A$2:$A$4542,Übersicht!$C$7,Verweise!$B$2:$B$4542,B3381)=1,"Feiertag",IF(C3381="Samstag","",IF(C3381="Sonntag","",Übersicht!$C$8)))</f>
        <v>Feiertag</v>
      </c>
    </row>
    <row r="3382" spans="1:4" x14ac:dyDescent="0.25">
      <c r="A3382" t="s">
        <v>58</v>
      </c>
      <c r="B3382" s="48">
        <v>46528</v>
      </c>
      <c r="C3382" t="s">
        <v>49</v>
      </c>
      <c r="D3382" t="str">
        <f>IF(COUNTIFS(Verweise!$A$2:$A$4542,Übersicht!$C$7,Verweise!$B$2:$B$4542,B3382)=1,"Feiertag",IF(C3382="Samstag","",IF(C3382="Sonntag","",Übersicht!$C$8)))</f>
        <v>Feiertag</v>
      </c>
    </row>
    <row r="3383" spans="1:4" x14ac:dyDescent="0.25">
      <c r="A3383" t="s">
        <v>58</v>
      </c>
      <c r="B3383" s="48">
        <v>46538</v>
      </c>
      <c r="C3383" t="s">
        <v>50</v>
      </c>
      <c r="D3383" t="str">
        <f>IF(COUNTIFS(Verweise!$A$2:$A$4542,Übersicht!$C$7,Verweise!$B$2:$B$4542,B3383)=1,"Feiertag",IF(C3383="Samstag","",IF(C3383="Sonntag","",Übersicht!$C$8)))</f>
        <v>Feiertag</v>
      </c>
    </row>
    <row r="3384" spans="1:4" x14ac:dyDescent="0.25">
      <c r="A3384" t="s">
        <v>58</v>
      </c>
      <c r="B3384" s="48">
        <v>46539</v>
      </c>
      <c r="C3384" t="s">
        <v>51</v>
      </c>
      <c r="D3384" t="str">
        <f>IF(COUNTIFS(Verweise!$A$2:$A$4542,Übersicht!$C$7,Verweise!$B$2:$B$4542,B3384)=1,"Feiertag",IF(C3384="Samstag","",IF(C3384="Sonntag","",Übersicht!$C$8)))</f>
        <v>Feiertag</v>
      </c>
    </row>
    <row r="3385" spans="1:4" x14ac:dyDescent="0.25">
      <c r="A3385" t="s">
        <v>58</v>
      </c>
      <c r="B3385" s="48">
        <v>46549</v>
      </c>
      <c r="C3385" t="s">
        <v>52</v>
      </c>
      <c r="D3385" t="str">
        <f>IF(COUNTIFS(Verweise!$A$2:$A$4542,Übersicht!$C$7,Verweise!$B$2:$B$4542,B3385)=1,"Feiertag",IF(C3385="Samstag","",IF(C3385="Sonntag","",Übersicht!$C$8)))</f>
        <v>Feiertag</v>
      </c>
    </row>
    <row r="3386" spans="1:4" x14ac:dyDescent="0.25">
      <c r="A3386" t="s">
        <v>58</v>
      </c>
      <c r="B3386" s="48">
        <v>46613</v>
      </c>
      <c r="C3386" t="s">
        <v>59</v>
      </c>
      <c r="D3386" t="str">
        <f>IF(COUNTIFS(Verweise!$A$2:$A$4542,Übersicht!$C$7,Verweise!$B$2:$B$4542,B3386)=1,"Feiertag",IF(C3386="Samstag","",IF(C3386="Sonntag","",Übersicht!$C$8)))</f>
        <v>Büro</v>
      </c>
    </row>
    <row r="3387" spans="1:4" x14ac:dyDescent="0.25">
      <c r="A3387" t="s">
        <v>58</v>
      </c>
      <c r="B3387" s="48">
        <v>46662</v>
      </c>
      <c r="C3387" t="s">
        <v>53</v>
      </c>
      <c r="D3387" t="str">
        <f>IF(COUNTIFS(Verweise!$A$2:$A$4542,Übersicht!$C$7,Verweise!$B$2:$B$4542,B3387)=1,"Feiertag",IF(C3387="Samstag","",IF(C3387="Sonntag","",Übersicht!$C$8)))</f>
        <v>Feiertag</v>
      </c>
    </row>
    <row r="3388" spans="1:4" x14ac:dyDescent="0.25">
      <c r="A3388" t="s">
        <v>58</v>
      </c>
      <c r="B3388" s="48">
        <v>46691</v>
      </c>
      <c r="C3388" t="s">
        <v>54</v>
      </c>
      <c r="D3388" t="str">
        <f>IF(COUNTIFS(Verweise!$A$2:$A$4542,Übersicht!$C$7,Verweise!$B$2:$B$4542,B3388)=1,"Feiertag",IF(C3388="Samstag","",IF(C3388="Sonntag","",Übersicht!$C$8)))</f>
        <v>Feiertag</v>
      </c>
    </row>
    <row r="3389" spans="1:4" x14ac:dyDescent="0.25">
      <c r="A3389" t="s">
        <v>58</v>
      </c>
      <c r="B3389" s="48">
        <v>46745</v>
      </c>
      <c r="C3389" t="s">
        <v>55</v>
      </c>
      <c r="D3389" t="str">
        <f>IF(COUNTIFS(Verweise!$A$2:$A$4542,Übersicht!$C$7,Verweise!$B$2:$B$4542,B3389)=1,"Feiertag",IF(C3389="Samstag","",IF(C3389="Sonntag","",Übersicht!$C$8)))</f>
        <v>Feiertag</v>
      </c>
    </row>
    <row r="3390" spans="1:4" x14ac:dyDescent="0.25">
      <c r="A3390" t="s">
        <v>58</v>
      </c>
      <c r="B3390" s="48">
        <v>46746</v>
      </c>
      <c r="C3390" t="s">
        <v>56</v>
      </c>
      <c r="D3390" t="str">
        <f>IF(COUNTIFS(Verweise!$A$2:$A$4542,Übersicht!$C$7,Verweise!$B$2:$B$4542,B3390)=1,"Feiertag",IF(C3390="Samstag","",IF(C3390="Sonntag","",Übersicht!$C$8)))</f>
        <v>Feiertag</v>
      </c>
    </row>
    <row r="3391" spans="1:4" x14ac:dyDescent="0.25">
      <c r="A3391" t="s">
        <v>60</v>
      </c>
      <c r="B3391" s="48">
        <v>46387</v>
      </c>
      <c r="C3391" t="s">
        <v>43</v>
      </c>
      <c r="D3391" t="str">
        <f>IF(COUNTIFS(Verweise!$A$2:$A$4542,Übersicht!$C$7,Verweise!$B$2:$B$4542,B3391)=1,"Feiertag",IF(C3391="Samstag","",IF(C3391="Sonntag","",Übersicht!$C$8)))</f>
        <v>Feiertag</v>
      </c>
    </row>
    <row r="3392" spans="1:4" x14ac:dyDescent="0.25">
      <c r="A3392" t="s">
        <v>60</v>
      </c>
      <c r="B3392" s="48">
        <v>46487</v>
      </c>
      <c r="C3392" t="s">
        <v>45</v>
      </c>
      <c r="D3392" t="str">
        <f>IF(COUNTIFS(Verweise!$A$2:$A$4542,Übersicht!$C$7,Verweise!$B$2:$B$4542,B3392)=1,"Feiertag",IF(C3392="Samstag","",IF(C3392="Sonntag","",Übersicht!$C$8)))</f>
        <v>Feiertag</v>
      </c>
    </row>
    <row r="3393" spans="1:4" x14ac:dyDescent="0.25">
      <c r="A3393" t="s">
        <v>60</v>
      </c>
      <c r="B3393" s="48">
        <v>46489</v>
      </c>
      <c r="C3393" t="s">
        <v>46</v>
      </c>
      <c r="D3393" t="str">
        <f>IF(COUNTIFS(Verweise!$A$2:$A$4542,Übersicht!$C$7,Verweise!$B$2:$B$4542,B3393)=1,"Feiertag",IF(C3393="Samstag","",IF(C3393="Sonntag","",Übersicht!$C$8)))</f>
        <v>Feiertag</v>
      </c>
    </row>
    <row r="3394" spans="1:4" x14ac:dyDescent="0.25">
      <c r="A3394" t="s">
        <v>60</v>
      </c>
      <c r="B3394" s="48">
        <v>46490</v>
      </c>
      <c r="C3394" t="s">
        <v>47</v>
      </c>
      <c r="D3394" t="str">
        <f>IF(COUNTIFS(Verweise!$A$2:$A$4542,Übersicht!$C$7,Verweise!$B$2:$B$4542,B3394)=1,"Feiertag",IF(C3394="Samstag","",IF(C3394="Sonntag","",Übersicht!$C$8)))</f>
        <v>Feiertag</v>
      </c>
    </row>
    <row r="3395" spans="1:4" x14ac:dyDescent="0.25">
      <c r="A3395" t="s">
        <v>60</v>
      </c>
      <c r="B3395" s="48">
        <v>46507</v>
      </c>
      <c r="C3395" t="s">
        <v>48</v>
      </c>
      <c r="D3395" t="str">
        <f>IF(COUNTIFS(Verweise!$A$2:$A$4542,Übersicht!$C$7,Verweise!$B$2:$B$4542,B3395)=1,"Feiertag",IF(C3395="Samstag","",IF(C3395="Sonntag","",Übersicht!$C$8)))</f>
        <v>Feiertag</v>
      </c>
    </row>
    <row r="3396" spans="1:4" x14ac:dyDescent="0.25">
      <c r="A3396" t="s">
        <v>60</v>
      </c>
      <c r="B3396" s="48">
        <v>46528</v>
      </c>
      <c r="C3396" t="s">
        <v>49</v>
      </c>
      <c r="D3396" t="str">
        <f>IF(COUNTIFS(Verweise!$A$2:$A$4542,Übersicht!$C$7,Verweise!$B$2:$B$4542,B3396)=1,"Feiertag",IF(C3396="Samstag","",IF(C3396="Sonntag","",Übersicht!$C$8)))</f>
        <v>Feiertag</v>
      </c>
    </row>
    <row r="3397" spans="1:4" x14ac:dyDescent="0.25">
      <c r="A3397" t="s">
        <v>60</v>
      </c>
      <c r="B3397" s="48">
        <v>46538</v>
      </c>
      <c r="C3397" t="s">
        <v>50</v>
      </c>
      <c r="D3397" t="str">
        <f>IF(COUNTIFS(Verweise!$A$2:$A$4542,Übersicht!$C$7,Verweise!$B$2:$B$4542,B3397)=1,"Feiertag",IF(C3397="Samstag","",IF(C3397="Sonntag","",Übersicht!$C$8)))</f>
        <v>Feiertag</v>
      </c>
    </row>
    <row r="3398" spans="1:4" x14ac:dyDescent="0.25">
      <c r="A3398" t="s">
        <v>60</v>
      </c>
      <c r="B3398" s="48">
        <v>46539</v>
      </c>
      <c r="C3398" t="s">
        <v>51</v>
      </c>
      <c r="D3398" t="str">
        <f>IF(COUNTIFS(Verweise!$A$2:$A$4542,Übersicht!$C$7,Verweise!$B$2:$B$4542,B3398)=1,"Feiertag",IF(C3398="Samstag","",IF(C3398="Sonntag","",Übersicht!$C$8)))</f>
        <v>Feiertag</v>
      </c>
    </row>
    <row r="3399" spans="1:4" x14ac:dyDescent="0.25">
      <c r="A3399" t="s">
        <v>60</v>
      </c>
      <c r="B3399" s="48">
        <v>46662</v>
      </c>
      <c r="C3399" t="s">
        <v>53</v>
      </c>
      <c r="D3399" t="str">
        <f>IF(COUNTIFS(Verweise!$A$2:$A$4542,Übersicht!$C$7,Verweise!$B$2:$B$4542,B3399)=1,"Feiertag",IF(C3399="Samstag","",IF(C3399="Sonntag","",Übersicht!$C$8)))</f>
        <v>Feiertag</v>
      </c>
    </row>
    <row r="3400" spans="1:4" x14ac:dyDescent="0.25">
      <c r="A3400" t="s">
        <v>60</v>
      </c>
      <c r="B3400" s="48">
        <v>46745</v>
      </c>
      <c r="C3400" t="s">
        <v>55</v>
      </c>
      <c r="D3400" t="str">
        <f>IF(COUNTIFS(Verweise!$A$2:$A$4542,Übersicht!$C$7,Verweise!$B$2:$B$4542,B3400)=1,"Feiertag",IF(C3400="Samstag","",IF(C3400="Sonntag","",Übersicht!$C$8)))</f>
        <v>Feiertag</v>
      </c>
    </row>
    <row r="3401" spans="1:4" x14ac:dyDescent="0.25">
      <c r="A3401" t="s">
        <v>60</v>
      </c>
      <c r="B3401" s="48">
        <v>46746</v>
      </c>
      <c r="C3401" t="s">
        <v>56</v>
      </c>
      <c r="D3401" t="str">
        <f>IF(COUNTIFS(Verweise!$A$2:$A$4542,Übersicht!$C$7,Verweise!$B$2:$B$4542,B3401)=1,"Feiertag",IF(C3401="Samstag","",IF(C3401="Sonntag","",Übersicht!$C$8)))</f>
        <v>Feiertag</v>
      </c>
    </row>
    <row r="3402" spans="1:4" x14ac:dyDescent="0.25">
      <c r="A3402" t="s">
        <v>61</v>
      </c>
      <c r="B3402" s="48">
        <v>46387</v>
      </c>
      <c r="C3402" t="s">
        <v>43</v>
      </c>
      <c r="D3402" t="str">
        <f>IF(COUNTIFS(Verweise!$A$2:$A$4542,Übersicht!$C$7,Verweise!$B$2:$B$4542,B3402)=1,"Feiertag",IF(C3402="Samstag","",IF(C3402="Sonntag","",Übersicht!$C$8)))</f>
        <v>Feiertag</v>
      </c>
    </row>
    <row r="3403" spans="1:4" x14ac:dyDescent="0.25">
      <c r="A3403" t="s">
        <v>61</v>
      </c>
      <c r="B3403" s="48">
        <v>46487</v>
      </c>
      <c r="C3403" t="s">
        <v>45</v>
      </c>
      <c r="D3403" t="str">
        <f>IF(COUNTIFS(Verweise!$A$2:$A$4542,Übersicht!$C$7,Verweise!$B$2:$B$4542,B3403)=1,"Feiertag",IF(C3403="Samstag","",IF(C3403="Sonntag","",Übersicht!$C$8)))</f>
        <v>Feiertag</v>
      </c>
    </row>
    <row r="3404" spans="1:4" x14ac:dyDescent="0.25">
      <c r="A3404" t="s">
        <v>61</v>
      </c>
      <c r="B3404" s="48">
        <v>46489</v>
      </c>
      <c r="C3404" t="s">
        <v>46</v>
      </c>
      <c r="D3404" t="str">
        <f>IF(COUNTIFS(Verweise!$A$2:$A$4542,Übersicht!$C$7,Verweise!$B$2:$B$4542,B3404)=1,"Feiertag",IF(C3404="Samstag","",IF(C3404="Sonntag","",Übersicht!$C$8)))</f>
        <v>Feiertag</v>
      </c>
    </row>
    <row r="3405" spans="1:4" x14ac:dyDescent="0.25">
      <c r="A3405" t="s">
        <v>61</v>
      </c>
      <c r="B3405" s="48">
        <v>46490</v>
      </c>
      <c r="C3405" t="s">
        <v>47</v>
      </c>
      <c r="D3405" t="str">
        <f>IF(COUNTIFS(Verweise!$A$2:$A$4542,Übersicht!$C$7,Verweise!$B$2:$B$4542,B3405)=1,"Feiertag",IF(C3405="Samstag","",IF(C3405="Sonntag","",Übersicht!$C$8)))</f>
        <v>Feiertag</v>
      </c>
    </row>
    <row r="3406" spans="1:4" x14ac:dyDescent="0.25">
      <c r="A3406" t="s">
        <v>61</v>
      </c>
      <c r="B3406" s="48">
        <v>46507</v>
      </c>
      <c r="C3406" t="s">
        <v>48</v>
      </c>
      <c r="D3406" t="str">
        <f>IF(COUNTIFS(Verweise!$A$2:$A$4542,Übersicht!$C$7,Verweise!$B$2:$B$4542,B3406)=1,"Feiertag",IF(C3406="Samstag","",IF(C3406="Sonntag","",Übersicht!$C$8)))</f>
        <v>Feiertag</v>
      </c>
    </row>
    <row r="3407" spans="1:4" x14ac:dyDescent="0.25">
      <c r="A3407" t="s">
        <v>61</v>
      </c>
      <c r="B3407" s="48">
        <v>46528</v>
      </c>
      <c r="C3407" t="s">
        <v>49</v>
      </c>
      <c r="D3407" t="str">
        <f>IF(COUNTIFS(Verweise!$A$2:$A$4542,Übersicht!$C$7,Verweise!$B$2:$B$4542,B3407)=1,"Feiertag",IF(C3407="Samstag","",IF(C3407="Sonntag","",Übersicht!$C$8)))</f>
        <v>Feiertag</v>
      </c>
    </row>
    <row r="3408" spans="1:4" x14ac:dyDescent="0.25">
      <c r="A3408" t="s">
        <v>61</v>
      </c>
      <c r="B3408" s="48">
        <v>46538</v>
      </c>
      <c r="C3408" t="s">
        <v>50</v>
      </c>
      <c r="D3408" t="str">
        <f>IF(COUNTIFS(Verweise!$A$2:$A$4542,Übersicht!$C$7,Verweise!$B$2:$B$4542,B3408)=1,"Feiertag",IF(C3408="Samstag","",IF(C3408="Sonntag","",Übersicht!$C$8)))</f>
        <v>Feiertag</v>
      </c>
    </row>
    <row r="3409" spans="1:4" x14ac:dyDescent="0.25">
      <c r="A3409" t="s">
        <v>61</v>
      </c>
      <c r="B3409" s="48">
        <v>46539</v>
      </c>
      <c r="C3409" t="s">
        <v>51</v>
      </c>
      <c r="D3409" t="str">
        <f>IF(COUNTIFS(Verweise!$A$2:$A$4542,Übersicht!$C$7,Verweise!$B$2:$B$4542,B3409)=1,"Feiertag",IF(C3409="Samstag","",IF(C3409="Sonntag","",Übersicht!$C$8)))</f>
        <v>Feiertag</v>
      </c>
    </row>
    <row r="3410" spans="1:4" x14ac:dyDescent="0.25">
      <c r="A3410" t="s">
        <v>61</v>
      </c>
      <c r="B3410" s="48">
        <v>46662</v>
      </c>
      <c r="C3410" t="s">
        <v>53</v>
      </c>
      <c r="D3410" t="str">
        <f>IF(COUNTIFS(Verweise!$A$2:$A$4542,Übersicht!$C$7,Verweise!$B$2:$B$4542,B3410)=1,"Feiertag",IF(C3410="Samstag","",IF(C3410="Sonntag","",Übersicht!$C$8)))</f>
        <v>Feiertag</v>
      </c>
    </row>
    <row r="3411" spans="1:4" x14ac:dyDescent="0.25">
      <c r="A3411" t="s">
        <v>61</v>
      </c>
      <c r="B3411" s="48">
        <v>46690</v>
      </c>
      <c r="C3411" t="s">
        <v>62</v>
      </c>
      <c r="D3411" t="str">
        <f>IF(COUNTIFS(Verweise!$A$2:$A$4542,Übersicht!$C$7,Verweise!$B$2:$B$4542,B3411)=1,"Feiertag",IF(C3411="Samstag","",IF(C3411="Sonntag","",Übersicht!$C$8)))</f>
        <v>Büro</v>
      </c>
    </row>
    <row r="3412" spans="1:4" x14ac:dyDescent="0.25">
      <c r="A3412" t="s">
        <v>61</v>
      </c>
      <c r="B3412" s="48">
        <v>46745</v>
      </c>
      <c r="C3412" t="s">
        <v>55</v>
      </c>
      <c r="D3412" t="str">
        <f>IF(COUNTIFS(Verweise!$A$2:$A$4542,Übersicht!$C$7,Verweise!$B$2:$B$4542,B3412)=1,"Feiertag",IF(C3412="Samstag","",IF(C3412="Sonntag","",Übersicht!$C$8)))</f>
        <v>Feiertag</v>
      </c>
    </row>
    <row r="3413" spans="1:4" x14ac:dyDescent="0.25">
      <c r="A3413" t="s">
        <v>61</v>
      </c>
      <c r="B3413" s="48">
        <v>46746</v>
      </c>
      <c r="C3413" t="s">
        <v>56</v>
      </c>
      <c r="D3413" t="str">
        <f>IF(COUNTIFS(Verweise!$A$2:$A$4542,Übersicht!$C$7,Verweise!$B$2:$B$4542,B3413)=1,"Feiertag",IF(C3413="Samstag","",IF(C3413="Sonntag","",Übersicht!$C$8)))</f>
        <v>Feiertag</v>
      </c>
    </row>
    <row r="3414" spans="1:4" x14ac:dyDescent="0.25">
      <c r="A3414" t="s">
        <v>63</v>
      </c>
      <c r="B3414" s="48">
        <v>46387</v>
      </c>
      <c r="C3414" t="s">
        <v>43</v>
      </c>
      <c r="D3414" t="str">
        <f>IF(COUNTIFS(Verweise!$A$2:$A$4542,Übersicht!$C$7,Verweise!$B$2:$B$4542,B3414)=1,"Feiertag",IF(C3414="Samstag","",IF(C3414="Sonntag","",Übersicht!$C$8)))</f>
        <v>Feiertag</v>
      </c>
    </row>
    <row r="3415" spans="1:4" x14ac:dyDescent="0.25">
      <c r="A3415" t="s">
        <v>63</v>
      </c>
      <c r="B3415" s="48">
        <v>46487</v>
      </c>
      <c r="C3415" t="s">
        <v>45</v>
      </c>
      <c r="D3415" t="str">
        <f>IF(COUNTIFS(Verweise!$A$2:$A$4542,Übersicht!$C$7,Verweise!$B$2:$B$4542,B3415)=1,"Feiertag",IF(C3415="Samstag","",IF(C3415="Sonntag","",Übersicht!$C$8)))</f>
        <v>Feiertag</v>
      </c>
    </row>
    <row r="3416" spans="1:4" x14ac:dyDescent="0.25">
      <c r="A3416" t="s">
        <v>63</v>
      </c>
      <c r="B3416" s="48">
        <v>46489</v>
      </c>
      <c r="C3416" t="s">
        <v>46</v>
      </c>
      <c r="D3416" t="str">
        <f>IF(COUNTIFS(Verweise!$A$2:$A$4542,Übersicht!$C$7,Verweise!$B$2:$B$4542,B3416)=1,"Feiertag",IF(C3416="Samstag","",IF(C3416="Sonntag","",Übersicht!$C$8)))</f>
        <v>Feiertag</v>
      </c>
    </row>
    <row r="3417" spans="1:4" x14ac:dyDescent="0.25">
      <c r="A3417" t="s">
        <v>63</v>
      </c>
      <c r="B3417" s="48">
        <v>46490</v>
      </c>
      <c r="C3417" t="s">
        <v>47</v>
      </c>
      <c r="D3417" t="str">
        <f>IF(COUNTIFS(Verweise!$A$2:$A$4542,Übersicht!$C$7,Verweise!$B$2:$B$4542,B3417)=1,"Feiertag",IF(C3417="Samstag","",IF(C3417="Sonntag","",Übersicht!$C$8)))</f>
        <v>Feiertag</v>
      </c>
    </row>
    <row r="3418" spans="1:4" x14ac:dyDescent="0.25">
      <c r="A3418" t="s">
        <v>63</v>
      </c>
      <c r="B3418" s="48">
        <v>46507</v>
      </c>
      <c r="C3418" t="s">
        <v>48</v>
      </c>
      <c r="D3418" t="str">
        <f>IF(COUNTIFS(Verweise!$A$2:$A$4542,Übersicht!$C$7,Verweise!$B$2:$B$4542,B3418)=1,"Feiertag",IF(C3418="Samstag","",IF(C3418="Sonntag","",Übersicht!$C$8)))</f>
        <v>Feiertag</v>
      </c>
    </row>
    <row r="3419" spans="1:4" x14ac:dyDescent="0.25">
      <c r="A3419" t="s">
        <v>63</v>
      </c>
      <c r="B3419" s="48">
        <v>46528</v>
      </c>
      <c r="C3419" t="s">
        <v>49</v>
      </c>
      <c r="D3419" t="str">
        <f>IF(COUNTIFS(Verweise!$A$2:$A$4542,Übersicht!$C$7,Verweise!$B$2:$B$4542,B3419)=1,"Feiertag",IF(C3419="Samstag","",IF(C3419="Sonntag","",Übersicht!$C$8)))</f>
        <v>Feiertag</v>
      </c>
    </row>
    <row r="3420" spans="1:4" x14ac:dyDescent="0.25">
      <c r="A3420" t="s">
        <v>63</v>
      </c>
      <c r="B3420" s="48">
        <v>46538</v>
      </c>
      <c r="C3420" t="s">
        <v>50</v>
      </c>
      <c r="D3420" t="str">
        <f>IF(COUNTIFS(Verweise!$A$2:$A$4542,Übersicht!$C$7,Verweise!$B$2:$B$4542,B3420)=1,"Feiertag",IF(C3420="Samstag","",IF(C3420="Sonntag","",Übersicht!$C$8)))</f>
        <v>Feiertag</v>
      </c>
    </row>
    <row r="3421" spans="1:4" x14ac:dyDescent="0.25">
      <c r="A3421" t="s">
        <v>63</v>
      </c>
      <c r="B3421" s="48">
        <v>46539</v>
      </c>
      <c r="C3421" t="s">
        <v>51</v>
      </c>
      <c r="D3421" t="str">
        <f>IF(COUNTIFS(Verweise!$A$2:$A$4542,Übersicht!$C$7,Verweise!$B$2:$B$4542,B3421)=1,"Feiertag",IF(C3421="Samstag","",IF(C3421="Sonntag","",Übersicht!$C$8)))</f>
        <v>Feiertag</v>
      </c>
    </row>
    <row r="3422" spans="1:4" x14ac:dyDescent="0.25">
      <c r="A3422" t="s">
        <v>63</v>
      </c>
      <c r="B3422" s="48">
        <v>46662</v>
      </c>
      <c r="C3422" t="s">
        <v>53</v>
      </c>
      <c r="D3422" t="str">
        <f>IF(COUNTIFS(Verweise!$A$2:$A$4542,Übersicht!$C$7,Verweise!$B$2:$B$4542,B3422)=1,"Feiertag",IF(C3422="Samstag","",IF(C3422="Sonntag","",Übersicht!$C$8)))</f>
        <v>Feiertag</v>
      </c>
    </row>
    <row r="3423" spans="1:4" x14ac:dyDescent="0.25">
      <c r="A3423" t="s">
        <v>63</v>
      </c>
      <c r="B3423" s="48">
        <v>46745</v>
      </c>
      <c r="C3423" t="s">
        <v>55</v>
      </c>
      <c r="D3423" t="str">
        <f>IF(COUNTIFS(Verweise!$A$2:$A$4542,Übersicht!$C$7,Verweise!$B$2:$B$4542,B3423)=1,"Feiertag",IF(C3423="Samstag","",IF(C3423="Sonntag","",Übersicht!$C$8)))</f>
        <v>Feiertag</v>
      </c>
    </row>
    <row r="3424" spans="1:4" x14ac:dyDescent="0.25">
      <c r="A3424" t="s">
        <v>63</v>
      </c>
      <c r="B3424" s="48">
        <v>46746</v>
      </c>
      <c r="C3424" t="s">
        <v>56</v>
      </c>
      <c r="D3424" t="str">
        <f>IF(COUNTIFS(Verweise!$A$2:$A$4542,Übersicht!$C$7,Verweise!$B$2:$B$4542,B3424)=1,"Feiertag",IF(C3424="Samstag","",IF(C3424="Sonntag","",Übersicht!$C$8)))</f>
        <v>Feiertag</v>
      </c>
    </row>
    <row r="3425" spans="1:4" x14ac:dyDescent="0.25">
      <c r="A3425" t="s">
        <v>64</v>
      </c>
      <c r="B3425" s="48">
        <v>46387</v>
      </c>
      <c r="C3425" t="s">
        <v>43</v>
      </c>
      <c r="D3425" t="str">
        <f>IF(COUNTIFS(Verweise!$A$2:$A$4542,Übersicht!$C$7,Verweise!$B$2:$B$4542,B3425)=1,"Feiertag",IF(C3425="Samstag","",IF(C3425="Sonntag","",Übersicht!$C$8)))</f>
        <v>Feiertag</v>
      </c>
    </row>
    <row r="3426" spans="1:4" x14ac:dyDescent="0.25">
      <c r="A3426" t="s">
        <v>64</v>
      </c>
      <c r="B3426" s="48">
        <v>46487</v>
      </c>
      <c r="C3426" t="s">
        <v>45</v>
      </c>
      <c r="D3426" t="str">
        <f>IF(COUNTIFS(Verweise!$A$2:$A$4542,Übersicht!$C$7,Verweise!$B$2:$B$4542,B3426)=1,"Feiertag",IF(C3426="Samstag","",IF(C3426="Sonntag","",Übersicht!$C$8)))</f>
        <v>Feiertag</v>
      </c>
    </row>
    <row r="3427" spans="1:4" x14ac:dyDescent="0.25">
      <c r="A3427" t="s">
        <v>64</v>
      </c>
      <c r="B3427" s="48">
        <v>46489</v>
      </c>
      <c r="C3427" t="s">
        <v>46</v>
      </c>
      <c r="D3427" t="str">
        <f>IF(COUNTIFS(Verweise!$A$2:$A$4542,Übersicht!$C$7,Verweise!$B$2:$B$4542,B3427)=1,"Feiertag",IF(C3427="Samstag","",IF(C3427="Sonntag","",Übersicht!$C$8)))</f>
        <v>Feiertag</v>
      </c>
    </row>
    <row r="3428" spans="1:4" x14ac:dyDescent="0.25">
      <c r="A3428" t="s">
        <v>64</v>
      </c>
      <c r="B3428" s="48">
        <v>46490</v>
      </c>
      <c r="C3428" t="s">
        <v>47</v>
      </c>
      <c r="D3428" t="str">
        <f>IF(COUNTIFS(Verweise!$A$2:$A$4542,Übersicht!$C$7,Verweise!$B$2:$B$4542,B3428)=1,"Feiertag",IF(C3428="Samstag","",IF(C3428="Sonntag","",Übersicht!$C$8)))</f>
        <v>Feiertag</v>
      </c>
    </row>
    <row r="3429" spans="1:4" x14ac:dyDescent="0.25">
      <c r="A3429" t="s">
        <v>64</v>
      </c>
      <c r="B3429" s="48">
        <v>46507</v>
      </c>
      <c r="C3429" t="s">
        <v>48</v>
      </c>
      <c r="D3429" t="str">
        <f>IF(COUNTIFS(Verweise!$A$2:$A$4542,Übersicht!$C$7,Verweise!$B$2:$B$4542,B3429)=1,"Feiertag",IF(C3429="Samstag","",IF(C3429="Sonntag","",Übersicht!$C$8)))</f>
        <v>Feiertag</v>
      </c>
    </row>
    <row r="3430" spans="1:4" x14ac:dyDescent="0.25">
      <c r="A3430" t="s">
        <v>64</v>
      </c>
      <c r="B3430" s="48">
        <v>46528</v>
      </c>
      <c r="C3430" t="s">
        <v>49</v>
      </c>
      <c r="D3430" t="str">
        <f>IF(COUNTIFS(Verweise!$A$2:$A$4542,Übersicht!$C$7,Verweise!$B$2:$B$4542,B3430)=1,"Feiertag",IF(C3430="Samstag","",IF(C3430="Sonntag","",Übersicht!$C$8)))</f>
        <v>Feiertag</v>
      </c>
    </row>
    <row r="3431" spans="1:4" x14ac:dyDescent="0.25">
      <c r="A3431" t="s">
        <v>64</v>
      </c>
      <c r="B3431" s="48">
        <v>46538</v>
      </c>
      <c r="C3431" t="s">
        <v>50</v>
      </c>
      <c r="D3431" t="str">
        <f>IF(COUNTIFS(Verweise!$A$2:$A$4542,Übersicht!$C$7,Verweise!$B$2:$B$4542,B3431)=1,"Feiertag",IF(C3431="Samstag","",IF(C3431="Sonntag","",Übersicht!$C$8)))</f>
        <v>Feiertag</v>
      </c>
    </row>
    <row r="3432" spans="1:4" x14ac:dyDescent="0.25">
      <c r="A3432" t="s">
        <v>64</v>
      </c>
      <c r="B3432" s="48">
        <v>46539</v>
      </c>
      <c r="C3432" t="s">
        <v>51</v>
      </c>
      <c r="D3432" t="str">
        <f>IF(COUNTIFS(Verweise!$A$2:$A$4542,Übersicht!$C$7,Verweise!$B$2:$B$4542,B3432)=1,"Feiertag",IF(C3432="Samstag","",IF(C3432="Sonntag","",Übersicht!$C$8)))</f>
        <v>Feiertag</v>
      </c>
    </row>
    <row r="3433" spans="1:4" x14ac:dyDescent="0.25">
      <c r="A3433" t="s">
        <v>64</v>
      </c>
      <c r="B3433" s="48">
        <v>46662</v>
      </c>
      <c r="C3433" t="s">
        <v>53</v>
      </c>
      <c r="D3433" t="str">
        <f>IF(COUNTIFS(Verweise!$A$2:$A$4542,Übersicht!$C$7,Verweise!$B$2:$B$4542,B3433)=1,"Feiertag",IF(C3433="Samstag","",IF(C3433="Sonntag","",Übersicht!$C$8)))</f>
        <v>Feiertag</v>
      </c>
    </row>
    <row r="3434" spans="1:4" x14ac:dyDescent="0.25">
      <c r="A3434" t="s">
        <v>64</v>
      </c>
      <c r="B3434" s="48">
        <v>46745</v>
      </c>
      <c r="C3434" t="s">
        <v>55</v>
      </c>
      <c r="D3434" t="str">
        <f>IF(COUNTIFS(Verweise!$A$2:$A$4542,Übersicht!$C$7,Verweise!$B$2:$B$4542,B3434)=1,"Feiertag",IF(C3434="Samstag","",IF(C3434="Sonntag","",Übersicht!$C$8)))</f>
        <v>Feiertag</v>
      </c>
    </row>
    <row r="3435" spans="1:4" x14ac:dyDescent="0.25">
      <c r="A3435" t="s">
        <v>64</v>
      </c>
      <c r="B3435" s="48">
        <v>46746</v>
      </c>
      <c r="C3435" t="s">
        <v>56</v>
      </c>
      <c r="D3435" t="str">
        <f>IF(COUNTIFS(Verweise!$A$2:$A$4542,Übersicht!$C$7,Verweise!$B$2:$B$4542,B3435)=1,"Feiertag",IF(C3435="Samstag","",IF(C3435="Sonntag","",Übersicht!$C$8)))</f>
        <v>Feiertag</v>
      </c>
    </row>
    <row r="3436" spans="1:4" x14ac:dyDescent="0.25">
      <c r="A3436" t="s">
        <v>65</v>
      </c>
      <c r="B3436" s="48">
        <v>46387</v>
      </c>
      <c r="C3436" t="s">
        <v>43</v>
      </c>
      <c r="D3436" t="str">
        <f>IF(COUNTIFS(Verweise!$A$2:$A$4542,Übersicht!$C$7,Verweise!$B$2:$B$4542,B3436)=1,"Feiertag",IF(C3436="Samstag","",IF(C3436="Sonntag","",Übersicht!$C$8)))</f>
        <v>Feiertag</v>
      </c>
    </row>
    <row r="3437" spans="1:4" x14ac:dyDescent="0.25">
      <c r="A3437" t="s">
        <v>65</v>
      </c>
      <c r="B3437" s="48">
        <v>46487</v>
      </c>
      <c r="C3437" t="s">
        <v>45</v>
      </c>
      <c r="D3437" t="str">
        <f>IF(COUNTIFS(Verweise!$A$2:$A$4542,Übersicht!$C$7,Verweise!$B$2:$B$4542,B3437)=1,"Feiertag",IF(C3437="Samstag","",IF(C3437="Sonntag","",Übersicht!$C$8)))</f>
        <v>Feiertag</v>
      </c>
    </row>
    <row r="3438" spans="1:4" x14ac:dyDescent="0.25">
      <c r="A3438" t="s">
        <v>65</v>
      </c>
      <c r="B3438" s="48">
        <v>46489</v>
      </c>
      <c r="C3438" t="s">
        <v>46</v>
      </c>
      <c r="D3438" t="str">
        <f>IF(COUNTIFS(Verweise!$A$2:$A$4542,Übersicht!$C$7,Verweise!$B$2:$B$4542,B3438)=1,"Feiertag",IF(C3438="Samstag","",IF(C3438="Sonntag","",Übersicht!$C$8)))</f>
        <v>Feiertag</v>
      </c>
    </row>
    <row r="3439" spans="1:4" x14ac:dyDescent="0.25">
      <c r="A3439" t="s">
        <v>65</v>
      </c>
      <c r="B3439" s="48">
        <v>46490</v>
      </c>
      <c r="C3439" t="s">
        <v>47</v>
      </c>
      <c r="D3439" t="str">
        <f>IF(COUNTIFS(Verweise!$A$2:$A$4542,Übersicht!$C$7,Verweise!$B$2:$B$4542,B3439)=1,"Feiertag",IF(C3439="Samstag","",IF(C3439="Sonntag","",Übersicht!$C$8)))</f>
        <v>Feiertag</v>
      </c>
    </row>
    <row r="3440" spans="1:4" x14ac:dyDescent="0.25">
      <c r="A3440" t="s">
        <v>65</v>
      </c>
      <c r="B3440" s="48">
        <v>46507</v>
      </c>
      <c r="C3440" t="s">
        <v>48</v>
      </c>
      <c r="D3440" t="str">
        <f>IF(COUNTIFS(Verweise!$A$2:$A$4542,Übersicht!$C$7,Verweise!$B$2:$B$4542,B3440)=1,"Feiertag",IF(C3440="Samstag","",IF(C3440="Sonntag","",Übersicht!$C$8)))</f>
        <v>Feiertag</v>
      </c>
    </row>
    <row r="3441" spans="1:4" x14ac:dyDescent="0.25">
      <c r="A3441" t="s">
        <v>65</v>
      </c>
      <c r="B3441" s="48">
        <v>46528</v>
      </c>
      <c r="C3441" t="s">
        <v>49</v>
      </c>
      <c r="D3441" t="str">
        <f>IF(COUNTIFS(Verweise!$A$2:$A$4542,Übersicht!$C$7,Verweise!$B$2:$B$4542,B3441)=1,"Feiertag",IF(C3441="Samstag","",IF(C3441="Sonntag","",Übersicht!$C$8)))</f>
        <v>Feiertag</v>
      </c>
    </row>
    <row r="3442" spans="1:4" x14ac:dyDescent="0.25">
      <c r="A3442" t="s">
        <v>65</v>
      </c>
      <c r="B3442" s="48">
        <v>46538</v>
      </c>
      <c r="C3442" t="s">
        <v>50</v>
      </c>
      <c r="D3442" t="str">
        <f>IF(COUNTIFS(Verweise!$A$2:$A$4542,Übersicht!$C$7,Verweise!$B$2:$B$4542,B3442)=1,"Feiertag",IF(C3442="Samstag","",IF(C3442="Sonntag","",Übersicht!$C$8)))</f>
        <v>Feiertag</v>
      </c>
    </row>
    <row r="3443" spans="1:4" x14ac:dyDescent="0.25">
      <c r="A3443" t="s">
        <v>65</v>
      </c>
      <c r="B3443" s="48">
        <v>46539</v>
      </c>
      <c r="C3443" t="s">
        <v>51</v>
      </c>
      <c r="D3443" t="str">
        <f>IF(COUNTIFS(Verweise!$A$2:$A$4542,Übersicht!$C$7,Verweise!$B$2:$B$4542,B3443)=1,"Feiertag",IF(C3443="Samstag","",IF(C3443="Sonntag","",Übersicht!$C$8)))</f>
        <v>Feiertag</v>
      </c>
    </row>
    <row r="3444" spans="1:4" x14ac:dyDescent="0.25">
      <c r="A3444" t="s">
        <v>65</v>
      </c>
      <c r="B3444" s="48">
        <v>46549</v>
      </c>
      <c r="C3444" t="s">
        <v>52</v>
      </c>
      <c r="D3444" t="str">
        <f>IF(COUNTIFS(Verweise!$A$2:$A$4542,Übersicht!$C$7,Verweise!$B$2:$B$4542,B3444)=1,"Feiertag",IF(C3444="Samstag","",IF(C3444="Sonntag","",Übersicht!$C$8)))</f>
        <v>Feiertag</v>
      </c>
    </row>
    <row r="3445" spans="1:4" x14ac:dyDescent="0.25">
      <c r="A3445" t="s">
        <v>65</v>
      </c>
      <c r="B3445" s="48">
        <v>46662</v>
      </c>
      <c r="C3445" t="s">
        <v>53</v>
      </c>
      <c r="D3445" t="str">
        <f>IF(COUNTIFS(Verweise!$A$2:$A$4542,Übersicht!$C$7,Verweise!$B$2:$B$4542,B3445)=1,"Feiertag",IF(C3445="Samstag","",IF(C3445="Sonntag","",Übersicht!$C$8)))</f>
        <v>Feiertag</v>
      </c>
    </row>
    <row r="3446" spans="1:4" x14ac:dyDescent="0.25">
      <c r="A3446" t="s">
        <v>65</v>
      </c>
      <c r="B3446" s="48">
        <v>46745</v>
      </c>
      <c r="C3446" t="s">
        <v>55</v>
      </c>
      <c r="D3446" t="str">
        <f>IF(COUNTIFS(Verweise!$A$2:$A$4542,Übersicht!$C$7,Verweise!$B$2:$B$4542,B3446)=1,"Feiertag",IF(C3446="Samstag","",IF(C3446="Sonntag","",Übersicht!$C$8)))</f>
        <v>Feiertag</v>
      </c>
    </row>
    <row r="3447" spans="1:4" x14ac:dyDescent="0.25">
      <c r="A3447" t="s">
        <v>65</v>
      </c>
      <c r="B3447" s="48">
        <v>46746</v>
      </c>
      <c r="C3447" t="s">
        <v>56</v>
      </c>
      <c r="D3447" t="str">
        <f>IF(COUNTIFS(Verweise!$A$2:$A$4542,Übersicht!$C$7,Verweise!$B$2:$B$4542,B3447)=1,"Feiertag",IF(C3447="Samstag","",IF(C3447="Sonntag","",Übersicht!$C$8)))</f>
        <v>Feiertag</v>
      </c>
    </row>
    <row r="3448" spans="1:4" x14ac:dyDescent="0.25">
      <c r="A3448" t="s">
        <v>66</v>
      </c>
      <c r="B3448" s="48">
        <v>46387</v>
      </c>
      <c r="C3448" t="s">
        <v>43</v>
      </c>
      <c r="D3448" t="str">
        <f>IF(COUNTIFS(Verweise!$A$2:$A$4542,Übersicht!$C$7,Verweise!$B$2:$B$4542,B3448)=1,"Feiertag",IF(C3448="Samstag","",IF(C3448="Sonntag","",Übersicht!$C$8)))</f>
        <v>Feiertag</v>
      </c>
    </row>
    <row r="3449" spans="1:4" x14ac:dyDescent="0.25">
      <c r="A3449" t="s">
        <v>66</v>
      </c>
      <c r="B3449" s="48">
        <v>46487</v>
      </c>
      <c r="C3449" t="s">
        <v>45</v>
      </c>
      <c r="D3449" t="str">
        <f>IF(COUNTIFS(Verweise!$A$2:$A$4542,Übersicht!$C$7,Verweise!$B$2:$B$4542,B3449)=1,"Feiertag",IF(C3449="Samstag","",IF(C3449="Sonntag","",Übersicht!$C$8)))</f>
        <v>Feiertag</v>
      </c>
    </row>
    <row r="3450" spans="1:4" x14ac:dyDescent="0.25">
      <c r="A3450" t="s">
        <v>66</v>
      </c>
      <c r="B3450" s="48">
        <v>46489</v>
      </c>
      <c r="C3450" t="s">
        <v>46</v>
      </c>
      <c r="D3450" t="str">
        <f>IF(COUNTIFS(Verweise!$A$2:$A$4542,Übersicht!$C$7,Verweise!$B$2:$B$4542,B3450)=1,"Feiertag",IF(C3450="Samstag","",IF(C3450="Sonntag","",Übersicht!$C$8)))</f>
        <v>Feiertag</v>
      </c>
    </row>
    <row r="3451" spans="1:4" x14ac:dyDescent="0.25">
      <c r="A3451" t="s">
        <v>66</v>
      </c>
      <c r="B3451" s="48">
        <v>46490</v>
      </c>
      <c r="C3451" t="s">
        <v>47</v>
      </c>
      <c r="D3451" t="str">
        <f>IF(COUNTIFS(Verweise!$A$2:$A$4542,Übersicht!$C$7,Verweise!$B$2:$B$4542,B3451)=1,"Feiertag",IF(C3451="Samstag","",IF(C3451="Sonntag","",Übersicht!$C$8)))</f>
        <v>Feiertag</v>
      </c>
    </row>
    <row r="3452" spans="1:4" x14ac:dyDescent="0.25">
      <c r="A3452" t="s">
        <v>66</v>
      </c>
      <c r="B3452" s="48">
        <v>46507</v>
      </c>
      <c r="C3452" t="s">
        <v>48</v>
      </c>
      <c r="D3452" t="str">
        <f>IF(COUNTIFS(Verweise!$A$2:$A$4542,Übersicht!$C$7,Verweise!$B$2:$B$4542,B3452)=1,"Feiertag",IF(C3452="Samstag","",IF(C3452="Sonntag","",Übersicht!$C$8)))</f>
        <v>Feiertag</v>
      </c>
    </row>
    <row r="3453" spans="1:4" x14ac:dyDescent="0.25">
      <c r="A3453" t="s">
        <v>66</v>
      </c>
      <c r="B3453" s="48">
        <v>46528</v>
      </c>
      <c r="C3453" t="s">
        <v>49</v>
      </c>
      <c r="D3453" t="str">
        <f>IF(COUNTIFS(Verweise!$A$2:$A$4542,Übersicht!$C$7,Verweise!$B$2:$B$4542,B3453)=1,"Feiertag",IF(C3453="Samstag","",IF(C3453="Sonntag","",Übersicht!$C$8)))</f>
        <v>Feiertag</v>
      </c>
    </row>
    <row r="3454" spans="1:4" x14ac:dyDescent="0.25">
      <c r="A3454" t="s">
        <v>66</v>
      </c>
      <c r="B3454" s="48">
        <v>46538</v>
      </c>
      <c r="C3454" t="s">
        <v>50</v>
      </c>
      <c r="D3454" t="str">
        <f>IF(COUNTIFS(Verweise!$A$2:$A$4542,Übersicht!$C$7,Verweise!$B$2:$B$4542,B3454)=1,"Feiertag",IF(C3454="Samstag","",IF(C3454="Sonntag","",Übersicht!$C$8)))</f>
        <v>Feiertag</v>
      </c>
    </row>
    <row r="3455" spans="1:4" x14ac:dyDescent="0.25">
      <c r="A3455" t="s">
        <v>66</v>
      </c>
      <c r="B3455" s="48">
        <v>46539</v>
      </c>
      <c r="C3455" t="s">
        <v>51</v>
      </c>
      <c r="D3455" t="str">
        <f>IF(COUNTIFS(Verweise!$A$2:$A$4542,Übersicht!$C$7,Verweise!$B$2:$B$4542,B3455)=1,"Feiertag",IF(C3455="Samstag","",IF(C3455="Sonntag","",Übersicht!$C$8)))</f>
        <v>Feiertag</v>
      </c>
    </row>
    <row r="3456" spans="1:4" x14ac:dyDescent="0.25">
      <c r="A3456" t="s">
        <v>66</v>
      </c>
      <c r="B3456" s="48">
        <v>46662</v>
      </c>
      <c r="C3456" t="s">
        <v>53</v>
      </c>
      <c r="D3456" t="str">
        <f>IF(COUNTIFS(Verweise!$A$2:$A$4542,Übersicht!$C$7,Verweise!$B$2:$B$4542,B3456)=1,"Feiertag",IF(C3456="Samstag","",IF(C3456="Sonntag","",Übersicht!$C$8)))</f>
        <v>Feiertag</v>
      </c>
    </row>
    <row r="3457" spans="1:4" x14ac:dyDescent="0.25">
      <c r="A3457" t="s">
        <v>66</v>
      </c>
      <c r="B3457" s="48">
        <v>46690</v>
      </c>
      <c r="C3457" t="s">
        <v>62</v>
      </c>
      <c r="D3457" t="str">
        <f>IF(COUNTIFS(Verweise!$A$2:$A$4542,Übersicht!$C$7,Verweise!$B$2:$B$4542,B3457)=1,"Feiertag",IF(C3457="Samstag","",IF(C3457="Sonntag","",Übersicht!$C$8)))</f>
        <v>Büro</v>
      </c>
    </row>
    <row r="3458" spans="1:4" x14ac:dyDescent="0.25">
      <c r="A3458" t="s">
        <v>66</v>
      </c>
      <c r="B3458" s="48">
        <v>46745</v>
      </c>
      <c r="C3458" t="s">
        <v>55</v>
      </c>
      <c r="D3458" t="str">
        <f>IF(COUNTIFS(Verweise!$A$2:$A$4542,Übersicht!$C$7,Verweise!$B$2:$B$4542,B3458)=1,"Feiertag",IF(C3458="Samstag","",IF(C3458="Sonntag","",Übersicht!$C$8)))</f>
        <v>Feiertag</v>
      </c>
    </row>
    <row r="3459" spans="1:4" x14ac:dyDescent="0.25">
      <c r="A3459" t="s">
        <v>66</v>
      </c>
      <c r="B3459" s="48">
        <v>46746</v>
      </c>
      <c r="C3459" t="s">
        <v>56</v>
      </c>
      <c r="D3459" t="str">
        <f>IF(COUNTIFS(Verweise!$A$2:$A$4542,Übersicht!$C$7,Verweise!$B$2:$B$4542,B3459)=1,"Feiertag",IF(C3459="Samstag","",IF(C3459="Sonntag","",Übersicht!$C$8)))</f>
        <v>Feiertag</v>
      </c>
    </row>
    <row r="3460" spans="1:4" x14ac:dyDescent="0.25">
      <c r="A3460" t="s">
        <v>67</v>
      </c>
      <c r="B3460" s="48">
        <v>46387</v>
      </c>
      <c r="C3460" t="s">
        <v>43</v>
      </c>
      <c r="D3460" t="str">
        <f>IF(COUNTIFS(Verweise!$A$2:$A$4542,Übersicht!$C$7,Verweise!$B$2:$B$4542,B3460)=1,"Feiertag",IF(C3460="Samstag","",IF(C3460="Sonntag","",Übersicht!$C$8)))</f>
        <v>Feiertag</v>
      </c>
    </row>
    <row r="3461" spans="1:4" x14ac:dyDescent="0.25">
      <c r="A3461" t="s">
        <v>67</v>
      </c>
      <c r="B3461" s="48">
        <v>46487</v>
      </c>
      <c r="C3461" t="s">
        <v>45</v>
      </c>
      <c r="D3461" t="str">
        <f>IF(COUNTIFS(Verweise!$A$2:$A$4542,Übersicht!$C$7,Verweise!$B$2:$B$4542,B3461)=1,"Feiertag",IF(C3461="Samstag","",IF(C3461="Sonntag","",Übersicht!$C$8)))</f>
        <v>Feiertag</v>
      </c>
    </row>
    <row r="3462" spans="1:4" x14ac:dyDescent="0.25">
      <c r="A3462" t="s">
        <v>67</v>
      </c>
      <c r="B3462" s="48">
        <v>46489</v>
      </c>
      <c r="C3462" t="s">
        <v>46</v>
      </c>
      <c r="D3462" t="str">
        <f>IF(COUNTIFS(Verweise!$A$2:$A$4542,Übersicht!$C$7,Verweise!$B$2:$B$4542,B3462)=1,"Feiertag",IF(C3462="Samstag","",IF(C3462="Sonntag","",Übersicht!$C$8)))</f>
        <v>Feiertag</v>
      </c>
    </row>
    <row r="3463" spans="1:4" x14ac:dyDescent="0.25">
      <c r="A3463" t="s">
        <v>67</v>
      </c>
      <c r="B3463" s="48">
        <v>46490</v>
      </c>
      <c r="C3463" t="s">
        <v>47</v>
      </c>
      <c r="D3463" t="str">
        <f>IF(COUNTIFS(Verweise!$A$2:$A$4542,Übersicht!$C$7,Verweise!$B$2:$B$4542,B3463)=1,"Feiertag",IF(C3463="Samstag","",IF(C3463="Sonntag","",Übersicht!$C$8)))</f>
        <v>Feiertag</v>
      </c>
    </row>
    <row r="3464" spans="1:4" x14ac:dyDescent="0.25">
      <c r="A3464" t="s">
        <v>67</v>
      </c>
      <c r="B3464" s="48">
        <v>46507</v>
      </c>
      <c r="C3464" t="s">
        <v>48</v>
      </c>
      <c r="D3464" t="str">
        <f>IF(COUNTIFS(Verweise!$A$2:$A$4542,Übersicht!$C$7,Verweise!$B$2:$B$4542,B3464)=1,"Feiertag",IF(C3464="Samstag","",IF(C3464="Sonntag","",Übersicht!$C$8)))</f>
        <v>Feiertag</v>
      </c>
    </row>
    <row r="3465" spans="1:4" x14ac:dyDescent="0.25">
      <c r="A3465" t="s">
        <v>67</v>
      </c>
      <c r="B3465" s="48">
        <v>46528</v>
      </c>
      <c r="C3465" t="s">
        <v>49</v>
      </c>
      <c r="D3465" t="str">
        <f>IF(COUNTIFS(Verweise!$A$2:$A$4542,Übersicht!$C$7,Verweise!$B$2:$B$4542,B3465)=1,"Feiertag",IF(C3465="Samstag","",IF(C3465="Sonntag","",Übersicht!$C$8)))</f>
        <v>Feiertag</v>
      </c>
    </row>
    <row r="3466" spans="1:4" x14ac:dyDescent="0.25">
      <c r="A3466" t="s">
        <v>67</v>
      </c>
      <c r="B3466" s="48">
        <v>46538</v>
      </c>
      <c r="C3466" t="s">
        <v>50</v>
      </c>
      <c r="D3466" t="str">
        <f>IF(COUNTIFS(Verweise!$A$2:$A$4542,Übersicht!$C$7,Verweise!$B$2:$B$4542,B3466)=1,"Feiertag",IF(C3466="Samstag","",IF(C3466="Sonntag","",Übersicht!$C$8)))</f>
        <v>Feiertag</v>
      </c>
    </row>
    <row r="3467" spans="1:4" x14ac:dyDescent="0.25">
      <c r="A3467" t="s">
        <v>67</v>
      </c>
      <c r="B3467" s="48">
        <v>46539</v>
      </c>
      <c r="C3467" t="s">
        <v>51</v>
      </c>
      <c r="D3467" t="str">
        <f>IF(COUNTIFS(Verweise!$A$2:$A$4542,Übersicht!$C$7,Verweise!$B$2:$B$4542,B3467)=1,"Feiertag",IF(C3467="Samstag","",IF(C3467="Sonntag","",Übersicht!$C$8)))</f>
        <v>Feiertag</v>
      </c>
    </row>
    <row r="3468" spans="1:4" x14ac:dyDescent="0.25">
      <c r="A3468" t="s">
        <v>67</v>
      </c>
      <c r="B3468" s="48">
        <v>46662</v>
      </c>
      <c r="C3468" t="s">
        <v>53</v>
      </c>
      <c r="D3468" t="str">
        <f>IF(COUNTIFS(Verweise!$A$2:$A$4542,Übersicht!$C$7,Verweise!$B$2:$B$4542,B3468)=1,"Feiertag",IF(C3468="Samstag","",IF(C3468="Sonntag","",Übersicht!$C$8)))</f>
        <v>Feiertag</v>
      </c>
    </row>
    <row r="3469" spans="1:4" x14ac:dyDescent="0.25">
      <c r="A3469" t="s">
        <v>67</v>
      </c>
      <c r="B3469" s="48">
        <v>46745</v>
      </c>
      <c r="C3469" t="s">
        <v>55</v>
      </c>
      <c r="D3469" t="str">
        <f>IF(COUNTIFS(Verweise!$A$2:$A$4542,Übersicht!$C$7,Verweise!$B$2:$B$4542,B3469)=1,"Feiertag",IF(C3469="Samstag","",IF(C3469="Sonntag","",Übersicht!$C$8)))</f>
        <v>Feiertag</v>
      </c>
    </row>
    <row r="3470" spans="1:4" x14ac:dyDescent="0.25">
      <c r="A3470" t="s">
        <v>67</v>
      </c>
      <c r="B3470" s="48">
        <v>46746</v>
      </c>
      <c r="C3470" t="s">
        <v>56</v>
      </c>
      <c r="D3470" t="str">
        <f>IF(COUNTIFS(Verweise!$A$2:$A$4542,Übersicht!$C$7,Verweise!$B$2:$B$4542,B3470)=1,"Feiertag",IF(C3470="Samstag","",IF(C3470="Sonntag","",Übersicht!$C$8)))</f>
        <v>Feiertag</v>
      </c>
    </row>
    <row r="3471" spans="1:4" x14ac:dyDescent="0.25">
      <c r="A3471" t="s">
        <v>68</v>
      </c>
      <c r="B3471" s="48">
        <v>46387</v>
      </c>
      <c r="C3471" t="s">
        <v>43</v>
      </c>
      <c r="D3471" t="str">
        <f>IF(COUNTIFS(Verweise!$A$2:$A$4542,Übersicht!$C$7,Verweise!$B$2:$B$4542,B3471)=1,"Feiertag",IF(C3471="Samstag","",IF(C3471="Sonntag","",Übersicht!$C$8)))</f>
        <v>Feiertag</v>
      </c>
    </row>
    <row r="3472" spans="1:4" x14ac:dyDescent="0.25">
      <c r="A3472" t="s">
        <v>68</v>
      </c>
      <c r="B3472" s="48">
        <v>46487</v>
      </c>
      <c r="C3472" t="s">
        <v>45</v>
      </c>
      <c r="D3472" t="str">
        <f>IF(COUNTIFS(Verweise!$A$2:$A$4542,Übersicht!$C$7,Verweise!$B$2:$B$4542,B3472)=1,"Feiertag",IF(C3472="Samstag","",IF(C3472="Sonntag","",Übersicht!$C$8)))</f>
        <v>Feiertag</v>
      </c>
    </row>
    <row r="3473" spans="1:4" x14ac:dyDescent="0.25">
      <c r="A3473" t="s">
        <v>68</v>
      </c>
      <c r="B3473" s="48">
        <v>46489</v>
      </c>
      <c r="C3473" t="s">
        <v>46</v>
      </c>
      <c r="D3473" t="str">
        <f>IF(COUNTIFS(Verweise!$A$2:$A$4542,Übersicht!$C$7,Verweise!$B$2:$B$4542,B3473)=1,"Feiertag",IF(C3473="Samstag","",IF(C3473="Sonntag","",Übersicht!$C$8)))</f>
        <v>Feiertag</v>
      </c>
    </row>
    <row r="3474" spans="1:4" x14ac:dyDescent="0.25">
      <c r="A3474" t="s">
        <v>68</v>
      </c>
      <c r="B3474" s="48">
        <v>46490</v>
      </c>
      <c r="C3474" t="s">
        <v>47</v>
      </c>
      <c r="D3474" t="str">
        <f>IF(COUNTIFS(Verweise!$A$2:$A$4542,Übersicht!$C$7,Verweise!$B$2:$B$4542,B3474)=1,"Feiertag",IF(C3474="Samstag","",IF(C3474="Sonntag","",Übersicht!$C$8)))</f>
        <v>Feiertag</v>
      </c>
    </row>
    <row r="3475" spans="1:4" x14ac:dyDescent="0.25">
      <c r="A3475" t="s">
        <v>68</v>
      </c>
      <c r="B3475" s="48">
        <v>46507</v>
      </c>
      <c r="C3475" t="s">
        <v>48</v>
      </c>
      <c r="D3475" t="str">
        <f>IF(COUNTIFS(Verweise!$A$2:$A$4542,Übersicht!$C$7,Verweise!$B$2:$B$4542,B3475)=1,"Feiertag",IF(C3475="Samstag","",IF(C3475="Sonntag","",Übersicht!$C$8)))</f>
        <v>Feiertag</v>
      </c>
    </row>
    <row r="3476" spans="1:4" x14ac:dyDescent="0.25">
      <c r="A3476" t="s">
        <v>68</v>
      </c>
      <c r="B3476" s="48">
        <v>46528</v>
      </c>
      <c r="C3476" t="s">
        <v>49</v>
      </c>
      <c r="D3476" t="str">
        <f>IF(COUNTIFS(Verweise!$A$2:$A$4542,Übersicht!$C$7,Verweise!$B$2:$B$4542,B3476)=1,"Feiertag",IF(C3476="Samstag","",IF(C3476="Sonntag","",Übersicht!$C$8)))</f>
        <v>Feiertag</v>
      </c>
    </row>
    <row r="3477" spans="1:4" x14ac:dyDescent="0.25">
      <c r="A3477" t="s">
        <v>68</v>
      </c>
      <c r="B3477" s="48">
        <v>46538</v>
      </c>
      <c r="C3477" t="s">
        <v>50</v>
      </c>
      <c r="D3477" t="str">
        <f>IF(COUNTIFS(Verweise!$A$2:$A$4542,Übersicht!$C$7,Verweise!$B$2:$B$4542,B3477)=1,"Feiertag",IF(C3477="Samstag","",IF(C3477="Sonntag","",Übersicht!$C$8)))</f>
        <v>Feiertag</v>
      </c>
    </row>
    <row r="3478" spans="1:4" x14ac:dyDescent="0.25">
      <c r="A3478" t="s">
        <v>68</v>
      </c>
      <c r="B3478" s="48">
        <v>46539</v>
      </c>
      <c r="C3478" t="s">
        <v>51</v>
      </c>
      <c r="D3478" t="str">
        <f>IF(COUNTIFS(Verweise!$A$2:$A$4542,Übersicht!$C$7,Verweise!$B$2:$B$4542,B3478)=1,"Feiertag",IF(C3478="Samstag","",IF(C3478="Sonntag","",Übersicht!$C$8)))</f>
        <v>Feiertag</v>
      </c>
    </row>
    <row r="3479" spans="1:4" x14ac:dyDescent="0.25">
      <c r="A3479" t="s">
        <v>68</v>
      </c>
      <c r="B3479" s="48">
        <v>46549</v>
      </c>
      <c r="C3479" t="s">
        <v>52</v>
      </c>
      <c r="D3479" t="str">
        <f>IF(COUNTIFS(Verweise!$A$2:$A$4542,Übersicht!$C$7,Verweise!$B$2:$B$4542,B3479)=1,"Feiertag",IF(C3479="Samstag","",IF(C3479="Sonntag","",Übersicht!$C$8)))</f>
        <v>Feiertag</v>
      </c>
    </row>
    <row r="3480" spans="1:4" x14ac:dyDescent="0.25">
      <c r="A3480" t="s">
        <v>68</v>
      </c>
      <c r="B3480" s="48">
        <v>46662</v>
      </c>
      <c r="C3480" t="s">
        <v>53</v>
      </c>
      <c r="D3480" t="str">
        <f>IF(COUNTIFS(Verweise!$A$2:$A$4542,Übersicht!$C$7,Verweise!$B$2:$B$4542,B3480)=1,"Feiertag",IF(C3480="Samstag","",IF(C3480="Sonntag","",Übersicht!$C$8)))</f>
        <v>Feiertag</v>
      </c>
    </row>
    <row r="3481" spans="1:4" x14ac:dyDescent="0.25">
      <c r="A3481" t="s">
        <v>68</v>
      </c>
      <c r="B3481" s="48">
        <v>46691</v>
      </c>
      <c r="C3481" t="s">
        <v>54</v>
      </c>
      <c r="D3481" t="str">
        <f>IF(COUNTIFS(Verweise!$A$2:$A$4542,Übersicht!$C$7,Verweise!$B$2:$B$4542,B3481)=1,"Feiertag",IF(C3481="Samstag","",IF(C3481="Sonntag","",Übersicht!$C$8)))</f>
        <v>Feiertag</v>
      </c>
    </row>
    <row r="3482" spans="1:4" x14ac:dyDescent="0.25">
      <c r="A3482" t="s">
        <v>68</v>
      </c>
      <c r="B3482" s="48">
        <v>46745</v>
      </c>
      <c r="C3482" t="s">
        <v>55</v>
      </c>
      <c r="D3482" t="str">
        <f>IF(COUNTIFS(Verweise!$A$2:$A$4542,Übersicht!$C$7,Verweise!$B$2:$B$4542,B3482)=1,"Feiertag",IF(C3482="Samstag","",IF(C3482="Sonntag","",Übersicht!$C$8)))</f>
        <v>Feiertag</v>
      </c>
    </row>
    <row r="3483" spans="1:4" x14ac:dyDescent="0.25">
      <c r="A3483" t="s">
        <v>68</v>
      </c>
      <c r="B3483" s="48">
        <v>46746</v>
      </c>
      <c r="C3483" t="s">
        <v>56</v>
      </c>
      <c r="D3483" t="str">
        <f>IF(COUNTIFS(Verweise!$A$2:$A$4542,Übersicht!$C$7,Verweise!$B$2:$B$4542,B3483)=1,"Feiertag",IF(C3483="Samstag","",IF(C3483="Sonntag","",Übersicht!$C$8)))</f>
        <v>Feiertag</v>
      </c>
    </row>
    <row r="3484" spans="1:4" x14ac:dyDescent="0.25">
      <c r="A3484" t="s">
        <v>69</v>
      </c>
      <c r="B3484" s="48">
        <v>46387</v>
      </c>
      <c r="C3484" t="s">
        <v>43</v>
      </c>
      <c r="D3484" t="str">
        <f>IF(COUNTIFS(Verweise!$A$2:$A$4542,Übersicht!$C$7,Verweise!$B$2:$B$4542,B3484)=1,"Feiertag",IF(C3484="Samstag","",IF(C3484="Sonntag","",Übersicht!$C$8)))</f>
        <v>Feiertag</v>
      </c>
    </row>
    <row r="3485" spans="1:4" x14ac:dyDescent="0.25">
      <c r="A3485" t="s">
        <v>69</v>
      </c>
      <c r="B3485" s="48">
        <v>46487</v>
      </c>
      <c r="C3485" t="s">
        <v>45</v>
      </c>
      <c r="D3485" t="str">
        <f>IF(COUNTIFS(Verweise!$A$2:$A$4542,Übersicht!$C$7,Verweise!$B$2:$B$4542,B3485)=1,"Feiertag",IF(C3485="Samstag","",IF(C3485="Sonntag","",Übersicht!$C$8)))</f>
        <v>Feiertag</v>
      </c>
    </row>
    <row r="3486" spans="1:4" x14ac:dyDescent="0.25">
      <c r="A3486" t="s">
        <v>69</v>
      </c>
      <c r="B3486" s="48">
        <v>46489</v>
      </c>
      <c r="C3486" t="s">
        <v>46</v>
      </c>
      <c r="D3486" t="str">
        <f>IF(COUNTIFS(Verweise!$A$2:$A$4542,Übersicht!$C$7,Verweise!$B$2:$B$4542,B3486)=1,"Feiertag",IF(C3486="Samstag","",IF(C3486="Sonntag","",Übersicht!$C$8)))</f>
        <v>Feiertag</v>
      </c>
    </row>
    <row r="3487" spans="1:4" x14ac:dyDescent="0.25">
      <c r="A3487" t="s">
        <v>69</v>
      </c>
      <c r="B3487" s="48">
        <v>46490</v>
      </c>
      <c r="C3487" t="s">
        <v>47</v>
      </c>
      <c r="D3487" t="str">
        <f>IF(COUNTIFS(Verweise!$A$2:$A$4542,Übersicht!$C$7,Verweise!$B$2:$B$4542,B3487)=1,"Feiertag",IF(C3487="Samstag","",IF(C3487="Sonntag","",Übersicht!$C$8)))</f>
        <v>Feiertag</v>
      </c>
    </row>
    <row r="3488" spans="1:4" x14ac:dyDescent="0.25">
      <c r="A3488" t="s">
        <v>69</v>
      </c>
      <c r="B3488" s="48">
        <v>46507</v>
      </c>
      <c r="C3488" t="s">
        <v>48</v>
      </c>
      <c r="D3488" t="str">
        <f>IF(COUNTIFS(Verweise!$A$2:$A$4542,Übersicht!$C$7,Verweise!$B$2:$B$4542,B3488)=1,"Feiertag",IF(C3488="Samstag","",IF(C3488="Sonntag","",Übersicht!$C$8)))</f>
        <v>Feiertag</v>
      </c>
    </row>
    <row r="3489" spans="1:4" x14ac:dyDescent="0.25">
      <c r="A3489" t="s">
        <v>69</v>
      </c>
      <c r="B3489" s="48">
        <v>46528</v>
      </c>
      <c r="C3489" t="s">
        <v>49</v>
      </c>
      <c r="D3489" t="str">
        <f>IF(COUNTIFS(Verweise!$A$2:$A$4542,Übersicht!$C$7,Verweise!$B$2:$B$4542,B3489)=1,"Feiertag",IF(C3489="Samstag","",IF(C3489="Sonntag","",Übersicht!$C$8)))</f>
        <v>Feiertag</v>
      </c>
    </row>
    <row r="3490" spans="1:4" x14ac:dyDescent="0.25">
      <c r="A3490" t="s">
        <v>69</v>
      </c>
      <c r="B3490" s="48">
        <v>46538</v>
      </c>
      <c r="C3490" t="s">
        <v>50</v>
      </c>
      <c r="D3490" t="str">
        <f>IF(COUNTIFS(Verweise!$A$2:$A$4542,Übersicht!$C$7,Verweise!$B$2:$B$4542,B3490)=1,"Feiertag",IF(C3490="Samstag","",IF(C3490="Sonntag","",Übersicht!$C$8)))</f>
        <v>Feiertag</v>
      </c>
    </row>
    <row r="3491" spans="1:4" x14ac:dyDescent="0.25">
      <c r="A3491" t="s">
        <v>69</v>
      </c>
      <c r="B3491" s="48">
        <v>46539</v>
      </c>
      <c r="C3491" t="s">
        <v>51</v>
      </c>
      <c r="D3491" t="str">
        <f>IF(COUNTIFS(Verweise!$A$2:$A$4542,Übersicht!$C$7,Verweise!$B$2:$B$4542,B3491)=1,"Feiertag",IF(C3491="Samstag","",IF(C3491="Sonntag","",Übersicht!$C$8)))</f>
        <v>Feiertag</v>
      </c>
    </row>
    <row r="3492" spans="1:4" x14ac:dyDescent="0.25">
      <c r="A3492" t="s">
        <v>69</v>
      </c>
      <c r="B3492" s="48">
        <v>46549</v>
      </c>
      <c r="C3492" t="s">
        <v>52</v>
      </c>
      <c r="D3492" t="str">
        <f>IF(COUNTIFS(Verweise!$A$2:$A$4542,Übersicht!$C$7,Verweise!$B$2:$B$4542,B3492)=1,"Feiertag",IF(C3492="Samstag","",IF(C3492="Sonntag","",Übersicht!$C$8)))</f>
        <v>Feiertag</v>
      </c>
    </row>
    <row r="3493" spans="1:4" x14ac:dyDescent="0.25">
      <c r="A3493" t="s">
        <v>69</v>
      </c>
      <c r="B3493" s="48">
        <v>46662</v>
      </c>
      <c r="C3493" t="s">
        <v>53</v>
      </c>
      <c r="D3493" t="str">
        <f>IF(COUNTIFS(Verweise!$A$2:$A$4542,Übersicht!$C$7,Verweise!$B$2:$B$4542,B3493)=1,"Feiertag",IF(C3493="Samstag","",IF(C3493="Sonntag","",Übersicht!$C$8)))</f>
        <v>Feiertag</v>
      </c>
    </row>
    <row r="3494" spans="1:4" x14ac:dyDescent="0.25">
      <c r="A3494" t="s">
        <v>69</v>
      </c>
      <c r="B3494" s="48">
        <v>46691</v>
      </c>
      <c r="C3494" t="s">
        <v>54</v>
      </c>
      <c r="D3494" t="str">
        <f>IF(COUNTIFS(Verweise!$A$2:$A$4542,Übersicht!$C$7,Verweise!$B$2:$B$4542,B3494)=1,"Feiertag",IF(C3494="Samstag","",IF(C3494="Sonntag","",Übersicht!$C$8)))</f>
        <v>Feiertag</v>
      </c>
    </row>
    <row r="3495" spans="1:4" x14ac:dyDescent="0.25">
      <c r="A3495" t="s">
        <v>69</v>
      </c>
      <c r="B3495" s="48">
        <v>46745</v>
      </c>
      <c r="C3495" t="s">
        <v>55</v>
      </c>
      <c r="D3495" t="str">
        <f>IF(COUNTIFS(Verweise!$A$2:$A$4542,Übersicht!$C$7,Verweise!$B$2:$B$4542,B3495)=1,"Feiertag",IF(C3495="Samstag","",IF(C3495="Sonntag","",Übersicht!$C$8)))</f>
        <v>Feiertag</v>
      </c>
    </row>
    <row r="3496" spans="1:4" x14ac:dyDescent="0.25">
      <c r="A3496" t="s">
        <v>69</v>
      </c>
      <c r="B3496" s="48">
        <v>46746</v>
      </c>
      <c r="C3496" t="s">
        <v>56</v>
      </c>
      <c r="D3496" t="str">
        <f>IF(COUNTIFS(Verweise!$A$2:$A$4542,Übersicht!$C$7,Verweise!$B$2:$B$4542,B3496)=1,"Feiertag",IF(C3496="Samstag","",IF(C3496="Sonntag","",Übersicht!$C$8)))</f>
        <v>Feiertag</v>
      </c>
    </row>
    <row r="3497" spans="1:4" x14ac:dyDescent="0.25">
      <c r="A3497" t="s">
        <v>70</v>
      </c>
      <c r="B3497" s="48">
        <v>46387</v>
      </c>
      <c r="C3497" t="s">
        <v>43</v>
      </c>
      <c r="D3497" t="str">
        <f>IF(COUNTIFS(Verweise!$A$2:$A$4542,Übersicht!$C$7,Verweise!$B$2:$B$4542,B3497)=1,"Feiertag",IF(C3497="Samstag","",IF(C3497="Sonntag","",Übersicht!$C$8)))</f>
        <v>Feiertag</v>
      </c>
    </row>
    <row r="3498" spans="1:4" x14ac:dyDescent="0.25">
      <c r="A3498" t="s">
        <v>70</v>
      </c>
      <c r="B3498" s="48">
        <v>46487</v>
      </c>
      <c r="C3498" t="s">
        <v>45</v>
      </c>
      <c r="D3498" t="str">
        <f>IF(COUNTIFS(Verweise!$A$2:$A$4542,Übersicht!$C$7,Verweise!$B$2:$B$4542,B3498)=1,"Feiertag",IF(C3498="Samstag","",IF(C3498="Sonntag","",Übersicht!$C$8)))</f>
        <v>Feiertag</v>
      </c>
    </row>
    <row r="3499" spans="1:4" x14ac:dyDescent="0.25">
      <c r="A3499" t="s">
        <v>70</v>
      </c>
      <c r="B3499" s="48">
        <v>46489</v>
      </c>
      <c r="C3499" t="s">
        <v>46</v>
      </c>
      <c r="D3499" t="str">
        <f>IF(COUNTIFS(Verweise!$A$2:$A$4542,Übersicht!$C$7,Verweise!$B$2:$B$4542,B3499)=1,"Feiertag",IF(C3499="Samstag","",IF(C3499="Sonntag","",Übersicht!$C$8)))</f>
        <v>Feiertag</v>
      </c>
    </row>
    <row r="3500" spans="1:4" x14ac:dyDescent="0.25">
      <c r="A3500" t="s">
        <v>70</v>
      </c>
      <c r="B3500" s="48">
        <v>46490</v>
      </c>
      <c r="C3500" t="s">
        <v>47</v>
      </c>
      <c r="D3500" t="str">
        <f>IF(COUNTIFS(Verweise!$A$2:$A$4542,Übersicht!$C$7,Verweise!$B$2:$B$4542,B3500)=1,"Feiertag",IF(C3500="Samstag","",IF(C3500="Sonntag","",Übersicht!$C$8)))</f>
        <v>Feiertag</v>
      </c>
    </row>
    <row r="3501" spans="1:4" x14ac:dyDescent="0.25">
      <c r="A3501" t="s">
        <v>70</v>
      </c>
      <c r="B3501" s="48">
        <v>46507</v>
      </c>
      <c r="C3501" t="s">
        <v>48</v>
      </c>
      <c r="D3501" t="str">
        <f>IF(COUNTIFS(Verweise!$A$2:$A$4542,Übersicht!$C$7,Verweise!$B$2:$B$4542,B3501)=1,"Feiertag",IF(C3501="Samstag","",IF(C3501="Sonntag","",Übersicht!$C$8)))</f>
        <v>Feiertag</v>
      </c>
    </row>
    <row r="3502" spans="1:4" x14ac:dyDescent="0.25">
      <c r="A3502" t="s">
        <v>70</v>
      </c>
      <c r="B3502" s="48">
        <v>46528</v>
      </c>
      <c r="C3502" t="s">
        <v>49</v>
      </c>
      <c r="D3502" t="str">
        <f>IF(COUNTIFS(Verweise!$A$2:$A$4542,Übersicht!$C$7,Verweise!$B$2:$B$4542,B3502)=1,"Feiertag",IF(C3502="Samstag","",IF(C3502="Sonntag","",Übersicht!$C$8)))</f>
        <v>Feiertag</v>
      </c>
    </row>
    <row r="3503" spans="1:4" x14ac:dyDescent="0.25">
      <c r="A3503" t="s">
        <v>70</v>
      </c>
      <c r="B3503" s="48">
        <v>46538</v>
      </c>
      <c r="C3503" t="s">
        <v>50</v>
      </c>
      <c r="D3503" t="str">
        <f>IF(COUNTIFS(Verweise!$A$2:$A$4542,Übersicht!$C$7,Verweise!$B$2:$B$4542,B3503)=1,"Feiertag",IF(C3503="Samstag","",IF(C3503="Sonntag","",Übersicht!$C$8)))</f>
        <v>Feiertag</v>
      </c>
    </row>
    <row r="3504" spans="1:4" x14ac:dyDescent="0.25">
      <c r="A3504" t="s">
        <v>70</v>
      </c>
      <c r="B3504" s="48">
        <v>46539</v>
      </c>
      <c r="C3504" t="s">
        <v>51</v>
      </c>
      <c r="D3504" t="str">
        <f>IF(COUNTIFS(Verweise!$A$2:$A$4542,Übersicht!$C$7,Verweise!$B$2:$B$4542,B3504)=1,"Feiertag",IF(C3504="Samstag","",IF(C3504="Sonntag","",Übersicht!$C$8)))</f>
        <v>Feiertag</v>
      </c>
    </row>
    <row r="3505" spans="1:4" x14ac:dyDescent="0.25">
      <c r="A3505" t="s">
        <v>70</v>
      </c>
      <c r="B3505" s="48">
        <v>46549</v>
      </c>
      <c r="C3505" t="s">
        <v>52</v>
      </c>
      <c r="D3505" t="str">
        <f>IF(COUNTIFS(Verweise!$A$2:$A$4542,Übersicht!$C$7,Verweise!$B$2:$B$4542,B3505)=1,"Feiertag",IF(C3505="Samstag","",IF(C3505="Sonntag","",Übersicht!$C$8)))</f>
        <v>Feiertag</v>
      </c>
    </row>
    <row r="3506" spans="1:4" x14ac:dyDescent="0.25">
      <c r="A3506" t="s">
        <v>70</v>
      </c>
      <c r="B3506" s="48">
        <v>46613</v>
      </c>
      <c r="C3506" t="s">
        <v>59</v>
      </c>
      <c r="D3506" t="str">
        <f>IF(COUNTIFS(Verweise!$A$2:$A$4542,Übersicht!$C$7,Verweise!$B$2:$B$4542,B3506)=1,"Feiertag",IF(C3506="Samstag","",IF(C3506="Sonntag","",Übersicht!$C$8)))</f>
        <v>Büro</v>
      </c>
    </row>
    <row r="3507" spans="1:4" x14ac:dyDescent="0.25">
      <c r="A3507" t="s">
        <v>70</v>
      </c>
      <c r="B3507" s="48">
        <v>46662</v>
      </c>
      <c r="C3507" t="s">
        <v>53</v>
      </c>
      <c r="D3507" t="str">
        <f>IF(COUNTIFS(Verweise!$A$2:$A$4542,Übersicht!$C$7,Verweise!$B$2:$B$4542,B3507)=1,"Feiertag",IF(C3507="Samstag","",IF(C3507="Sonntag","",Übersicht!$C$8)))</f>
        <v>Feiertag</v>
      </c>
    </row>
    <row r="3508" spans="1:4" x14ac:dyDescent="0.25">
      <c r="A3508" t="s">
        <v>70</v>
      </c>
      <c r="B3508" s="48">
        <v>46691</v>
      </c>
      <c r="C3508" t="s">
        <v>54</v>
      </c>
      <c r="D3508" t="str">
        <f>IF(COUNTIFS(Verweise!$A$2:$A$4542,Übersicht!$C$7,Verweise!$B$2:$B$4542,B3508)=1,"Feiertag",IF(C3508="Samstag","",IF(C3508="Sonntag","",Übersicht!$C$8)))</f>
        <v>Feiertag</v>
      </c>
    </row>
    <row r="3509" spans="1:4" x14ac:dyDescent="0.25">
      <c r="A3509" t="s">
        <v>70</v>
      </c>
      <c r="B3509" s="48">
        <v>46745</v>
      </c>
      <c r="C3509" t="s">
        <v>55</v>
      </c>
      <c r="D3509" t="str">
        <f>IF(COUNTIFS(Verweise!$A$2:$A$4542,Übersicht!$C$7,Verweise!$B$2:$B$4542,B3509)=1,"Feiertag",IF(C3509="Samstag","",IF(C3509="Sonntag","",Übersicht!$C$8)))</f>
        <v>Feiertag</v>
      </c>
    </row>
    <row r="3510" spans="1:4" x14ac:dyDescent="0.25">
      <c r="A3510" t="s">
        <v>70</v>
      </c>
      <c r="B3510" s="48">
        <v>46746</v>
      </c>
      <c r="C3510" t="s">
        <v>56</v>
      </c>
      <c r="D3510" t="str">
        <f>IF(COUNTIFS(Verweise!$A$2:$A$4542,Übersicht!$C$7,Verweise!$B$2:$B$4542,B3510)=1,"Feiertag",IF(C3510="Samstag","",IF(C3510="Sonntag","",Übersicht!$C$8)))</f>
        <v>Feiertag</v>
      </c>
    </row>
    <row r="3511" spans="1:4" x14ac:dyDescent="0.25">
      <c r="A3511" t="s">
        <v>71</v>
      </c>
      <c r="B3511" s="48">
        <v>46387</v>
      </c>
      <c r="C3511" t="s">
        <v>43</v>
      </c>
      <c r="D3511" t="str">
        <f>IF(COUNTIFS(Verweise!$A$2:$A$4542,Übersicht!$C$7,Verweise!$B$2:$B$4542,B3511)=1,"Feiertag",IF(C3511="Samstag","",IF(C3511="Sonntag","",Übersicht!$C$8)))</f>
        <v>Feiertag</v>
      </c>
    </row>
    <row r="3512" spans="1:4" x14ac:dyDescent="0.25">
      <c r="A3512" t="s">
        <v>71</v>
      </c>
      <c r="B3512" s="48">
        <v>46487</v>
      </c>
      <c r="C3512" t="s">
        <v>45</v>
      </c>
      <c r="D3512" t="str">
        <f>IF(COUNTIFS(Verweise!$A$2:$A$4542,Übersicht!$C$7,Verweise!$B$2:$B$4542,B3512)=1,"Feiertag",IF(C3512="Samstag","",IF(C3512="Sonntag","",Übersicht!$C$8)))</f>
        <v>Feiertag</v>
      </c>
    </row>
    <row r="3513" spans="1:4" x14ac:dyDescent="0.25">
      <c r="A3513" t="s">
        <v>71</v>
      </c>
      <c r="B3513" s="48">
        <v>46489</v>
      </c>
      <c r="C3513" t="s">
        <v>46</v>
      </c>
      <c r="D3513" t="str">
        <f>IF(COUNTIFS(Verweise!$A$2:$A$4542,Übersicht!$C$7,Verweise!$B$2:$B$4542,B3513)=1,"Feiertag",IF(C3513="Samstag","",IF(C3513="Sonntag","",Übersicht!$C$8)))</f>
        <v>Feiertag</v>
      </c>
    </row>
    <row r="3514" spans="1:4" x14ac:dyDescent="0.25">
      <c r="A3514" t="s">
        <v>71</v>
      </c>
      <c r="B3514" s="48">
        <v>46490</v>
      </c>
      <c r="C3514" t="s">
        <v>47</v>
      </c>
      <c r="D3514" t="str">
        <f>IF(COUNTIFS(Verweise!$A$2:$A$4542,Übersicht!$C$7,Verweise!$B$2:$B$4542,B3514)=1,"Feiertag",IF(C3514="Samstag","",IF(C3514="Sonntag","",Übersicht!$C$8)))</f>
        <v>Feiertag</v>
      </c>
    </row>
    <row r="3515" spans="1:4" x14ac:dyDescent="0.25">
      <c r="A3515" t="s">
        <v>71</v>
      </c>
      <c r="B3515" s="48">
        <v>46507</v>
      </c>
      <c r="C3515" t="s">
        <v>48</v>
      </c>
      <c r="D3515" t="str">
        <f>IF(COUNTIFS(Verweise!$A$2:$A$4542,Übersicht!$C$7,Verweise!$B$2:$B$4542,B3515)=1,"Feiertag",IF(C3515="Samstag","",IF(C3515="Sonntag","",Übersicht!$C$8)))</f>
        <v>Feiertag</v>
      </c>
    </row>
    <row r="3516" spans="1:4" x14ac:dyDescent="0.25">
      <c r="A3516" t="s">
        <v>71</v>
      </c>
      <c r="B3516" s="48">
        <v>46528</v>
      </c>
      <c r="C3516" t="s">
        <v>49</v>
      </c>
      <c r="D3516" t="str">
        <f>IF(COUNTIFS(Verweise!$A$2:$A$4542,Übersicht!$C$7,Verweise!$B$2:$B$4542,B3516)=1,"Feiertag",IF(C3516="Samstag","",IF(C3516="Sonntag","",Übersicht!$C$8)))</f>
        <v>Feiertag</v>
      </c>
    </row>
    <row r="3517" spans="1:4" x14ac:dyDescent="0.25">
      <c r="A3517" t="s">
        <v>71</v>
      </c>
      <c r="B3517" s="48">
        <v>46538</v>
      </c>
      <c r="C3517" t="s">
        <v>50</v>
      </c>
      <c r="D3517" t="str">
        <f>IF(COUNTIFS(Verweise!$A$2:$A$4542,Übersicht!$C$7,Verweise!$B$2:$B$4542,B3517)=1,"Feiertag",IF(C3517="Samstag","",IF(C3517="Sonntag","",Übersicht!$C$8)))</f>
        <v>Feiertag</v>
      </c>
    </row>
    <row r="3518" spans="1:4" x14ac:dyDescent="0.25">
      <c r="A3518" t="s">
        <v>71</v>
      </c>
      <c r="B3518" s="48">
        <v>46539</v>
      </c>
      <c r="C3518" t="s">
        <v>51</v>
      </c>
      <c r="D3518" t="str">
        <f>IF(COUNTIFS(Verweise!$A$2:$A$4542,Übersicht!$C$7,Verweise!$B$2:$B$4542,B3518)=1,"Feiertag",IF(C3518="Samstag","",IF(C3518="Sonntag","",Übersicht!$C$8)))</f>
        <v>Feiertag</v>
      </c>
    </row>
    <row r="3519" spans="1:4" x14ac:dyDescent="0.25">
      <c r="A3519" t="s">
        <v>71</v>
      </c>
      <c r="B3519" s="48">
        <v>46662</v>
      </c>
      <c r="C3519" t="s">
        <v>53</v>
      </c>
      <c r="D3519" t="str">
        <f>IF(COUNTIFS(Verweise!$A$2:$A$4542,Übersicht!$C$7,Verweise!$B$2:$B$4542,B3519)=1,"Feiertag",IF(C3519="Samstag","",IF(C3519="Sonntag","",Übersicht!$C$8)))</f>
        <v>Feiertag</v>
      </c>
    </row>
    <row r="3520" spans="1:4" x14ac:dyDescent="0.25">
      <c r="A3520" t="s">
        <v>71</v>
      </c>
      <c r="B3520" s="48">
        <v>46690</v>
      </c>
      <c r="C3520" t="s">
        <v>62</v>
      </c>
      <c r="D3520" t="str">
        <f>IF(COUNTIFS(Verweise!$A$2:$A$4542,Übersicht!$C$7,Verweise!$B$2:$B$4542,B3520)=1,"Feiertag",IF(C3520="Samstag","",IF(C3520="Sonntag","",Übersicht!$C$8)))</f>
        <v>Büro</v>
      </c>
    </row>
    <row r="3521" spans="1:4" x14ac:dyDescent="0.25">
      <c r="A3521" t="s">
        <v>71</v>
      </c>
      <c r="B3521" s="48">
        <v>46709</v>
      </c>
      <c r="C3521" t="s">
        <v>72</v>
      </c>
      <c r="D3521" t="str">
        <f>IF(COUNTIFS(Verweise!$A$2:$A$4542,Übersicht!$C$7,Verweise!$B$2:$B$4542,B3521)=1,"Feiertag",IF(C3521="Samstag","",IF(C3521="Sonntag","",Übersicht!$C$8)))</f>
        <v>Büro</v>
      </c>
    </row>
    <row r="3522" spans="1:4" x14ac:dyDescent="0.25">
      <c r="A3522" t="s">
        <v>71</v>
      </c>
      <c r="B3522" s="48">
        <v>46745</v>
      </c>
      <c r="C3522" t="s">
        <v>55</v>
      </c>
      <c r="D3522" t="str">
        <f>IF(COUNTIFS(Verweise!$A$2:$A$4542,Übersicht!$C$7,Verweise!$B$2:$B$4542,B3522)=1,"Feiertag",IF(C3522="Samstag","",IF(C3522="Sonntag","",Übersicht!$C$8)))</f>
        <v>Feiertag</v>
      </c>
    </row>
    <row r="3523" spans="1:4" x14ac:dyDescent="0.25">
      <c r="A3523" t="s">
        <v>71</v>
      </c>
      <c r="B3523" s="48">
        <v>46746</v>
      </c>
      <c r="C3523" t="s">
        <v>56</v>
      </c>
      <c r="D3523" t="str">
        <f>IF(COUNTIFS(Verweise!$A$2:$A$4542,Übersicht!$C$7,Verweise!$B$2:$B$4542,B3523)=1,"Feiertag",IF(C3523="Samstag","",IF(C3523="Sonntag","",Übersicht!$C$8)))</f>
        <v>Feiertag</v>
      </c>
    </row>
    <row r="3524" spans="1:4" x14ac:dyDescent="0.25">
      <c r="A3524" t="s">
        <v>73</v>
      </c>
      <c r="B3524" s="48">
        <v>46387</v>
      </c>
      <c r="C3524" t="s">
        <v>43</v>
      </c>
      <c r="D3524" t="str">
        <f>IF(COUNTIFS(Verweise!$A$2:$A$4542,Übersicht!$C$7,Verweise!$B$2:$B$4542,B3524)=1,"Feiertag",IF(C3524="Samstag","",IF(C3524="Sonntag","",Übersicht!$C$8)))</f>
        <v>Feiertag</v>
      </c>
    </row>
    <row r="3525" spans="1:4" x14ac:dyDescent="0.25">
      <c r="A3525" t="s">
        <v>73</v>
      </c>
      <c r="B3525" s="48">
        <v>46487</v>
      </c>
      <c r="C3525" t="s">
        <v>45</v>
      </c>
      <c r="D3525" t="str">
        <f>IF(COUNTIFS(Verweise!$A$2:$A$4542,Übersicht!$C$7,Verweise!$B$2:$B$4542,B3525)=1,"Feiertag",IF(C3525="Samstag","",IF(C3525="Sonntag","",Übersicht!$C$8)))</f>
        <v>Feiertag</v>
      </c>
    </row>
    <row r="3526" spans="1:4" x14ac:dyDescent="0.25">
      <c r="A3526" t="s">
        <v>73</v>
      </c>
      <c r="B3526" s="48">
        <v>46489</v>
      </c>
      <c r="C3526" t="s">
        <v>46</v>
      </c>
      <c r="D3526" t="str">
        <f>IF(COUNTIFS(Verweise!$A$2:$A$4542,Übersicht!$C$7,Verweise!$B$2:$B$4542,B3526)=1,"Feiertag",IF(C3526="Samstag","",IF(C3526="Sonntag","",Übersicht!$C$8)))</f>
        <v>Feiertag</v>
      </c>
    </row>
    <row r="3527" spans="1:4" x14ac:dyDescent="0.25">
      <c r="A3527" t="s">
        <v>73</v>
      </c>
      <c r="B3527" s="48">
        <v>46490</v>
      </c>
      <c r="C3527" t="s">
        <v>47</v>
      </c>
      <c r="D3527" t="str">
        <f>IF(COUNTIFS(Verweise!$A$2:$A$4542,Übersicht!$C$7,Verweise!$B$2:$B$4542,B3527)=1,"Feiertag",IF(C3527="Samstag","",IF(C3527="Sonntag","",Übersicht!$C$8)))</f>
        <v>Feiertag</v>
      </c>
    </row>
    <row r="3528" spans="1:4" x14ac:dyDescent="0.25">
      <c r="A3528" t="s">
        <v>73</v>
      </c>
      <c r="B3528" s="48">
        <v>46507</v>
      </c>
      <c r="C3528" t="s">
        <v>48</v>
      </c>
      <c r="D3528" t="str">
        <f>IF(COUNTIFS(Verweise!$A$2:$A$4542,Übersicht!$C$7,Verweise!$B$2:$B$4542,B3528)=1,"Feiertag",IF(C3528="Samstag","",IF(C3528="Sonntag","",Übersicht!$C$8)))</f>
        <v>Feiertag</v>
      </c>
    </row>
    <row r="3529" spans="1:4" x14ac:dyDescent="0.25">
      <c r="A3529" t="s">
        <v>73</v>
      </c>
      <c r="B3529" s="48">
        <v>46528</v>
      </c>
      <c r="C3529" t="s">
        <v>49</v>
      </c>
      <c r="D3529" t="str">
        <f>IF(COUNTIFS(Verweise!$A$2:$A$4542,Übersicht!$C$7,Verweise!$B$2:$B$4542,B3529)=1,"Feiertag",IF(C3529="Samstag","",IF(C3529="Sonntag","",Übersicht!$C$8)))</f>
        <v>Feiertag</v>
      </c>
    </row>
    <row r="3530" spans="1:4" x14ac:dyDescent="0.25">
      <c r="A3530" t="s">
        <v>73</v>
      </c>
      <c r="B3530" s="48">
        <v>46538</v>
      </c>
      <c r="C3530" t="s">
        <v>50</v>
      </c>
      <c r="D3530" t="str">
        <f>IF(COUNTIFS(Verweise!$A$2:$A$4542,Übersicht!$C$7,Verweise!$B$2:$B$4542,B3530)=1,"Feiertag",IF(C3530="Samstag","",IF(C3530="Sonntag","",Übersicht!$C$8)))</f>
        <v>Feiertag</v>
      </c>
    </row>
    <row r="3531" spans="1:4" x14ac:dyDescent="0.25">
      <c r="A3531" t="s">
        <v>73</v>
      </c>
      <c r="B3531" s="48">
        <v>46539</v>
      </c>
      <c r="C3531" t="s">
        <v>51</v>
      </c>
      <c r="D3531" t="str">
        <f>IF(COUNTIFS(Verweise!$A$2:$A$4542,Übersicht!$C$7,Verweise!$B$2:$B$4542,B3531)=1,"Feiertag",IF(C3531="Samstag","",IF(C3531="Sonntag","",Übersicht!$C$8)))</f>
        <v>Feiertag</v>
      </c>
    </row>
    <row r="3532" spans="1:4" x14ac:dyDescent="0.25">
      <c r="A3532" t="s">
        <v>73</v>
      </c>
      <c r="B3532" s="48">
        <v>46549</v>
      </c>
      <c r="C3532" t="s">
        <v>52</v>
      </c>
      <c r="D3532" t="str">
        <f>IF(COUNTIFS(Verweise!$A$2:$A$4542,Übersicht!$C$7,Verweise!$B$2:$B$4542,B3532)=1,"Feiertag",IF(C3532="Samstag","",IF(C3532="Sonntag","",Übersicht!$C$8)))</f>
        <v>Feiertag</v>
      </c>
    </row>
    <row r="3533" spans="1:4" x14ac:dyDescent="0.25">
      <c r="A3533" t="s">
        <v>73</v>
      </c>
      <c r="B3533" s="48">
        <v>46662</v>
      </c>
      <c r="C3533" t="s">
        <v>53</v>
      </c>
      <c r="D3533" t="str">
        <f>IF(COUNTIFS(Verweise!$A$2:$A$4542,Übersicht!$C$7,Verweise!$B$2:$B$4542,B3533)=1,"Feiertag",IF(C3533="Samstag","",IF(C3533="Sonntag","",Übersicht!$C$8)))</f>
        <v>Feiertag</v>
      </c>
    </row>
    <row r="3534" spans="1:4" x14ac:dyDescent="0.25">
      <c r="A3534" t="s">
        <v>73</v>
      </c>
      <c r="B3534" s="48">
        <v>46690</v>
      </c>
      <c r="C3534" t="s">
        <v>62</v>
      </c>
      <c r="D3534" t="str">
        <f>IF(COUNTIFS(Verweise!$A$2:$A$4542,Übersicht!$C$7,Verweise!$B$2:$B$4542,B3534)=1,"Feiertag",IF(C3534="Samstag","",IF(C3534="Sonntag","",Übersicht!$C$8)))</f>
        <v>Büro</v>
      </c>
    </row>
    <row r="3535" spans="1:4" x14ac:dyDescent="0.25">
      <c r="A3535" t="s">
        <v>73</v>
      </c>
      <c r="B3535" s="48">
        <v>46709</v>
      </c>
      <c r="C3535" t="s">
        <v>72</v>
      </c>
      <c r="D3535" t="str">
        <f>IF(COUNTIFS(Verweise!$A$2:$A$4542,Übersicht!$C$7,Verweise!$B$2:$B$4542,B3535)=1,"Feiertag",IF(C3535="Samstag","",IF(C3535="Sonntag","",Übersicht!$C$8)))</f>
        <v>Büro</v>
      </c>
    </row>
    <row r="3536" spans="1:4" x14ac:dyDescent="0.25">
      <c r="A3536" t="s">
        <v>73</v>
      </c>
      <c r="B3536" s="48">
        <v>46745</v>
      </c>
      <c r="C3536" t="s">
        <v>55</v>
      </c>
      <c r="D3536" t="str">
        <f>IF(COUNTIFS(Verweise!$A$2:$A$4542,Übersicht!$C$7,Verweise!$B$2:$B$4542,B3536)=1,"Feiertag",IF(C3536="Samstag","",IF(C3536="Sonntag","",Übersicht!$C$8)))</f>
        <v>Feiertag</v>
      </c>
    </row>
    <row r="3537" spans="1:4" x14ac:dyDescent="0.25">
      <c r="A3537" t="s">
        <v>73</v>
      </c>
      <c r="B3537" s="48">
        <v>46746</v>
      </c>
      <c r="C3537" t="s">
        <v>56</v>
      </c>
      <c r="D3537" t="str">
        <f>IF(COUNTIFS(Verweise!$A$2:$A$4542,Übersicht!$C$7,Verweise!$B$2:$B$4542,B3537)=1,"Feiertag",IF(C3537="Samstag","",IF(C3537="Sonntag","",Übersicht!$C$8)))</f>
        <v>Feiertag</v>
      </c>
    </row>
    <row r="3538" spans="1:4" x14ac:dyDescent="0.25">
      <c r="A3538" t="s">
        <v>74</v>
      </c>
      <c r="B3538" s="48">
        <v>46387</v>
      </c>
      <c r="C3538" t="s">
        <v>43</v>
      </c>
      <c r="D3538" t="str">
        <f>IF(COUNTIFS(Verweise!$A$2:$A$4542,Übersicht!$C$7,Verweise!$B$2:$B$4542,B3538)=1,"Feiertag",IF(C3538="Samstag","",IF(C3538="Sonntag","",Übersicht!$C$8)))</f>
        <v>Feiertag</v>
      </c>
    </row>
    <row r="3539" spans="1:4" x14ac:dyDescent="0.25">
      <c r="A3539" t="s">
        <v>74</v>
      </c>
      <c r="B3539" s="48">
        <v>46392</v>
      </c>
      <c r="C3539" t="s">
        <v>44</v>
      </c>
      <c r="D3539" t="str">
        <f>IF(COUNTIFS(Verweise!$A$2:$A$4542,Übersicht!$C$7,Verweise!$B$2:$B$4542,B3539)=1,"Feiertag",IF(C3539="Samstag","",IF(C3539="Sonntag","",Übersicht!$C$8)))</f>
        <v>Büro</v>
      </c>
    </row>
    <row r="3540" spans="1:4" x14ac:dyDescent="0.25">
      <c r="A3540" t="s">
        <v>74</v>
      </c>
      <c r="B3540" s="48">
        <v>46487</v>
      </c>
      <c r="C3540" t="s">
        <v>45</v>
      </c>
      <c r="D3540" t="str">
        <f>IF(COUNTIFS(Verweise!$A$2:$A$4542,Übersicht!$C$7,Verweise!$B$2:$B$4542,B3540)=1,"Feiertag",IF(C3540="Samstag","",IF(C3540="Sonntag","",Übersicht!$C$8)))</f>
        <v>Feiertag</v>
      </c>
    </row>
    <row r="3541" spans="1:4" x14ac:dyDescent="0.25">
      <c r="A3541" t="s">
        <v>74</v>
      </c>
      <c r="B3541" s="48">
        <v>46489</v>
      </c>
      <c r="C3541" t="s">
        <v>46</v>
      </c>
      <c r="D3541" t="str">
        <f>IF(COUNTIFS(Verweise!$A$2:$A$4542,Übersicht!$C$7,Verweise!$B$2:$B$4542,B3541)=1,"Feiertag",IF(C3541="Samstag","",IF(C3541="Sonntag","",Übersicht!$C$8)))</f>
        <v>Feiertag</v>
      </c>
    </row>
    <row r="3542" spans="1:4" x14ac:dyDescent="0.25">
      <c r="A3542" t="s">
        <v>74</v>
      </c>
      <c r="B3542" s="48">
        <v>46490</v>
      </c>
      <c r="C3542" t="s">
        <v>47</v>
      </c>
      <c r="D3542" t="str">
        <f>IF(COUNTIFS(Verweise!$A$2:$A$4542,Übersicht!$C$7,Verweise!$B$2:$B$4542,B3542)=1,"Feiertag",IF(C3542="Samstag","",IF(C3542="Sonntag","",Übersicht!$C$8)))</f>
        <v>Feiertag</v>
      </c>
    </row>
    <row r="3543" spans="1:4" x14ac:dyDescent="0.25">
      <c r="A3543" t="s">
        <v>74</v>
      </c>
      <c r="B3543" s="48">
        <v>46507</v>
      </c>
      <c r="C3543" t="s">
        <v>48</v>
      </c>
      <c r="D3543" t="str">
        <f>IF(COUNTIFS(Verweise!$A$2:$A$4542,Übersicht!$C$7,Verweise!$B$2:$B$4542,B3543)=1,"Feiertag",IF(C3543="Samstag","",IF(C3543="Sonntag","",Übersicht!$C$8)))</f>
        <v>Feiertag</v>
      </c>
    </row>
    <row r="3544" spans="1:4" x14ac:dyDescent="0.25">
      <c r="A3544" t="s">
        <v>74</v>
      </c>
      <c r="B3544" s="48">
        <v>46528</v>
      </c>
      <c r="C3544" t="s">
        <v>49</v>
      </c>
      <c r="D3544" t="str">
        <f>IF(COUNTIFS(Verweise!$A$2:$A$4542,Übersicht!$C$7,Verweise!$B$2:$B$4542,B3544)=1,"Feiertag",IF(C3544="Samstag","",IF(C3544="Sonntag","",Übersicht!$C$8)))</f>
        <v>Feiertag</v>
      </c>
    </row>
    <row r="3545" spans="1:4" x14ac:dyDescent="0.25">
      <c r="A3545" t="s">
        <v>74</v>
      </c>
      <c r="B3545" s="48">
        <v>46538</v>
      </c>
      <c r="C3545" t="s">
        <v>50</v>
      </c>
      <c r="D3545" t="str">
        <f>IF(COUNTIFS(Verweise!$A$2:$A$4542,Übersicht!$C$7,Verweise!$B$2:$B$4542,B3545)=1,"Feiertag",IF(C3545="Samstag","",IF(C3545="Sonntag","",Übersicht!$C$8)))</f>
        <v>Feiertag</v>
      </c>
    </row>
    <row r="3546" spans="1:4" x14ac:dyDescent="0.25">
      <c r="A3546" t="s">
        <v>74</v>
      </c>
      <c r="B3546" s="48">
        <v>46539</v>
      </c>
      <c r="C3546" t="s">
        <v>51</v>
      </c>
      <c r="D3546" t="str">
        <f>IF(COUNTIFS(Verweise!$A$2:$A$4542,Übersicht!$C$7,Verweise!$B$2:$B$4542,B3546)=1,"Feiertag",IF(C3546="Samstag","",IF(C3546="Sonntag","",Übersicht!$C$8)))</f>
        <v>Feiertag</v>
      </c>
    </row>
    <row r="3547" spans="1:4" x14ac:dyDescent="0.25">
      <c r="A3547" t="s">
        <v>74</v>
      </c>
      <c r="B3547" s="48">
        <v>46662</v>
      </c>
      <c r="C3547" t="s">
        <v>53</v>
      </c>
      <c r="D3547" t="str">
        <f>IF(COUNTIFS(Verweise!$A$2:$A$4542,Übersicht!$C$7,Verweise!$B$2:$B$4542,B3547)=1,"Feiertag",IF(C3547="Samstag","",IF(C3547="Sonntag","",Übersicht!$C$8)))</f>
        <v>Feiertag</v>
      </c>
    </row>
    <row r="3548" spans="1:4" x14ac:dyDescent="0.25">
      <c r="A3548" t="s">
        <v>74</v>
      </c>
      <c r="B3548" s="48">
        <v>46690</v>
      </c>
      <c r="C3548" t="s">
        <v>62</v>
      </c>
      <c r="D3548" t="str">
        <f>IF(COUNTIFS(Verweise!$A$2:$A$4542,Übersicht!$C$7,Verweise!$B$2:$B$4542,B3548)=1,"Feiertag",IF(C3548="Samstag","",IF(C3548="Sonntag","",Übersicht!$C$8)))</f>
        <v>Büro</v>
      </c>
    </row>
    <row r="3549" spans="1:4" x14ac:dyDescent="0.25">
      <c r="A3549" t="s">
        <v>74</v>
      </c>
      <c r="B3549" s="48">
        <v>46745</v>
      </c>
      <c r="C3549" t="s">
        <v>55</v>
      </c>
      <c r="D3549" t="str">
        <f>IF(COUNTIFS(Verweise!$A$2:$A$4542,Übersicht!$C$7,Verweise!$B$2:$B$4542,B3549)=1,"Feiertag",IF(C3549="Samstag","",IF(C3549="Sonntag","",Übersicht!$C$8)))</f>
        <v>Feiertag</v>
      </c>
    </row>
    <row r="3550" spans="1:4" x14ac:dyDescent="0.25">
      <c r="A3550" t="s">
        <v>74</v>
      </c>
      <c r="B3550" s="48">
        <v>46746</v>
      </c>
      <c r="C3550" t="s">
        <v>56</v>
      </c>
      <c r="D3550" t="str">
        <f>IF(COUNTIFS(Verweise!$A$2:$A$4542,Übersicht!$C$7,Verweise!$B$2:$B$4542,B3550)=1,"Feiertag",IF(C3550="Samstag","",IF(C3550="Sonntag","",Übersicht!$C$8)))</f>
        <v>Feiertag</v>
      </c>
    </row>
    <row r="3551" spans="1:4" x14ac:dyDescent="0.25">
      <c r="A3551" t="s">
        <v>75</v>
      </c>
      <c r="B3551" s="48">
        <v>46387</v>
      </c>
      <c r="C3551" t="s">
        <v>43</v>
      </c>
      <c r="D3551" t="str">
        <f>IF(COUNTIFS(Verweise!$A$2:$A$4542,Übersicht!$C$7,Verweise!$B$2:$B$4542,B3551)=1,"Feiertag",IF(C3551="Samstag","",IF(C3551="Sonntag","",Übersicht!$C$8)))</f>
        <v>Feiertag</v>
      </c>
    </row>
    <row r="3552" spans="1:4" x14ac:dyDescent="0.25">
      <c r="A3552" t="s">
        <v>75</v>
      </c>
      <c r="B3552" s="48">
        <v>46487</v>
      </c>
      <c r="C3552" t="s">
        <v>45</v>
      </c>
      <c r="D3552" t="str">
        <f>IF(COUNTIFS(Verweise!$A$2:$A$4542,Übersicht!$C$7,Verweise!$B$2:$B$4542,B3552)=1,"Feiertag",IF(C3552="Samstag","",IF(C3552="Sonntag","",Übersicht!$C$8)))</f>
        <v>Feiertag</v>
      </c>
    </row>
    <row r="3553" spans="1:4" x14ac:dyDescent="0.25">
      <c r="A3553" t="s">
        <v>75</v>
      </c>
      <c r="B3553" s="48">
        <v>46489</v>
      </c>
      <c r="C3553" t="s">
        <v>46</v>
      </c>
      <c r="D3553" t="str">
        <f>IF(COUNTIFS(Verweise!$A$2:$A$4542,Übersicht!$C$7,Verweise!$B$2:$B$4542,B3553)=1,"Feiertag",IF(C3553="Samstag","",IF(C3553="Sonntag","",Übersicht!$C$8)))</f>
        <v>Feiertag</v>
      </c>
    </row>
    <row r="3554" spans="1:4" x14ac:dyDescent="0.25">
      <c r="A3554" t="s">
        <v>75</v>
      </c>
      <c r="B3554" s="48">
        <v>46490</v>
      </c>
      <c r="C3554" t="s">
        <v>47</v>
      </c>
      <c r="D3554" t="str">
        <f>IF(COUNTIFS(Verweise!$A$2:$A$4542,Übersicht!$C$7,Verweise!$B$2:$B$4542,B3554)=1,"Feiertag",IF(C3554="Samstag","",IF(C3554="Sonntag","",Übersicht!$C$8)))</f>
        <v>Feiertag</v>
      </c>
    </row>
    <row r="3555" spans="1:4" x14ac:dyDescent="0.25">
      <c r="A3555" t="s">
        <v>75</v>
      </c>
      <c r="B3555" s="48">
        <v>46507</v>
      </c>
      <c r="C3555" t="s">
        <v>48</v>
      </c>
      <c r="D3555" t="str">
        <f>IF(COUNTIFS(Verweise!$A$2:$A$4542,Übersicht!$C$7,Verweise!$B$2:$B$4542,B3555)=1,"Feiertag",IF(C3555="Samstag","",IF(C3555="Sonntag","",Übersicht!$C$8)))</f>
        <v>Feiertag</v>
      </c>
    </row>
    <row r="3556" spans="1:4" x14ac:dyDescent="0.25">
      <c r="A3556" t="s">
        <v>75</v>
      </c>
      <c r="B3556" s="48">
        <v>46528</v>
      </c>
      <c r="C3556" t="s">
        <v>49</v>
      </c>
      <c r="D3556" t="str">
        <f>IF(COUNTIFS(Verweise!$A$2:$A$4542,Übersicht!$C$7,Verweise!$B$2:$B$4542,B3556)=1,"Feiertag",IF(C3556="Samstag","",IF(C3556="Sonntag","",Übersicht!$C$8)))</f>
        <v>Feiertag</v>
      </c>
    </row>
    <row r="3557" spans="1:4" x14ac:dyDescent="0.25">
      <c r="A3557" t="s">
        <v>75</v>
      </c>
      <c r="B3557" s="48">
        <v>46538</v>
      </c>
      <c r="C3557" t="s">
        <v>50</v>
      </c>
      <c r="D3557" t="str">
        <f>IF(COUNTIFS(Verweise!$A$2:$A$4542,Übersicht!$C$7,Verweise!$B$2:$B$4542,B3557)=1,"Feiertag",IF(C3557="Samstag","",IF(C3557="Sonntag","",Übersicht!$C$8)))</f>
        <v>Feiertag</v>
      </c>
    </row>
    <row r="3558" spans="1:4" x14ac:dyDescent="0.25">
      <c r="A3558" t="s">
        <v>75</v>
      </c>
      <c r="B3558" s="48">
        <v>46539</v>
      </c>
      <c r="C3558" t="s">
        <v>51</v>
      </c>
      <c r="D3558" t="str">
        <f>IF(COUNTIFS(Verweise!$A$2:$A$4542,Übersicht!$C$7,Verweise!$B$2:$B$4542,B3558)=1,"Feiertag",IF(C3558="Samstag","",IF(C3558="Sonntag","",Übersicht!$C$8)))</f>
        <v>Feiertag</v>
      </c>
    </row>
    <row r="3559" spans="1:4" x14ac:dyDescent="0.25">
      <c r="A3559" t="s">
        <v>75</v>
      </c>
      <c r="B3559" s="48">
        <v>46662</v>
      </c>
      <c r="C3559" t="s">
        <v>53</v>
      </c>
      <c r="D3559" t="str">
        <f>IF(COUNTIFS(Verweise!$A$2:$A$4542,Übersicht!$C$7,Verweise!$B$2:$B$4542,B3559)=1,"Feiertag",IF(C3559="Samstag","",IF(C3559="Sonntag","",Übersicht!$C$8)))</f>
        <v>Feiertag</v>
      </c>
    </row>
    <row r="3560" spans="1:4" x14ac:dyDescent="0.25">
      <c r="A3560" t="s">
        <v>75</v>
      </c>
      <c r="B3560" s="48">
        <v>46745</v>
      </c>
      <c r="C3560" t="s">
        <v>55</v>
      </c>
      <c r="D3560" t="str">
        <f>IF(COUNTIFS(Verweise!$A$2:$A$4542,Übersicht!$C$7,Verweise!$B$2:$B$4542,B3560)=1,"Feiertag",IF(C3560="Samstag","",IF(C3560="Sonntag","",Übersicht!$C$8)))</f>
        <v>Feiertag</v>
      </c>
    </row>
    <row r="3561" spans="1:4" x14ac:dyDescent="0.25">
      <c r="A3561" t="s">
        <v>75</v>
      </c>
      <c r="B3561" s="48">
        <v>46746</v>
      </c>
      <c r="C3561" t="s">
        <v>56</v>
      </c>
      <c r="D3561" t="str">
        <f>IF(COUNTIFS(Verweise!$A$2:$A$4542,Übersicht!$C$7,Verweise!$B$2:$B$4542,B3561)=1,"Feiertag",IF(C3561="Samstag","",IF(C3561="Sonntag","",Übersicht!$C$8)))</f>
        <v>Feiertag</v>
      </c>
    </row>
    <row r="3562" spans="1:4" x14ac:dyDescent="0.25">
      <c r="A3562" t="s">
        <v>76</v>
      </c>
      <c r="B3562" s="48">
        <v>46387</v>
      </c>
      <c r="C3562" t="s">
        <v>43</v>
      </c>
      <c r="D3562" t="str">
        <f>IF(COUNTIFS(Verweise!$A$2:$A$4542,Übersicht!$C$7,Verweise!$B$2:$B$4542,B3562)=1,"Feiertag",IF(C3562="Samstag","",IF(C3562="Sonntag","",Übersicht!$C$8)))</f>
        <v>Feiertag</v>
      </c>
    </row>
    <row r="3563" spans="1:4" x14ac:dyDescent="0.25">
      <c r="A3563" t="s">
        <v>76</v>
      </c>
      <c r="B3563" s="48">
        <v>46487</v>
      </c>
      <c r="C3563" t="s">
        <v>45</v>
      </c>
      <c r="D3563" t="str">
        <f>IF(COUNTIFS(Verweise!$A$2:$A$4542,Übersicht!$C$7,Verweise!$B$2:$B$4542,B3563)=1,"Feiertag",IF(C3563="Samstag","",IF(C3563="Sonntag","",Übersicht!$C$8)))</f>
        <v>Feiertag</v>
      </c>
    </row>
    <row r="3564" spans="1:4" x14ac:dyDescent="0.25">
      <c r="A3564" t="s">
        <v>76</v>
      </c>
      <c r="B3564" s="48">
        <v>46489</v>
      </c>
      <c r="C3564" t="s">
        <v>46</v>
      </c>
      <c r="D3564" t="str">
        <f>IF(COUNTIFS(Verweise!$A$2:$A$4542,Übersicht!$C$7,Verweise!$B$2:$B$4542,B3564)=1,"Feiertag",IF(C3564="Samstag","",IF(C3564="Sonntag","",Übersicht!$C$8)))</f>
        <v>Feiertag</v>
      </c>
    </row>
    <row r="3565" spans="1:4" x14ac:dyDescent="0.25">
      <c r="A3565" t="s">
        <v>76</v>
      </c>
      <c r="B3565" s="48">
        <v>46490</v>
      </c>
      <c r="C3565" t="s">
        <v>47</v>
      </c>
      <c r="D3565" t="str">
        <f>IF(COUNTIFS(Verweise!$A$2:$A$4542,Übersicht!$C$7,Verweise!$B$2:$B$4542,B3565)=1,"Feiertag",IF(C3565="Samstag","",IF(C3565="Sonntag","",Übersicht!$C$8)))</f>
        <v>Feiertag</v>
      </c>
    </row>
    <row r="3566" spans="1:4" x14ac:dyDescent="0.25">
      <c r="A3566" t="s">
        <v>76</v>
      </c>
      <c r="B3566" s="48">
        <v>46507</v>
      </c>
      <c r="C3566" t="s">
        <v>48</v>
      </c>
      <c r="D3566" t="str">
        <f>IF(COUNTIFS(Verweise!$A$2:$A$4542,Übersicht!$C$7,Verweise!$B$2:$B$4542,B3566)=1,"Feiertag",IF(C3566="Samstag","",IF(C3566="Sonntag","",Übersicht!$C$8)))</f>
        <v>Feiertag</v>
      </c>
    </row>
    <row r="3567" spans="1:4" x14ac:dyDescent="0.25">
      <c r="A3567" t="s">
        <v>76</v>
      </c>
      <c r="B3567" s="48">
        <v>46528</v>
      </c>
      <c r="C3567" t="s">
        <v>49</v>
      </c>
      <c r="D3567" t="str">
        <f>IF(COUNTIFS(Verweise!$A$2:$A$4542,Übersicht!$C$7,Verweise!$B$2:$B$4542,B3567)=1,"Feiertag",IF(C3567="Samstag","",IF(C3567="Sonntag","",Übersicht!$C$8)))</f>
        <v>Feiertag</v>
      </c>
    </row>
    <row r="3568" spans="1:4" x14ac:dyDescent="0.25">
      <c r="A3568" t="s">
        <v>76</v>
      </c>
      <c r="B3568" s="48">
        <v>46538</v>
      </c>
      <c r="C3568" t="s">
        <v>50</v>
      </c>
      <c r="D3568" t="str">
        <f>IF(COUNTIFS(Verweise!$A$2:$A$4542,Übersicht!$C$7,Verweise!$B$2:$B$4542,B3568)=1,"Feiertag",IF(C3568="Samstag","",IF(C3568="Sonntag","",Übersicht!$C$8)))</f>
        <v>Feiertag</v>
      </c>
    </row>
    <row r="3569" spans="1:4" x14ac:dyDescent="0.25">
      <c r="A3569" t="s">
        <v>76</v>
      </c>
      <c r="B3569" s="48">
        <v>46539</v>
      </c>
      <c r="C3569" t="s">
        <v>51</v>
      </c>
      <c r="D3569" t="str">
        <f>IF(COUNTIFS(Verweise!$A$2:$A$4542,Übersicht!$C$7,Verweise!$B$2:$B$4542,B3569)=1,"Feiertag",IF(C3569="Samstag","",IF(C3569="Sonntag","",Übersicht!$C$8)))</f>
        <v>Feiertag</v>
      </c>
    </row>
    <row r="3570" spans="1:4" x14ac:dyDescent="0.25">
      <c r="A3570" t="s">
        <v>76</v>
      </c>
      <c r="B3570" s="48">
        <v>46662</v>
      </c>
      <c r="C3570" t="s">
        <v>53</v>
      </c>
      <c r="D3570" t="str">
        <f>IF(COUNTIFS(Verweise!$A$2:$A$4542,Übersicht!$C$7,Verweise!$B$2:$B$4542,B3570)=1,"Feiertag",IF(C3570="Samstag","",IF(C3570="Sonntag","",Übersicht!$C$8)))</f>
        <v>Feiertag</v>
      </c>
    </row>
    <row r="3571" spans="1:4" x14ac:dyDescent="0.25">
      <c r="A3571" t="s">
        <v>76</v>
      </c>
      <c r="B3571" s="48">
        <v>46690</v>
      </c>
      <c r="C3571" t="s">
        <v>62</v>
      </c>
      <c r="D3571" t="str">
        <f>IF(COUNTIFS(Verweise!$A$2:$A$4542,Übersicht!$C$7,Verweise!$B$2:$B$4542,B3571)=1,"Feiertag",IF(C3571="Samstag","",IF(C3571="Sonntag","",Übersicht!$C$8)))</f>
        <v>Büro</v>
      </c>
    </row>
    <row r="3572" spans="1:4" x14ac:dyDescent="0.25">
      <c r="A3572" t="s">
        <v>76</v>
      </c>
      <c r="B3572" s="48">
        <v>46745</v>
      </c>
      <c r="C3572" t="s">
        <v>55</v>
      </c>
      <c r="D3572" t="str">
        <f>IF(COUNTIFS(Verweise!$A$2:$A$4542,Übersicht!$C$7,Verweise!$B$2:$B$4542,B3572)=1,"Feiertag",IF(C3572="Samstag","",IF(C3572="Sonntag","",Übersicht!$C$8)))</f>
        <v>Feiertag</v>
      </c>
    </row>
    <row r="3573" spans="1:4" x14ac:dyDescent="0.25">
      <c r="A3573" t="s">
        <v>76</v>
      </c>
      <c r="B3573" s="48">
        <v>46746</v>
      </c>
      <c r="C3573" t="s">
        <v>56</v>
      </c>
      <c r="D3573" t="str">
        <f>IF(COUNTIFS(Verweise!$A$2:$A$4542,Übersicht!$C$7,Verweise!$B$2:$B$4542,B3573)=1,"Feiertag",IF(C3573="Samstag","",IF(C3573="Sonntag","",Übersicht!$C$8)))</f>
        <v>Feiertag</v>
      </c>
    </row>
    <row r="3574" spans="1:4" x14ac:dyDescent="0.25">
      <c r="A3574" t="s">
        <v>77</v>
      </c>
      <c r="B3574" s="48">
        <v>46387</v>
      </c>
      <c r="C3574" t="s">
        <v>43</v>
      </c>
      <c r="D3574" t="str">
        <f>IF(COUNTIFS(Verweise!$A$2:$A$4542,Übersicht!$C$7,Verweise!$B$2:$B$4542,B3574)=1,"Feiertag",IF(C3574="Samstag","",IF(C3574="Sonntag","",Übersicht!$C$8)))</f>
        <v>Feiertag</v>
      </c>
    </row>
    <row r="3575" spans="1:4" x14ac:dyDescent="0.25">
      <c r="A3575" t="s">
        <v>77</v>
      </c>
      <c r="B3575" s="48">
        <v>46487</v>
      </c>
      <c r="C3575" t="s">
        <v>45</v>
      </c>
      <c r="D3575" t="str">
        <f>IF(COUNTIFS(Verweise!$A$2:$A$4542,Übersicht!$C$7,Verweise!$B$2:$B$4542,B3575)=1,"Feiertag",IF(C3575="Samstag","",IF(C3575="Sonntag","",Übersicht!$C$8)))</f>
        <v>Feiertag</v>
      </c>
    </row>
    <row r="3576" spans="1:4" x14ac:dyDescent="0.25">
      <c r="A3576" t="s">
        <v>77</v>
      </c>
      <c r="B3576" s="48">
        <v>46489</v>
      </c>
      <c r="C3576" t="s">
        <v>46</v>
      </c>
      <c r="D3576" t="str">
        <f>IF(COUNTIFS(Verweise!$A$2:$A$4542,Übersicht!$C$7,Verweise!$B$2:$B$4542,B3576)=1,"Feiertag",IF(C3576="Samstag","",IF(C3576="Sonntag","",Übersicht!$C$8)))</f>
        <v>Feiertag</v>
      </c>
    </row>
    <row r="3577" spans="1:4" x14ac:dyDescent="0.25">
      <c r="A3577" t="s">
        <v>77</v>
      </c>
      <c r="B3577" s="48">
        <v>46490</v>
      </c>
      <c r="C3577" t="s">
        <v>47</v>
      </c>
      <c r="D3577" t="str">
        <f>IF(COUNTIFS(Verweise!$A$2:$A$4542,Übersicht!$C$7,Verweise!$B$2:$B$4542,B3577)=1,"Feiertag",IF(C3577="Samstag","",IF(C3577="Sonntag","",Übersicht!$C$8)))</f>
        <v>Feiertag</v>
      </c>
    </row>
    <row r="3578" spans="1:4" x14ac:dyDescent="0.25">
      <c r="A3578" t="s">
        <v>77</v>
      </c>
      <c r="B3578" s="48">
        <v>46507</v>
      </c>
      <c r="C3578" t="s">
        <v>48</v>
      </c>
      <c r="D3578" t="str">
        <f>IF(COUNTIFS(Verweise!$A$2:$A$4542,Übersicht!$C$7,Verweise!$B$2:$B$4542,B3578)=1,"Feiertag",IF(C3578="Samstag","",IF(C3578="Sonntag","",Übersicht!$C$8)))</f>
        <v>Feiertag</v>
      </c>
    </row>
    <row r="3579" spans="1:4" x14ac:dyDescent="0.25">
      <c r="A3579" t="s">
        <v>77</v>
      </c>
      <c r="B3579" s="48">
        <v>46528</v>
      </c>
      <c r="C3579" t="s">
        <v>49</v>
      </c>
      <c r="D3579" t="str">
        <f>IF(COUNTIFS(Verweise!$A$2:$A$4542,Übersicht!$C$7,Verweise!$B$2:$B$4542,B3579)=1,"Feiertag",IF(C3579="Samstag","",IF(C3579="Sonntag","",Übersicht!$C$8)))</f>
        <v>Feiertag</v>
      </c>
    </row>
    <row r="3580" spans="1:4" x14ac:dyDescent="0.25">
      <c r="A3580" t="s">
        <v>77</v>
      </c>
      <c r="B3580" s="48">
        <v>46538</v>
      </c>
      <c r="C3580" t="s">
        <v>50</v>
      </c>
      <c r="D3580" t="str">
        <f>IF(COUNTIFS(Verweise!$A$2:$A$4542,Übersicht!$C$7,Verweise!$B$2:$B$4542,B3580)=1,"Feiertag",IF(C3580="Samstag","",IF(C3580="Sonntag","",Übersicht!$C$8)))</f>
        <v>Feiertag</v>
      </c>
    </row>
    <row r="3581" spans="1:4" x14ac:dyDescent="0.25">
      <c r="A3581" t="s">
        <v>77</v>
      </c>
      <c r="B3581" s="48">
        <v>46539</v>
      </c>
      <c r="C3581" t="s">
        <v>51</v>
      </c>
      <c r="D3581" t="str">
        <f>IF(COUNTIFS(Verweise!$A$2:$A$4542,Übersicht!$C$7,Verweise!$B$2:$B$4542,B3581)=1,"Feiertag",IF(C3581="Samstag","",IF(C3581="Sonntag","",Übersicht!$C$8)))</f>
        <v>Feiertag</v>
      </c>
    </row>
    <row r="3582" spans="1:4" x14ac:dyDescent="0.25">
      <c r="A3582" t="s">
        <v>77</v>
      </c>
      <c r="B3582" s="48">
        <v>46549</v>
      </c>
      <c r="C3582" t="s">
        <v>52</v>
      </c>
      <c r="D3582" t="str">
        <f>IF(COUNTIFS(Verweise!$A$2:$A$4542,Übersicht!$C$7,Verweise!$B$2:$B$4542,B3582)=1,"Feiertag",IF(C3582="Samstag","",IF(C3582="Sonntag","",Übersicht!$C$8)))</f>
        <v>Feiertag</v>
      </c>
    </row>
    <row r="3583" spans="1:4" x14ac:dyDescent="0.25">
      <c r="A3583" t="s">
        <v>77</v>
      </c>
      <c r="B3583" s="48">
        <v>46662</v>
      </c>
      <c r="C3583" t="s">
        <v>53</v>
      </c>
      <c r="D3583" t="str">
        <f>IF(COUNTIFS(Verweise!$A$2:$A$4542,Übersicht!$C$7,Verweise!$B$2:$B$4542,B3583)=1,"Feiertag",IF(C3583="Samstag","",IF(C3583="Sonntag","",Übersicht!$C$8)))</f>
        <v>Feiertag</v>
      </c>
    </row>
    <row r="3584" spans="1:4" x14ac:dyDescent="0.25">
      <c r="A3584" t="s">
        <v>77</v>
      </c>
      <c r="B3584" s="48">
        <v>46690</v>
      </c>
      <c r="C3584" t="s">
        <v>62</v>
      </c>
      <c r="D3584" t="str">
        <f>IF(COUNTIFS(Verweise!$A$2:$A$4542,Übersicht!$C$7,Verweise!$B$2:$B$4542,B3584)=1,"Feiertag",IF(C3584="Samstag","",IF(C3584="Sonntag","",Übersicht!$C$8)))</f>
        <v>Büro</v>
      </c>
    </row>
    <row r="3585" spans="1:4" x14ac:dyDescent="0.25">
      <c r="A3585" t="s">
        <v>77</v>
      </c>
      <c r="B3585" s="48">
        <v>46745</v>
      </c>
      <c r="C3585" t="s">
        <v>55</v>
      </c>
      <c r="D3585" t="str">
        <f>IF(COUNTIFS(Verweise!$A$2:$A$4542,Übersicht!$C$7,Verweise!$B$2:$B$4542,B3585)=1,"Feiertag",IF(C3585="Samstag","",IF(C3585="Sonntag","",Übersicht!$C$8)))</f>
        <v>Feiertag</v>
      </c>
    </row>
    <row r="3586" spans="1:4" x14ac:dyDescent="0.25">
      <c r="A3586" t="s">
        <v>77</v>
      </c>
      <c r="B3586" s="48">
        <v>46746</v>
      </c>
      <c r="C3586" t="s">
        <v>56</v>
      </c>
      <c r="D3586" t="str">
        <f>IF(COUNTIFS(Verweise!$A$2:$A$4542,Übersicht!$C$7,Verweise!$B$2:$B$4542,B3586)=1,"Feiertag",IF(C3586="Samstag","",IF(C3586="Sonntag","",Übersicht!$C$8)))</f>
        <v>Feiertag</v>
      </c>
    </row>
    <row r="3587" spans="1:4" x14ac:dyDescent="0.25">
      <c r="A3587" t="s">
        <v>42</v>
      </c>
      <c r="B3587" s="48">
        <v>46752</v>
      </c>
      <c r="C3587" t="s">
        <v>43</v>
      </c>
      <c r="D3587" t="str">
        <f>IF(COUNTIFS(Verweise!$A$2:$A$4542,Übersicht!$C$7,Verweise!$B$2:$B$4542,B3587)=1,"Feiertag",IF(C3587="Samstag","",IF(C3587="Sonntag","",Übersicht!$C$8)))</f>
        <v>Feiertag</v>
      </c>
    </row>
    <row r="3588" spans="1:4" x14ac:dyDescent="0.25">
      <c r="A3588" t="s">
        <v>42</v>
      </c>
      <c r="B3588" s="48">
        <v>46757</v>
      </c>
      <c r="C3588" t="s">
        <v>44</v>
      </c>
      <c r="D3588" t="str">
        <f>IF(COUNTIFS(Verweise!$A$2:$A$4542,Übersicht!$C$7,Verweise!$B$2:$B$4542,B3588)=1,"Feiertag",IF(C3588="Samstag","",IF(C3588="Sonntag","",Übersicht!$C$8)))</f>
        <v>Büro</v>
      </c>
    </row>
    <row r="3589" spans="1:4" x14ac:dyDescent="0.25">
      <c r="A3589" t="s">
        <v>42</v>
      </c>
      <c r="B3589" s="48">
        <v>46837</v>
      </c>
      <c r="C3589" t="s">
        <v>45</v>
      </c>
      <c r="D3589" t="str">
        <f>IF(COUNTIFS(Verweise!$A$2:$A$4542,Übersicht!$C$7,Verweise!$B$2:$B$4542,B3589)=1,"Feiertag",IF(C3589="Samstag","",IF(C3589="Sonntag","",Übersicht!$C$8)))</f>
        <v>Feiertag</v>
      </c>
    </row>
    <row r="3590" spans="1:4" x14ac:dyDescent="0.25">
      <c r="A3590" t="s">
        <v>42</v>
      </c>
      <c r="B3590" s="48">
        <v>46839</v>
      </c>
      <c r="C3590" t="s">
        <v>46</v>
      </c>
      <c r="D3590" t="str">
        <f>IF(COUNTIFS(Verweise!$A$2:$A$4542,Übersicht!$C$7,Verweise!$B$2:$B$4542,B3590)=1,"Feiertag",IF(C3590="Samstag","",IF(C3590="Sonntag","",Übersicht!$C$8)))</f>
        <v>Feiertag</v>
      </c>
    </row>
    <row r="3591" spans="1:4" x14ac:dyDescent="0.25">
      <c r="A3591" t="s">
        <v>42</v>
      </c>
      <c r="B3591" s="48">
        <v>46840</v>
      </c>
      <c r="C3591" t="s">
        <v>47</v>
      </c>
      <c r="D3591" t="str">
        <f>IF(COUNTIFS(Verweise!$A$2:$A$4542,Übersicht!$C$7,Verweise!$B$2:$B$4542,B3591)=1,"Feiertag",IF(C3591="Samstag","",IF(C3591="Sonntag","",Übersicht!$C$8)))</f>
        <v>Feiertag</v>
      </c>
    </row>
    <row r="3592" spans="1:4" x14ac:dyDescent="0.25">
      <c r="A3592" t="s">
        <v>42</v>
      </c>
      <c r="B3592" s="48">
        <v>46873</v>
      </c>
      <c r="C3592" t="s">
        <v>48</v>
      </c>
      <c r="D3592" t="str">
        <f>IF(COUNTIFS(Verweise!$A$2:$A$4542,Übersicht!$C$7,Verweise!$B$2:$B$4542,B3592)=1,"Feiertag",IF(C3592="Samstag","",IF(C3592="Sonntag","",Übersicht!$C$8)))</f>
        <v>Feiertag</v>
      </c>
    </row>
    <row r="3593" spans="1:4" x14ac:dyDescent="0.25">
      <c r="A3593" t="s">
        <v>42</v>
      </c>
      <c r="B3593" s="48">
        <v>46878</v>
      </c>
      <c r="C3593" t="s">
        <v>49</v>
      </c>
      <c r="D3593" t="str">
        <f>IF(COUNTIFS(Verweise!$A$2:$A$4542,Übersicht!$C$7,Verweise!$B$2:$B$4542,B3593)=1,"Feiertag",IF(C3593="Samstag","",IF(C3593="Sonntag","",Übersicht!$C$8)))</f>
        <v>Feiertag</v>
      </c>
    </row>
    <row r="3594" spans="1:4" x14ac:dyDescent="0.25">
      <c r="A3594" t="s">
        <v>42</v>
      </c>
      <c r="B3594" s="48">
        <v>46888</v>
      </c>
      <c r="C3594" t="s">
        <v>50</v>
      </c>
      <c r="D3594" t="str">
        <f>IF(COUNTIFS(Verweise!$A$2:$A$4542,Übersicht!$C$7,Verweise!$B$2:$B$4542,B3594)=1,"Feiertag",IF(C3594="Samstag","",IF(C3594="Sonntag","",Übersicht!$C$8)))</f>
        <v>Feiertag</v>
      </c>
    </row>
    <row r="3595" spans="1:4" x14ac:dyDescent="0.25">
      <c r="A3595" t="s">
        <v>42</v>
      </c>
      <c r="B3595" s="48">
        <v>46889</v>
      </c>
      <c r="C3595" t="s">
        <v>51</v>
      </c>
      <c r="D3595" t="str">
        <f>IF(COUNTIFS(Verweise!$A$2:$A$4542,Übersicht!$C$7,Verweise!$B$2:$B$4542,B3595)=1,"Feiertag",IF(C3595="Samstag","",IF(C3595="Sonntag","",Übersicht!$C$8)))</f>
        <v>Feiertag</v>
      </c>
    </row>
    <row r="3596" spans="1:4" x14ac:dyDescent="0.25">
      <c r="A3596" t="s">
        <v>42</v>
      </c>
      <c r="B3596" s="48">
        <v>46899</v>
      </c>
      <c r="C3596" t="s">
        <v>52</v>
      </c>
      <c r="D3596" t="str">
        <f>IF(COUNTIFS(Verweise!$A$2:$A$4542,Übersicht!$C$7,Verweise!$B$2:$B$4542,B3596)=1,"Feiertag",IF(C3596="Samstag","",IF(C3596="Sonntag","",Übersicht!$C$8)))</f>
        <v>Feiertag</v>
      </c>
    </row>
    <row r="3597" spans="1:4" x14ac:dyDescent="0.25">
      <c r="A3597" t="s">
        <v>42</v>
      </c>
      <c r="B3597" s="48">
        <v>47028</v>
      </c>
      <c r="C3597" t="s">
        <v>53</v>
      </c>
      <c r="D3597" t="str">
        <f>IF(COUNTIFS(Verweise!$A$2:$A$4542,Übersicht!$C$7,Verweise!$B$2:$B$4542,B3597)=1,"Feiertag",IF(C3597="Samstag","",IF(C3597="Sonntag","",Übersicht!$C$8)))</f>
        <v>Feiertag</v>
      </c>
    </row>
    <row r="3598" spans="1:4" x14ac:dyDescent="0.25">
      <c r="A3598" t="s">
        <v>42</v>
      </c>
      <c r="B3598" s="48">
        <v>47057</v>
      </c>
      <c r="C3598" t="s">
        <v>54</v>
      </c>
      <c r="D3598" t="str">
        <f>IF(COUNTIFS(Verweise!$A$2:$A$4542,Übersicht!$C$7,Verweise!$B$2:$B$4542,B3598)=1,"Feiertag",IF(C3598="Samstag","",IF(C3598="Sonntag","",Übersicht!$C$8)))</f>
        <v>Feiertag</v>
      </c>
    </row>
    <row r="3599" spans="1:4" x14ac:dyDescent="0.25">
      <c r="A3599" t="s">
        <v>42</v>
      </c>
      <c r="B3599" s="48">
        <v>47111</v>
      </c>
      <c r="C3599" t="s">
        <v>55</v>
      </c>
      <c r="D3599" t="str">
        <f>IF(COUNTIFS(Verweise!$A$2:$A$4542,Übersicht!$C$7,Verweise!$B$2:$B$4542,B3599)=1,"Feiertag",IF(C3599="Samstag","",IF(C3599="Sonntag","",Übersicht!$C$8)))</f>
        <v>Feiertag</v>
      </c>
    </row>
    <row r="3600" spans="1:4" x14ac:dyDescent="0.25">
      <c r="A3600" t="s">
        <v>42</v>
      </c>
      <c r="B3600" s="48">
        <v>47112</v>
      </c>
      <c r="C3600" t="s">
        <v>56</v>
      </c>
      <c r="D3600" t="str">
        <f>IF(COUNTIFS(Verweise!$A$2:$A$4542,Übersicht!$C$7,Verweise!$B$2:$B$4542,B3600)=1,"Feiertag",IF(C3600="Samstag","",IF(C3600="Sonntag","",Übersicht!$C$8)))</f>
        <v>Feiertag</v>
      </c>
    </row>
    <row r="3601" spans="1:4" x14ac:dyDescent="0.25">
      <c r="A3601" t="s">
        <v>57</v>
      </c>
      <c r="B3601" s="48">
        <v>46752</v>
      </c>
      <c r="C3601" t="s">
        <v>43</v>
      </c>
      <c r="D3601" t="str">
        <f>IF(COUNTIFS(Verweise!$A$2:$A$4542,Übersicht!$C$7,Verweise!$B$2:$B$4542,B3601)=1,"Feiertag",IF(C3601="Samstag","",IF(C3601="Sonntag","",Übersicht!$C$8)))</f>
        <v>Feiertag</v>
      </c>
    </row>
    <row r="3602" spans="1:4" x14ac:dyDescent="0.25">
      <c r="A3602" t="s">
        <v>57</v>
      </c>
      <c r="B3602" s="48">
        <v>46757</v>
      </c>
      <c r="C3602" t="s">
        <v>44</v>
      </c>
      <c r="D3602" t="str">
        <f>IF(COUNTIFS(Verweise!$A$2:$A$4542,Übersicht!$C$7,Verweise!$B$2:$B$4542,B3602)=1,"Feiertag",IF(C3602="Samstag","",IF(C3602="Sonntag","",Übersicht!$C$8)))</f>
        <v>Büro</v>
      </c>
    </row>
    <row r="3603" spans="1:4" x14ac:dyDescent="0.25">
      <c r="A3603" t="s">
        <v>57</v>
      </c>
      <c r="B3603" s="48">
        <v>46837</v>
      </c>
      <c r="C3603" t="s">
        <v>45</v>
      </c>
      <c r="D3603" t="str">
        <f>IF(COUNTIFS(Verweise!$A$2:$A$4542,Übersicht!$C$7,Verweise!$B$2:$B$4542,B3603)=1,"Feiertag",IF(C3603="Samstag","",IF(C3603="Sonntag","",Übersicht!$C$8)))</f>
        <v>Feiertag</v>
      </c>
    </row>
    <row r="3604" spans="1:4" x14ac:dyDescent="0.25">
      <c r="A3604" t="s">
        <v>57</v>
      </c>
      <c r="B3604" s="48">
        <v>46839</v>
      </c>
      <c r="C3604" t="s">
        <v>46</v>
      </c>
      <c r="D3604" t="str">
        <f>IF(COUNTIFS(Verweise!$A$2:$A$4542,Übersicht!$C$7,Verweise!$B$2:$B$4542,B3604)=1,"Feiertag",IF(C3604="Samstag","",IF(C3604="Sonntag","",Übersicht!$C$8)))</f>
        <v>Feiertag</v>
      </c>
    </row>
    <row r="3605" spans="1:4" x14ac:dyDescent="0.25">
      <c r="A3605" t="s">
        <v>57</v>
      </c>
      <c r="B3605" s="48">
        <v>46840</v>
      </c>
      <c r="C3605" t="s">
        <v>47</v>
      </c>
      <c r="D3605" t="str">
        <f>IF(COUNTIFS(Verweise!$A$2:$A$4542,Übersicht!$C$7,Verweise!$B$2:$B$4542,B3605)=1,"Feiertag",IF(C3605="Samstag","",IF(C3605="Sonntag","",Übersicht!$C$8)))</f>
        <v>Feiertag</v>
      </c>
    </row>
    <row r="3606" spans="1:4" x14ac:dyDescent="0.25">
      <c r="A3606" t="s">
        <v>57</v>
      </c>
      <c r="B3606" s="48">
        <v>46873</v>
      </c>
      <c r="C3606" t="s">
        <v>48</v>
      </c>
      <c r="D3606" t="str">
        <f>IF(COUNTIFS(Verweise!$A$2:$A$4542,Übersicht!$C$7,Verweise!$B$2:$B$4542,B3606)=1,"Feiertag",IF(C3606="Samstag","",IF(C3606="Sonntag","",Übersicht!$C$8)))</f>
        <v>Feiertag</v>
      </c>
    </row>
    <row r="3607" spans="1:4" x14ac:dyDescent="0.25">
      <c r="A3607" t="s">
        <v>57</v>
      </c>
      <c r="B3607" s="48">
        <v>46878</v>
      </c>
      <c r="C3607" t="s">
        <v>49</v>
      </c>
      <c r="D3607" t="str">
        <f>IF(COUNTIFS(Verweise!$A$2:$A$4542,Übersicht!$C$7,Verweise!$B$2:$B$4542,B3607)=1,"Feiertag",IF(C3607="Samstag","",IF(C3607="Sonntag","",Übersicht!$C$8)))</f>
        <v>Feiertag</v>
      </c>
    </row>
    <row r="3608" spans="1:4" x14ac:dyDescent="0.25">
      <c r="A3608" t="s">
        <v>57</v>
      </c>
      <c r="B3608" s="48">
        <v>46888</v>
      </c>
      <c r="C3608" t="s">
        <v>50</v>
      </c>
      <c r="D3608" t="str">
        <f>IF(COUNTIFS(Verweise!$A$2:$A$4542,Übersicht!$C$7,Verweise!$B$2:$B$4542,B3608)=1,"Feiertag",IF(C3608="Samstag","",IF(C3608="Sonntag","",Übersicht!$C$8)))</f>
        <v>Feiertag</v>
      </c>
    </row>
    <row r="3609" spans="1:4" x14ac:dyDescent="0.25">
      <c r="A3609" t="s">
        <v>57</v>
      </c>
      <c r="B3609" s="48">
        <v>46889</v>
      </c>
      <c r="C3609" t="s">
        <v>51</v>
      </c>
      <c r="D3609" t="str">
        <f>IF(COUNTIFS(Verweise!$A$2:$A$4542,Übersicht!$C$7,Verweise!$B$2:$B$4542,B3609)=1,"Feiertag",IF(C3609="Samstag","",IF(C3609="Sonntag","",Übersicht!$C$8)))</f>
        <v>Feiertag</v>
      </c>
    </row>
    <row r="3610" spans="1:4" x14ac:dyDescent="0.25">
      <c r="A3610" t="s">
        <v>57</v>
      </c>
      <c r="B3610" s="48">
        <v>46899</v>
      </c>
      <c r="C3610" t="s">
        <v>52</v>
      </c>
      <c r="D3610" t="str">
        <f>IF(COUNTIFS(Verweise!$A$2:$A$4542,Übersicht!$C$7,Verweise!$B$2:$B$4542,B3610)=1,"Feiertag",IF(C3610="Samstag","",IF(C3610="Sonntag","",Übersicht!$C$8)))</f>
        <v>Feiertag</v>
      </c>
    </row>
    <row r="3611" spans="1:4" x14ac:dyDescent="0.25">
      <c r="A3611" t="s">
        <v>57</v>
      </c>
      <c r="B3611" s="48">
        <v>47028</v>
      </c>
      <c r="C3611" t="s">
        <v>53</v>
      </c>
      <c r="D3611" t="str">
        <f>IF(COUNTIFS(Verweise!$A$2:$A$4542,Übersicht!$C$7,Verweise!$B$2:$B$4542,B3611)=1,"Feiertag",IF(C3611="Samstag","",IF(C3611="Sonntag","",Übersicht!$C$8)))</f>
        <v>Feiertag</v>
      </c>
    </row>
    <row r="3612" spans="1:4" x14ac:dyDescent="0.25">
      <c r="A3612" t="s">
        <v>57</v>
      </c>
      <c r="B3612" s="48">
        <v>47057</v>
      </c>
      <c r="C3612" t="s">
        <v>54</v>
      </c>
      <c r="D3612" t="str">
        <f>IF(COUNTIFS(Verweise!$A$2:$A$4542,Übersicht!$C$7,Verweise!$B$2:$B$4542,B3612)=1,"Feiertag",IF(C3612="Samstag","",IF(C3612="Sonntag","",Übersicht!$C$8)))</f>
        <v>Feiertag</v>
      </c>
    </row>
    <row r="3613" spans="1:4" x14ac:dyDescent="0.25">
      <c r="A3613" t="s">
        <v>57</v>
      </c>
      <c r="B3613" s="48">
        <v>47111</v>
      </c>
      <c r="C3613" t="s">
        <v>55</v>
      </c>
      <c r="D3613" t="str">
        <f>IF(COUNTIFS(Verweise!$A$2:$A$4542,Übersicht!$C$7,Verweise!$B$2:$B$4542,B3613)=1,"Feiertag",IF(C3613="Samstag","",IF(C3613="Sonntag","",Übersicht!$C$8)))</f>
        <v>Feiertag</v>
      </c>
    </row>
    <row r="3614" spans="1:4" x14ac:dyDescent="0.25">
      <c r="A3614" t="s">
        <v>57</v>
      </c>
      <c r="B3614" s="48">
        <v>47112</v>
      </c>
      <c r="C3614" t="s">
        <v>56</v>
      </c>
      <c r="D3614" t="str">
        <f>IF(COUNTIFS(Verweise!$A$2:$A$4542,Übersicht!$C$7,Verweise!$B$2:$B$4542,B3614)=1,"Feiertag",IF(C3614="Samstag","",IF(C3614="Sonntag","",Übersicht!$C$8)))</f>
        <v>Feiertag</v>
      </c>
    </row>
    <row r="3615" spans="1:4" x14ac:dyDescent="0.25">
      <c r="A3615" t="s">
        <v>58</v>
      </c>
      <c r="B3615" s="48">
        <v>46752</v>
      </c>
      <c r="C3615" t="s">
        <v>43</v>
      </c>
      <c r="D3615" t="str">
        <f>IF(COUNTIFS(Verweise!$A$2:$A$4542,Übersicht!$C$7,Verweise!$B$2:$B$4542,B3615)=1,"Feiertag",IF(C3615="Samstag","",IF(C3615="Sonntag","",Übersicht!$C$8)))</f>
        <v>Feiertag</v>
      </c>
    </row>
    <row r="3616" spans="1:4" x14ac:dyDescent="0.25">
      <c r="A3616" t="s">
        <v>58</v>
      </c>
      <c r="B3616" s="48">
        <v>46757</v>
      </c>
      <c r="C3616" t="s">
        <v>44</v>
      </c>
      <c r="D3616" t="str">
        <f>IF(COUNTIFS(Verweise!$A$2:$A$4542,Übersicht!$C$7,Verweise!$B$2:$B$4542,B3616)=1,"Feiertag",IF(C3616="Samstag","",IF(C3616="Sonntag","",Übersicht!$C$8)))</f>
        <v>Büro</v>
      </c>
    </row>
    <row r="3617" spans="1:4" x14ac:dyDescent="0.25">
      <c r="A3617" t="s">
        <v>58</v>
      </c>
      <c r="B3617" s="48">
        <v>46837</v>
      </c>
      <c r="C3617" t="s">
        <v>45</v>
      </c>
      <c r="D3617" t="str">
        <f>IF(COUNTIFS(Verweise!$A$2:$A$4542,Übersicht!$C$7,Verweise!$B$2:$B$4542,B3617)=1,"Feiertag",IF(C3617="Samstag","",IF(C3617="Sonntag","",Übersicht!$C$8)))</f>
        <v>Feiertag</v>
      </c>
    </row>
    <row r="3618" spans="1:4" x14ac:dyDescent="0.25">
      <c r="A3618" t="s">
        <v>58</v>
      </c>
      <c r="B3618" s="48">
        <v>46839</v>
      </c>
      <c r="C3618" t="s">
        <v>46</v>
      </c>
      <c r="D3618" t="str">
        <f>IF(COUNTIFS(Verweise!$A$2:$A$4542,Übersicht!$C$7,Verweise!$B$2:$B$4542,B3618)=1,"Feiertag",IF(C3618="Samstag","",IF(C3618="Sonntag","",Übersicht!$C$8)))</f>
        <v>Feiertag</v>
      </c>
    </row>
    <row r="3619" spans="1:4" x14ac:dyDescent="0.25">
      <c r="A3619" t="s">
        <v>58</v>
      </c>
      <c r="B3619" s="48">
        <v>46840</v>
      </c>
      <c r="C3619" t="s">
        <v>47</v>
      </c>
      <c r="D3619" t="str">
        <f>IF(COUNTIFS(Verweise!$A$2:$A$4542,Übersicht!$C$7,Verweise!$B$2:$B$4542,B3619)=1,"Feiertag",IF(C3619="Samstag","",IF(C3619="Sonntag","",Übersicht!$C$8)))</f>
        <v>Feiertag</v>
      </c>
    </row>
    <row r="3620" spans="1:4" x14ac:dyDescent="0.25">
      <c r="A3620" t="s">
        <v>58</v>
      </c>
      <c r="B3620" s="48">
        <v>46873</v>
      </c>
      <c r="C3620" t="s">
        <v>48</v>
      </c>
      <c r="D3620" t="str">
        <f>IF(COUNTIFS(Verweise!$A$2:$A$4542,Übersicht!$C$7,Verweise!$B$2:$B$4542,B3620)=1,"Feiertag",IF(C3620="Samstag","",IF(C3620="Sonntag","",Übersicht!$C$8)))</f>
        <v>Feiertag</v>
      </c>
    </row>
    <row r="3621" spans="1:4" x14ac:dyDescent="0.25">
      <c r="A3621" t="s">
        <v>58</v>
      </c>
      <c r="B3621" s="48">
        <v>46878</v>
      </c>
      <c r="C3621" t="s">
        <v>49</v>
      </c>
      <c r="D3621" t="str">
        <f>IF(COUNTIFS(Verweise!$A$2:$A$4542,Übersicht!$C$7,Verweise!$B$2:$B$4542,B3621)=1,"Feiertag",IF(C3621="Samstag","",IF(C3621="Sonntag","",Übersicht!$C$8)))</f>
        <v>Feiertag</v>
      </c>
    </row>
    <row r="3622" spans="1:4" x14ac:dyDescent="0.25">
      <c r="A3622" t="s">
        <v>58</v>
      </c>
      <c r="B3622" s="48">
        <v>46888</v>
      </c>
      <c r="C3622" t="s">
        <v>50</v>
      </c>
      <c r="D3622" t="str">
        <f>IF(COUNTIFS(Verweise!$A$2:$A$4542,Übersicht!$C$7,Verweise!$B$2:$B$4542,B3622)=1,"Feiertag",IF(C3622="Samstag","",IF(C3622="Sonntag","",Übersicht!$C$8)))</f>
        <v>Feiertag</v>
      </c>
    </row>
    <row r="3623" spans="1:4" x14ac:dyDescent="0.25">
      <c r="A3623" t="s">
        <v>58</v>
      </c>
      <c r="B3623" s="48">
        <v>46889</v>
      </c>
      <c r="C3623" t="s">
        <v>51</v>
      </c>
      <c r="D3623" t="str">
        <f>IF(COUNTIFS(Verweise!$A$2:$A$4542,Übersicht!$C$7,Verweise!$B$2:$B$4542,B3623)=1,"Feiertag",IF(C3623="Samstag","",IF(C3623="Sonntag","",Übersicht!$C$8)))</f>
        <v>Feiertag</v>
      </c>
    </row>
    <row r="3624" spans="1:4" x14ac:dyDescent="0.25">
      <c r="A3624" t="s">
        <v>58</v>
      </c>
      <c r="B3624" s="48">
        <v>46899</v>
      </c>
      <c r="C3624" t="s">
        <v>52</v>
      </c>
      <c r="D3624" t="str">
        <f>IF(COUNTIFS(Verweise!$A$2:$A$4542,Übersicht!$C$7,Verweise!$B$2:$B$4542,B3624)=1,"Feiertag",IF(C3624="Samstag","",IF(C3624="Sonntag","",Übersicht!$C$8)))</f>
        <v>Feiertag</v>
      </c>
    </row>
    <row r="3625" spans="1:4" x14ac:dyDescent="0.25">
      <c r="A3625" t="s">
        <v>58</v>
      </c>
      <c r="B3625" s="48">
        <v>46979</v>
      </c>
      <c r="C3625" t="s">
        <v>59</v>
      </c>
      <c r="D3625" t="str">
        <f>IF(COUNTIFS(Verweise!$A$2:$A$4542,Übersicht!$C$7,Verweise!$B$2:$B$4542,B3625)=1,"Feiertag",IF(C3625="Samstag","",IF(C3625="Sonntag","",Übersicht!$C$8)))</f>
        <v>Büro</v>
      </c>
    </row>
    <row r="3626" spans="1:4" x14ac:dyDescent="0.25">
      <c r="A3626" t="s">
        <v>58</v>
      </c>
      <c r="B3626" s="48">
        <v>47028</v>
      </c>
      <c r="C3626" t="s">
        <v>53</v>
      </c>
      <c r="D3626" t="str">
        <f>IF(COUNTIFS(Verweise!$A$2:$A$4542,Übersicht!$C$7,Verweise!$B$2:$B$4542,B3626)=1,"Feiertag",IF(C3626="Samstag","",IF(C3626="Sonntag","",Übersicht!$C$8)))</f>
        <v>Feiertag</v>
      </c>
    </row>
    <row r="3627" spans="1:4" x14ac:dyDescent="0.25">
      <c r="A3627" t="s">
        <v>58</v>
      </c>
      <c r="B3627" s="48">
        <v>47057</v>
      </c>
      <c r="C3627" t="s">
        <v>54</v>
      </c>
      <c r="D3627" t="str">
        <f>IF(COUNTIFS(Verweise!$A$2:$A$4542,Übersicht!$C$7,Verweise!$B$2:$B$4542,B3627)=1,"Feiertag",IF(C3627="Samstag","",IF(C3627="Sonntag","",Übersicht!$C$8)))</f>
        <v>Feiertag</v>
      </c>
    </row>
    <row r="3628" spans="1:4" x14ac:dyDescent="0.25">
      <c r="A3628" t="s">
        <v>58</v>
      </c>
      <c r="B3628" s="48">
        <v>47111</v>
      </c>
      <c r="C3628" t="s">
        <v>55</v>
      </c>
      <c r="D3628" t="str">
        <f>IF(COUNTIFS(Verweise!$A$2:$A$4542,Übersicht!$C$7,Verweise!$B$2:$B$4542,B3628)=1,"Feiertag",IF(C3628="Samstag","",IF(C3628="Sonntag","",Übersicht!$C$8)))</f>
        <v>Feiertag</v>
      </c>
    </row>
    <row r="3629" spans="1:4" x14ac:dyDescent="0.25">
      <c r="A3629" t="s">
        <v>58</v>
      </c>
      <c r="B3629" s="48">
        <v>47112</v>
      </c>
      <c r="C3629" t="s">
        <v>56</v>
      </c>
      <c r="D3629" t="str">
        <f>IF(COUNTIFS(Verweise!$A$2:$A$4542,Übersicht!$C$7,Verweise!$B$2:$B$4542,B3629)=1,"Feiertag",IF(C3629="Samstag","",IF(C3629="Sonntag","",Übersicht!$C$8)))</f>
        <v>Feiertag</v>
      </c>
    </row>
    <row r="3630" spans="1:4" x14ac:dyDescent="0.25">
      <c r="A3630" t="s">
        <v>60</v>
      </c>
      <c r="B3630" s="48">
        <v>46752</v>
      </c>
      <c r="C3630" t="s">
        <v>43</v>
      </c>
      <c r="D3630" t="str">
        <f>IF(COUNTIFS(Verweise!$A$2:$A$4542,Übersicht!$C$7,Verweise!$B$2:$B$4542,B3630)=1,"Feiertag",IF(C3630="Samstag","",IF(C3630="Sonntag","",Übersicht!$C$8)))</f>
        <v>Feiertag</v>
      </c>
    </row>
    <row r="3631" spans="1:4" x14ac:dyDescent="0.25">
      <c r="A3631" t="s">
        <v>60</v>
      </c>
      <c r="B3631" s="48">
        <v>46837</v>
      </c>
      <c r="C3631" t="s">
        <v>45</v>
      </c>
      <c r="D3631" t="str">
        <f>IF(COUNTIFS(Verweise!$A$2:$A$4542,Übersicht!$C$7,Verweise!$B$2:$B$4542,B3631)=1,"Feiertag",IF(C3631="Samstag","",IF(C3631="Sonntag","",Übersicht!$C$8)))</f>
        <v>Feiertag</v>
      </c>
    </row>
    <row r="3632" spans="1:4" x14ac:dyDescent="0.25">
      <c r="A3632" t="s">
        <v>60</v>
      </c>
      <c r="B3632" s="48">
        <v>46839</v>
      </c>
      <c r="C3632" t="s">
        <v>46</v>
      </c>
      <c r="D3632" t="str">
        <f>IF(COUNTIFS(Verweise!$A$2:$A$4542,Übersicht!$C$7,Verweise!$B$2:$B$4542,B3632)=1,"Feiertag",IF(C3632="Samstag","",IF(C3632="Sonntag","",Übersicht!$C$8)))</f>
        <v>Feiertag</v>
      </c>
    </row>
    <row r="3633" spans="1:4" x14ac:dyDescent="0.25">
      <c r="A3633" t="s">
        <v>60</v>
      </c>
      <c r="B3633" s="48">
        <v>46840</v>
      </c>
      <c r="C3633" t="s">
        <v>47</v>
      </c>
      <c r="D3633" t="str">
        <f>IF(COUNTIFS(Verweise!$A$2:$A$4542,Übersicht!$C$7,Verweise!$B$2:$B$4542,B3633)=1,"Feiertag",IF(C3633="Samstag","",IF(C3633="Sonntag","",Übersicht!$C$8)))</f>
        <v>Feiertag</v>
      </c>
    </row>
    <row r="3634" spans="1:4" x14ac:dyDescent="0.25">
      <c r="A3634" t="s">
        <v>60</v>
      </c>
      <c r="B3634" s="48">
        <v>46873</v>
      </c>
      <c r="C3634" t="s">
        <v>48</v>
      </c>
      <c r="D3634" t="str">
        <f>IF(COUNTIFS(Verweise!$A$2:$A$4542,Übersicht!$C$7,Verweise!$B$2:$B$4542,B3634)=1,"Feiertag",IF(C3634="Samstag","",IF(C3634="Sonntag","",Übersicht!$C$8)))</f>
        <v>Feiertag</v>
      </c>
    </row>
    <row r="3635" spans="1:4" x14ac:dyDescent="0.25">
      <c r="A3635" t="s">
        <v>60</v>
      </c>
      <c r="B3635" s="48">
        <v>46878</v>
      </c>
      <c r="C3635" t="s">
        <v>49</v>
      </c>
      <c r="D3635" t="str">
        <f>IF(COUNTIFS(Verweise!$A$2:$A$4542,Übersicht!$C$7,Verweise!$B$2:$B$4542,B3635)=1,"Feiertag",IF(C3635="Samstag","",IF(C3635="Sonntag","",Übersicht!$C$8)))</f>
        <v>Feiertag</v>
      </c>
    </row>
    <row r="3636" spans="1:4" x14ac:dyDescent="0.25">
      <c r="A3636" t="s">
        <v>60</v>
      </c>
      <c r="B3636" s="48">
        <v>46888</v>
      </c>
      <c r="C3636" t="s">
        <v>50</v>
      </c>
      <c r="D3636" t="str">
        <f>IF(COUNTIFS(Verweise!$A$2:$A$4542,Übersicht!$C$7,Verweise!$B$2:$B$4542,B3636)=1,"Feiertag",IF(C3636="Samstag","",IF(C3636="Sonntag","",Übersicht!$C$8)))</f>
        <v>Feiertag</v>
      </c>
    </row>
    <row r="3637" spans="1:4" x14ac:dyDescent="0.25">
      <c r="A3637" t="s">
        <v>60</v>
      </c>
      <c r="B3637" s="48">
        <v>46889</v>
      </c>
      <c r="C3637" t="s">
        <v>51</v>
      </c>
      <c r="D3637" t="str">
        <f>IF(COUNTIFS(Verweise!$A$2:$A$4542,Übersicht!$C$7,Verweise!$B$2:$B$4542,B3637)=1,"Feiertag",IF(C3637="Samstag","",IF(C3637="Sonntag","",Übersicht!$C$8)))</f>
        <v>Feiertag</v>
      </c>
    </row>
    <row r="3638" spans="1:4" x14ac:dyDescent="0.25">
      <c r="A3638" t="s">
        <v>60</v>
      </c>
      <c r="B3638" s="48">
        <v>47028</v>
      </c>
      <c r="C3638" t="s">
        <v>53</v>
      </c>
      <c r="D3638" t="str">
        <f>IF(COUNTIFS(Verweise!$A$2:$A$4542,Übersicht!$C$7,Verweise!$B$2:$B$4542,B3638)=1,"Feiertag",IF(C3638="Samstag","",IF(C3638="Sonntag","",Übersicht!$C$8)))</f>
        <v>Feiertag</v>
      </c>
    </row>
    <row r="3639" spans="1:4" x14ac:dyDescent="0.25">
      <c r="A3639" t="s">
        <v>60</v>
      </c>
      <c r="B3639" s="48">
        <v>47111</v>
      </c>
      <c r="C3639" t="s">
        <v>55</v>
      </c>
      <c r="D3639" t="str">
        <f>IF(COUNTIFS(Verweise!$A$2:$A$4542,Übersicht!$C$7,Verweise!$B$2:$B$4542,B3639)=1,"Feiertag",IF(C3639="Samstag","",IF(C3639="Sonntag","",Übersicht!$C$8)))</f>
        <v>Feiertag</v>
      </c>
    </row>
    <row r="3640" spans="1:4" x14ac:dyDescent="0.25">
      <c r="A3640" t="s">
        <v>60</v>
      </c>
      <c r="B3640" s="48">
        <v>47112</v>
      </c>
      <c r="C3640" t="s">
        <v>56</v>
      </c>
      <c r="D3640" t="str">
        <f>IF(COUNTIFS(Verweise!$A$2:$A$4542,Übersicht!$C$7,Verweise!$B$2:$B$4542,B3640)=1,"Feiertag",IF(C3640="Samstag","",IF(C3640="Sonntag","",Übersicht!$C$8)))</f>
        <v>Feiertag</v>
      </c>
    </row>
    <row r="3641" spans="1:4" x14ac:dyDescent="0.25">
      <c r="A3641" t="s">
        <v>61</v>
      </c>
      <c r="B3641" s="48">
        <v>46752</v>
      </c>
      <c r="C3641" t="s">
        <v>43</v>
      </c>
      <c r="D3641" t="str">
        <f>IF(COUNTIFS(Verweise!$A$2:$A$4542,Übersicht!$C$7,Verweise!$B$2:$B$4542,B3641)=1,"Feiertag",IF(C3641="Samstag","",IF(C3641="Sonntag","",Übersicht!$C$8)))</f>
        <v>Feiertag</v>
      </c>
    </row>
    <row r="3642" spans="1:4" x14ac:dyDescent="0.25">
      <c r="A3642" t="s">
        <v>61</v>
      </c>
      <c r="B3642" s="48">
        <v>46837</v>
      </c>
      <c r="C3642" t="s">
        <v>45</v>
      </c>
      <c r="D3642" t="str">
        <f>IF(COUNTIFS(Verweise!$A$2:$A$4542,Übersicht!$C$7,Verweise!$B$2:$B$4542,B3642)=1,"Feiertag",IF(C3642="Samstag","",IF(C3642="Sonntag","",Übersicht!$C$8)))</f>
        <v>Feiertag</v>
      </c>
    </row>
    <row r="3643" spans="1:4" x14ac:dyDescent="0.25">
      <c r="A3643" t="s">
        <v>61</v>
      </c>
      <c r="B3643" s="48">
        <v>46839</v>
      </c>
      <c r="C3643" t="s">
        <v>46</v>
      </c>
      <c r="D3643" t="str">
        <f>IF(COUNTIFS(Verweise!$A$2:$A$4542,Übersicht!$C$7,Verweise!$B$2:$B$4542,B3643)=1,"Feiertag",IF(C3643="Samstag","",IF(C3643="Sonntag","",Übersicht!$C$8)))</f>
        <v>Feiertag</v>
      </c>
    </row>
    <row r="3644" spans="1:4" x14ac:dyDescent="0.25">
      <c r="A3644" t="s">
        <v>61</v>
      </c>
      <c r="B3644" s="48">
        <v>46840</v>
      </c>
      <c r="C3644" t="s">
        <v>47</v>
      </c>
      <c r="D3644" t="str">
        <f>IF(COUNTIFS(Verweise!$A$2:$A$4542,Übersicht!$C$7,Verweise!$B$2:$B$4542,B3644)=1,"Feiertag",IF(C3644="Samstag","",IF(C3644="Sonntag","",Übersicht!$C$8)))</f>
        <v>Feiertag</v>
      </c>
    </row>
    <row r="3645" spans="1:4" x14ac:dyDescent="0.25">
      <c r="A3645" t="s">
        <v>61</v>
      </c>
      <c r="B3645" s="48">
        <v>46873</v>
      </c>
      <c r="C3645" t="s">
        <v>48</v>
      </c>
      <c r="D3645" t="str">
        <f>IF(COUNTIFS(Verweise!$A$2:$A$4542,Übersicht!$C$7,Verweise!$B$2:$B$4542,B3645)=1,"Feiertag",IF(C3645="Samstag","",IF(C3645="Sonntag","",Übersicht!$C$8)))</f>
        <v>Feiertag</v>
      </c>
    </row>
    <row r="3646" spans="1:4" x14ac:dyDescent="0.25">
      <c r="A3646" t="s">
        <v>61</v>
      </c>
      <c r="B3646" s="48">
        <v>46878</v>
      </c>
      <c r="C3646" t="s">
        <v>49</v>
      </c>
      <c r="D3646" t="str">
        <f>IF(COUNTIFS(Verweise!$A$2:$A$4542,Übersicht!$C$7,Verweise!$B$2:$B$4542,B3646)=1,"Feiertag",IF(C3646="Samstag","",IF(C3646="Sonntag","",Übersicht!$C$8)))</f>
        <v>Feiertag</v>
      </c>
    </row>
    <row r="3647" spans="1:4" x14ac:dyDescent="0.25">
      <c r="A3647" t="s">
        <v>61</v>
      </c>
      <c r="B3647" s="48">
        <v>46888</v>
      </c>
      <c r="C3647" t="s">
        <v>50</v>
      </c>
      <c r="D3647" t="str">
        <f>IF(COUNTIFS(Verweise!$A$2:$A$4542,Übersicht!$C$7,Verweise!$B$2:$B$4542,B3647)=1,"Feiertag",IF(C3647="Samstag","",IF(C3647="Sonntag","",Übersicht!$C$8)))</f>
        <v>Feiertag</v>
      </c>
    </row>
    <row r="3648" spans="1:4" x14ac:dyDescent="0.25">
      <c r="A3648" t="s">
        <v>61</v>
      </c>
      <c r="B3648" s="48">
        <v>46889</v>
      </c>
      <c r="C3648" t="s">
        <v>51</v>
      </c>
      <c r="D3648" t="str">
        <f>IF(COUNTIFS(Verweise!$A$2:$A$4542,Übersicht!$C$7,Verweise!$B$2:$B$4542,B3648)=1,"Feiertag",IF(C3648="Samstag","",IF(C3648="Sonntag","",Übersicht!$C$8)))</f>
        <v>Feiertag</v>
      </c>
    </row>
    <row r="3649" spans="1:4" x14ac:dyDescent="0.25">
      <c r="A3649" t="s">
        <v>61</v>
      </c>
      <c r="B3649" s="48">
        <v>47028</v>
      </c>
      <c r="C3649" t="s">
        <v>53</v>
      </c>
      <c r="D3649" t="str">
        <f>IF(COUNTIFS(Verweise!$A$2:$A$4542,Übersicht!$C$7,Verweise!$B$2:$B$4542,B3649)=1,"Feiertag",IF(C3649="Samstag","",IF(C3649="Sonntag","",Übersicht!$C$8)))</f>
        <v>Feiertag</v>
      </c>
    </row>
    <row r="3650" spans="1:4" x14ac:dyDescent="0.25">
      <c r="A3650" t="s">
        <v>61</v>
      </c>
      <c r="B3650" s="48">
        <v>47056</v>
      </c>
      <c r="C3650" t="s">
        <v>62</v>
      </c>
      <c r="D3650" t="str">
        <f>IF(COUNTIFS(Verweise!$A$2:$A$4542,Übersicht!$C$7,Verweise!$B$2:$B$4542,B3650)=1,"Feiertag",IF(C3650="Samstag","",IF(C3650="Sonntag","",Übersicht!$C$8)))</f>
        <v>Büro</v>
      </c>
    </row>
    <row r="3651" spans="1:4" x14ac:dyDescent="0.25">
      <c r="A3651" t="s">
        <v>61</v>
      </c>
      <c r="B3651" s="48">
        <v>47111</v>
      </c>
      <c r="C3651" t="s">
        <v>55</v>
      </c>
      <c r="D3651" t="str">
        <f>IF(COUNTIFS(Verweise!$A$2:$A$4542,Übersicht!$C$7,Verweise!$B$2:$B$4542,B3651)=1,"Feiertag",IF(C3651="Samstag","",IF(C3651="Sonntag","",Übersicht!$C$8)))</f>
        <v>Feiertag</v>
      </c>
    </row>
    <row r="3652" spans="1:4" x14ac:dyDescent="0.25">
      <c r="A3652" t="s">
        <v>61</v>
      </c>
      <c r="B3652" s="48">
        <v>47112</v>
      </c>
      <c r="C3652" t="s">
        <v>56</v>
      </c>
      <c r="D3652" t="str">
        <f>IF(COUNTIFS(Verweise!$A$2:$A$4542,Übersicht!$C$7,Verweise!$B$2:$B$4542,B3652)=1,"Feiertag",IF(C3652="Samstag","",IF(C3652="Sonntag","",Übersicht!$C$8)))</f>
        <v>Feiertag</v>
      </c>
    </row>
    <row r="3653" spans="1:4" x14ac:dyDescent="0.25">
      <c r="A3653" t="s">
        <v>63</v>
      </c>
      <c r="B3653" s="48">
        <v>46752</v>
      </c>
      <c r="C3653" t="s">
        <v>43</v>
      </c>
      <c r="D3653" t="str">
        <f>IF(COUNTIFS(Verweise!$A$2:$A$4542,Übersicht!$C$7,Verweise!$B$2:$B$4542,B3653)=1,"Feiertag",IF(C3653="Samstag","",IF(C3653="Sonntag","",Übersicht!$C$8)))</f>
        <v>Feiertag</v>
      </c>
    </row>
    <row r="3654" spans="1:4" x14ac:dyDescent="0.25">
      <c r="A3654" t="s">
        <v>63</v>
      </c>
      <c r="B3654" s="48">
        <v>46837</v>
      </c>
      <c r="C3654" t="s">
        <v>45</v>
      </c>
      <c r="D3654" t="str">
        <f>IF(COUNTIFS(Verweise!$A$2:$A$4542,Übersicht!$C$7,Verweise!$B$2:$B$4542,B3654)=1,"Feiertag",IF(C3654="Samstag","",IF(C3654="Sonntag","",Übersicht!$C$8)))</f>
        <v>Feiertag</v>
      </c>
    </row>
    <row r="3655" spans="1:4" x14ac:dyDescent="0.25">
      <c r="A3655" t="s">
        <v>63</v>
      </c>
      <c r="B3655" s="48">
        <v>46839</v>
      </c>
      <c r="C3655" t="s">
        <v>46</v>
      </c>
      <c r="D3655" t="str">
        <f>IF(COUNTIFS(Verweise!$A$2:$A$4542,Übersicht!$C$7,Verweise!$B$2:$B$4542,B3655)=1,"Feiertag",IF(C3655="Samstag","",IF(C3655="Sonntag","",Übersicht!$C$8)))</f>
        <v>Feiertag</v>
      </c>
    </row>
    <row r="3656" spans="1:4" x14ac:dyDescent="0.25">
      <c r="A3656" t="s">
        <v>63</v>
      </c>
      <c r="B3656" s="48">
        <v>46840</v>
      </c>
      <c r="C3656" t="s">
        <v>47</v>
      </c>
      <c r="D3656" t="str">
        <f>IF(COUNTIFS(Verweise!$A$2:$A$4542,Übersicht!$C$7,Verweise!$B$2:$B$4542,B3656)=1,"Feiertag",IF(C3656="Samstag","",IF(C3656="Sonntag","",Übersicht!$C$8)))</f>
        <v>Feiertag</v>
      </c>
    </row>
    <row r="3657" spans="1:4" x14ac:dyDescent="0.25">
      <c r="A3657" t="s">
        <v>63</v>
      </c>
      <c r="B3657" s="48">
        <v>46873</v>
      </c>
      <c r="C3657" t="s">
        <v>48</v>
      </c>
      <c r="D3657" t="str">
        <f>IF(COUNTIFS(Verweise!$A$2:$A$4542,Übersicht!$C$7,Verweise!$B$2:$B$4542,B3657)=1,"Feiertag",IF(C3657="Samstag","",IF(C3657="Sonntag","",Übersicht!$C$8)))</f>
        <v>Feiertag</v>
      </c>
    </row>
    <row r="3658" spans="1:4" x14ac:dyDescent="0.25">
      <c r="A3658" t="s">
        <v>63</v>
      </c>
      <c r="B3658" s="48">
        <v>46878</v>
      </c>
      <c r="C3658" t="s">
        <v>49</v>
      </c>
      <c r="D3658" t="str">
        <f>IF(COUNTIFS(Verweise!$A$2:$A$4542,Übersicht!$C$7,Verweise!$B$2:$B$4542,B3658)=1,"Feiertag",IF(C3658="Samstag","",IF(C3658="Sonntag","",Übersicht!$C$8)))</f>
        <v>Feiertag</v>
      </c>
    </row>
    <row r="3659" spans="1:4" x14ac:dyDescent="0.25">
      <c r="A3659" t="s">
        <v>63</v>
      </c>
      <c r="B3659" s="48">
        <v>46888</v>
      </c>
      <c r="C3659" t="s">
        <v>50</v>
      </c>
      <c r="D3659" t="str">
        <f>IF(COUNTIFS(Verweise!$A$2:$A$4542,Übersicht!$C$7,Verweise!$B$2:$B$4542,B3659)=1,"Feiertag",IF(C3659="Samstag","",IF(C3659="Sonntag","",Übersicht!$C$8)))</f>
        <v>Feiertag</v>
      </c>
    </row>
    <row r="3660" spans="1:4" x14ac:dyDescent="0.25">
      <c r="A3660" t="s">
        <v>63</v>
      </c>
      <c r="B3660" s="48">
        <v>46889</v>
      </c>
      <c r="C3660" t="s">
        <v>51</v>
      </c>
      <c r="D3660" t="str">
        <f>IF(COUNTIFS(Verweise!$A$2:$A$4542,Übersicht!$C$7,Verweise!$B$2:$B$4542,B3660)=1,"Feiertag",IF(C3660="Samstag","",IF(C3660="Sonntag","",Übersicht!$C$8)))</f>
        <v>Feiertag</v>
      </c>
    </row>
    <row r="3661" spans="1:4" x14ac:dyDescent="0.25">
      <c r="A3661" t="s">
        <v>63</v>
      </c>
      <c r="B3661" s="48">
        <v>47028</v>
      </c>
      <c r="C3661" t="s">
        <v>53</v>
      </c>
      <c r="D3661" t="str">
        <f>IF(COUNTIFS(Verweise!$A$2:$A$4542,Übersicht!$C$7,Verweise!$B$2:$B$4542,B3661)=1,"Feiertag",IF(C3661="Samstag","",IF(C3661="Sonntag","",Übersicht!$C$8)))</f>
        <v>Feiertag</v>
      </c>
    </row>
    <row r="3662" spans="1:4" x14ac:dyDescent="0.25">
      <c r="A3662" t="s">
        <v>63</v>
      </c>
      <c r="B3662" s="48">
        <v>47111</v>
      </c>
      <c r="C3662" t="s">
        <v>55</v>
      </c>
      <c r="D3662" t="str">
        <f>IF(COUNTIFS(Verweise!$A$2:$A$4542,Übersicht!$C$7,Verweise!$B$2:$B$4542,B3662)=1,"Feiertag",IF(C3662="Samstag","",IF(C3662="Sonntag","",Übersicht!$C$8)))</f>
        <v>Feiertag</v>
      </c>
    </row>
    <row r="3663" spans="1:4" x14ac:dyDescent="0.25">
      <c r="A3663" t="s">
        <v>63</v>
      </c>
      <c r="B3663" s="48">
        <v>47112</v>
      </c>
      <c r="C3663" t="s">
        <v>56</v>
      </c>
      <c r="D3663" t="str">
        <f>IF(COUNTIFS(Verweise!$A$2:$A$4542,Übersicht!$C$7,Verweise!$B$2:$B$4542,B3663)=1,"Feiertag",IF(C3663="Samstag","",IF(C3663="Sonntag","",Übersicht!$C$8)))</f>
        <v>Feiertag</v>
      </c>
    </row>
    <row r="3664" spans="1:4" x14ac:dyDescent="0.25">
      <c r="A3664" t="s">
        <v>64</v>
      </c>
      <c r="B3664" s="48">
        <v>46752</v>
      </c>
      <c r="C3664" t="s">
        <v>43</v>
      </c>
      <c r="D3664" t="str">
        <f>IF(COUNTIFS(Verweise!$A$2:$A$4542,Übersicht!$C$7,Verweise!$B$2:$B$4542,B3664)=1,"Feiertag",IF(C3664="Samstag","",IF(C3664="Sonntag","",Übersicht!$C$8)))</f>
        <v>Feiertag</v>
      </c>
    </row>
    <row r="3665" spans="1:4" x14ac:dyDescent="0.25">
      <c r="A3665" t="s">
        <v>64</v>
      </c>
      <c r="B3665" s="48">
        <v>46837</v>
      </c>
      <c r="C3665" t="s">
        <v>45</v>
      </c>
      <c r="D3665" t="str">
        <f>IF(COUNTIFS(Verweise!$A$2:$A$4542,Übersicht!$C$7,Verweise!$B$2:$B$4542,B3665)=1,"Feiertag",IF(C3665="Samstag","",IF(C3665="Sonntag","",Übersicht!$C$8)))</f>
        <v>Feiertag</v>
      </c>
    </row>
    <row r="3666" spans="1:4" x14ac:dyDescent="0.25">
      <c r="A3666" t="s">
        <v>64</v>
      </c>
      <c r="B3666" s="48">
        <v>46839</v>
      </c>
      <c r="C3666" t="s">
        <v>46</v>
      </c>
      <c r="D3666" t="str">
        <f>IF(COUNTIFS(Verweise!$A$2:$A$4542,Übersicht!$C$7,Verweise!$B$2:$B$4542,B3666)=1,"Feiertag",IF(C3666="Samstag","",IF(C3666="Sonntag","",Übersicht!$C$8)))</f>
        <v>Feiertag</v>
      </c>
    </row>
    <row r="3667" spans="1:4" x14ac:dyDescent="0.25">
      <c r="A3667" t="s">
        <v>64</v>
      </c>
      <c r="B3667" s="48">
        <v>46840</v>
      </c>
      <c r="C3667" t="s">
        <v>47</v>
      </c>
      <c r="D3667" t="str">
        <f>IF(COUNTIFS(Verweise!$A$2:$A$4542,Übersicht!$C$7,Verweise!$B$2:$B$4542,B3667)=1,"Feiertag",IF(C3667="Samstag","",IF(C3667="Sonntag","",Übersicht!$C$8)))</f>
        <v>Feiertag</v>
      </c>
    </row>
    <row r="3668" spans="1:4" x14ac:dyDescent="0.25">
      <c r="A3668" t="s">
        <v>64</v>
      </c>
      <c r="B3668" s="48">
        <v>46873</v>
      </c>
      <c r="C3668" t="s">
        <v>48</v>
      </c>
      <c r="D3668" t="str">
        <f>IF(COUNTIFS(Verweise!$A$2:$A$4542,Übersicht!$C$7,Verweise!$B$2:$B$4542,B3668)=1,"Feiertag",IF(C3668="Samstag","",IF(C3668="Sonntag","",Übersicht!$C$8)))</f>
        <v>Feiertag</v>
      </c>
    </row>
    <row r="3669" spans="1:4" x14ac:dyDescent="0.25">
      <c r="A3669" t="s">
        <v>64</v>
      </c>
      <c r="B3669" s="48">
        <v>46878</v>
      </c>
      <c r="C3669" t="s">
        <v>49</v>
      </c>
      <c r="D3669" t="str">
        <f>IF(COUNTIFS(Verweise!$A$2:$A$4542,Übersicht!$C$7,Verweise!$B$2:$B$4542,B3669)=1,"Feiertag",IF(C3669="Samstag","",IF(C3669="Sonntag","",Übersicht!$C$8)))</f>
        <v>Feiertag</v>
      </c>
    </row>
    <row r="3670" spans="1:4" x14ac:dyDescent="0.25">
      <c r="A3670" t="s">
        <v>64</v>
      </c>
      <c r="B3670" s="48">
        <v>46888</v>
      </c>
      <c r="C3670" t="s">
        <v>50</v>
      </c>
      <c r="D3670" t="str">
        <f>IF(COUNTIFS(Verweise!$A$2:$A$4542,Übersicht!$C$7,Verweise!$B$2:$B$4542,B3670)=1,"Feiertag",IF(C3670="Samstag","",IF(C3670="Sonntag","",Übersicht!$C$8)))</f>
        <v>Feiertag</v>
      </c>
    </row>
    <row r="3671" spans="1:4" x14ac:dyDescent="0.25">
      <c r="A3671" t="s">
        <v>64</v>
      </c>
      <c r="B3671" s="48">
        <v>46889</v>
      </c>
      <c r="C3671" t="s">
        <v>51</v>
      </c>
      <c r="D3671" t="str">
        <f>IF(COUNTIFS(Verweise!$A$2:$A$4542,Übersicht!$C$7,Verweise!$B$2:$B$4542,B3671)=1,"Feiertag",IF(C3671="Samstag","",IF(C3671="Sonntag","",Übersicht!$C$8)))</f>
        <v>Feiertag</v>
      </c>
    </row>
    <row r="3672" spans="1:4" x14ac:dyDescent="0.25">
      <c r="A3672" t="s">
        <v>64</v>
      </c>
      <c r="B3672" s="48">
        <v>47028</v>
      </c>
      <c r="C3672" t="s">
        <v>53</v>
      </c>
      <c r="D3672" t="str">
        <f>IF(COUNTIFS(Verweise!$A$2:$A$4542,Übersicht!$C$7,Verweise!$B$2:$B$4542,B3672)=1,"Feiertag",IF(C3672="Samstag","",IF(C3672="Sonntag","",Übersicht!$C$8)))</f>
        <v>Feiertag</v>
      </c>
    </row>
    <row r="3673" spans="1:4" x14ac:dyDescent="0.25">
      <c r="A3673" t="s">
        <v>64</v>
      </c>
      <c r="B3673" s="48">
        <v>47111</v>
      </c>
      <c r="C3673" t="s">
        <v>55</v>
      </c>
      <c r="D3673" t="str">
        <f>IF(COUNTIFS(Verweise!$A$2:$A$4542,Übersicht!$C$7,Verweise!$B$2:$B$4542,B3673)=1,"Feiertag",IF(C3673="Samstag","",IF(C3673="Sonntag","",Übersicht!$C$8)))</f>
        <v>Feiertag</v>
      </c>
    </row>
    <row r="3674" spans="1:4" x14ac:dyDescent="0.25">
      <c r="A3674" t="s">
        <v>64</v>
      </c>
      <c r="B3674" s="48">
        <v>47112</v>
      </c>
      <c r="C3674" t="s">
        <v>56</v>
      </c>
      <c r="D3674" t="str">
        <f>IF(COUNTIFS(Verweise!$A$2:$A$4542,Übersicht!$C$7,Verweise!$B$2:$B$4542,B3674)=1,"Feiertag",IF(C3674="Samstag","",IF(C3674="Sonntag","",Übersicht!$C$8)))</f>
        <v>Feiertag</v>
      </c>
    </row>
    <row r="3675" spans="1:4" x14ac:dyDescent="0.25">
      <c r="A3675" t="s">
        <v>65</v>
      </c>
      <c r="B3675" s="48">
        <v>46752</v>
      </c>
      <c r="C3675" t="s">
        <v>43</v>
      </c>
      <c r="D3675" t="str">
        <f>IF(COUNTIFS(Verweise!$A$2:$A$4542,Übersicht!$C$7,Verweise!$B$2:$B$4542,B3675)=1,"Feiertag",IF(C3675="Samstag","",IF(C3675="Sonntag","",Übersicht!$C$8)))</f>
        <v>Feiertag</v>
      </c>
    </row>
    <row r="3676" spans="1:4" x14ac:dyDescent="0.25">
      <c r="A3676" t="s">
        <v>65</v>
      </c>
      <c r="B3676" s="48">
        <v>46837</v>
      </c>
      <c r="C3676" t="s">
        <v>45</v>
      </c>
      <c r="D3676" t="str">
        <f>IF(COUNTIFS(Verweise!$A$2:$A$4542,Übersicht!$C$7,Verweise!$B$2:$B$4542,B3676)=1,"Feiertag",IF(C3676="Samstag","",IF(C3676="Sonntag","",Übersicht!$C$8)))</f>
        <v>Feiertag</v>
      </c>
    </row>
    <row r="3677" spans="1:4" x14ac:dyDescent="0.25">
      <c r="A3677" t="s">
        <v>65</v>
      </c>
      <c r="B3677" s="48">
        <v>46839</v>
      </c>
      <c r="C3677" t="s">
        <v>46</v>
      </c>
      <c r="D3677" t="str">
        <f>IF(COUNTIFS(Verweise!$A$2:$A$4542,Übersicht!$C$7,Verweise!$B$2:$B$4542,B3677)=1,"Feiertag",IF(C3677="Samstag","",IF(C3677="Sonntag","",Übersicht!$C$8)))</f>
        <v>Feiertag</v>
      </c>
    </row>
    <row r="3678" spans="1:4" x14ac:dyDescent="0.25">
      <c r="A3678" t="s">
        <v>65</v>
      </c>
      <c r="B3678" s="48">
        <v>46840</v>
      </c>
      <c r="C3678" t="s">
        <v>47</v>
      </c>
      <c r="D3678" t="str">
        <f>IF(COUNTIFS(Verweise!$A$2:$A$4542,Übersicht!$C$7,Verweise!$B$2:$B$4542,B3678)=1,"Feiertag",IF(C3678="Samstag","",IF(C3678="Sonntag","",Übersicht!$C$8)))</f>
        <v>Feiertag</v>
      </c>
    </row>
    <row r="3679" spans="1:4" x14ac:dyDescent="0.25">
      <c r="A3679" t="s">
        <v>65</v>
      </c>
      <c r="B3679" s="48">
        <v>46873</v>
      </c>
      <c r="C3679" t="s">
        <v>48</v>
      </c>
      <c r="D3679" t="str">
        <f>IF(COUNTIFS(Verweise!$A$2:$A$4542,Übersicht!$C$7,Verweise!$B$2:$B$4542,B3679)=1,"Feiertag",IF(C3679="Samstag","",IF(C3679="Sonntag","",Übersicht!$C$8)))</f>
        <v>Feiertag</v>
      </c>
    </row>
    <row r="3680" spans="1:4" x14ac:dyDescent="0.25">
      <c r="A3680" t="s">
        <v>65</v>
      </c>
      <c r="B3680" s="48">
        <v>46878</v>
      </c>
      <c r="C3680" t="s">
        <v>49</v>
      </c>
      <c r="D3680" t="str">
        <f>IF(COUNTIFS(Verweise!$A$2:$A$4542,Übersicht!$C$7,Verweise!$B$2:$B$4542,B3680)=1,"Feiertag",IF(C3680="Samstag","",IF(C3680="Sonntag","",Übersicht!$C$8)))</f>
        <v>Feiertag</v>
      </c>
    </row>
    <row r="3681" spans="1:4" x14ac:dyDescent="0.25">
      <c r="A3681" t="s">
        <v>65</v>
      </c>
      <c r="B3681" s="48">
        <v>46888</v>
      </c>
      <c r="C3681" t="s">
        <v>50</v>
      </c>
      <c r="D3681" t="str">
        <f>IF(COUNTIFS(Verweise!$A$2:$A$4542,Übersicht!$C$7,Verweise!$B$2:$B$4542,B3681)=1,"Feiertag",IF(C3681="Samstag","",IF(C3681="Sonntag","",Übersicht!$C$8)))</f>
        <v>Feiertag</v>
      </c>
    </row>
    <row r="3682" spans="1:4" x14ac:dyDescent="0.25">
      <c r="A3682" t="s">
        <v>65</v>
      </c>
      <c r="B3682" s="48">
        <v>46889</v>
      </c>
      <c r="C3682" t="s">
        <v>51</v>
      </c>
      <c r="D3682" t="str">
        <f>IF(COUNTIFS(Verweise!$A$2:$A$4542,Übersicht!$C$7,Verweise!$B$2:$B$4542,B3682)=1,"Feiertag",IF(C3682="Samstag","",IF(C3682="Sonntag","",Übersicht!$C$8)))</f>
        <v>Feiertag</v>
      </c>
    </row>
    <row r="3683" spans="1:4" x14ac:dyDescent="0.25">
      <c r="A3683" t="s">
        <v>65</v>
      </c>
      <c r="B3683" s="48">
        <v>46899</v>
      </c>
      <c r="C3683" t="s">
        <v>52</v>
      </c>
      <c r="D3683" t="str">
        <f>IF(COUNTIFS(Verweise!$A$2:$A$4542,Übersicht!$C$7,Verweise!$B$2:$B$4542,B3683)=1,"Feiertag",IF(C3683="Samstag","",IF(C3683="Sonntag","",Übersicht!$C$8)))</f>
        <v>Feiertag</v>
      </c>
    </row>
    <row r="3684" spans="1:4" x14ac:dyDescent="0.25">
      <c r="A3684" t="s">
        <v>65</v>
      </c>
      <c r="B3684" s="48">
        <v>47028</v>
      </c>
      <c r="C3684" t="s">
        <v>53</v>
      </c>
      <c r="D3684" t="str">
        <f>IF(COUNTIFS(Verweise!$A$2:$A$4542,Übersicht!$C$7,Verweise!$B$2:$B$4542,B3684)=1,"Feiertag",IF(C3684="Samstag","",IF(C3684="Sonntag","",Übersicht!$C$8)))</f>
        <v>Feiertag</v>
      </c>
    </row>
    <row r="3685" spans="1:4" x14ac:dyDescent="0.25">
      <c r="A3685" t="s">
        <v>65</v>
      </c>
      <c r="B3685" s="48">
        <v>47111</v>
      </c>
      <c r="C3685" t="s">
        <v>55</v>
      </c>
      <c r="D3685" t="str">
        <f>IF(COUNTIFS(Verweise!$A$2:$A$4542,Übersicht!$C$7,Verweise!$B$2:$B$4542,B3685)=1,"Feiertag",IF(C3685="Samstag","",IF(C3685="Sonntag","",Übersicht!$C$8)))</f>
        <v>Feiertag</v>
      </c>
    </row>
    <row r="3686" spans="1:4" x14ac:dyDescent="0.25">
      <c r="A3686" t="s">
        <v>65</v>
      </c>
      <c r="B3686" s="48">
        <v>47112</v>
      </c>
      <c r="C3686" t="s">
        <v>56</v>
      </c>
      <c r="D3686" t="str">
        <f>IF(COUNTIFS(Verweise!$A$2:$A$4542,Übersicht!$C$7,Verweise!$B$2:$B$4542,B3686)=1,"Feiertag",IF(C3686="Samstag","",IF(C3686="Sonntag","",Übersicht!$C$8)))</f>
        <v>Feiertag</v>
      </c>
    </row>
    <row r="3687" spans="1:4" x14ac:dyDescent="0.25">
      <c r="A3687" t="s">
        <v>66</v>
      </c>
      <c r="B3687" s="48">
        <v>46752</v>
      </c>
      <c r="C3687" t="s">
        <v>43</v>
      </c>
      <c r="D3687" t="str">
        <f>IF(COUNTIFS(Verweise!$A$2:$A$4542,Übersicht!$C$7,Verweise!$B$2:$B$4542,B3687)=1,"Feiertag",IF(C3687="Samstag","",IF(C3687="Sonntag","",Übersicht!$C$8)))</f>
        <v>Feiertag</v>
      </c>
    </row>
    <row r="3688" spans="1:4" x14ac:dyDescent="0.25">
      <c r="A3688" t="s">
        <v>66</v>
      </c>
      <c r="B3688" s="48">
        <v>46837</v>
      </c>
      <c r="C3688" t="s">
        <v>45</v>
      </c>
      <c r="D3688" t="str">
        <f>IF(COUNTIFS(Verweise!$A$2:$A$4542,Übersicht!$C$7,Verweise!$B$2:$B$4542,B3688)=1,"Feiertag",IF(C3688="Samstag","",IF(C3688="Sonntag","",Übersicht!$C$8)))</f>
        <v>Feiertag</v>
      </c>
    </row>
    <row r="3689" spans="1:4" x14ac:dyDescent="0.25">
      <c r="A3689" t="s">
        <v>66</v>
      </c>
      <c r="B3689" s="48">
        <v>46839</v>
      </c>
      <c r="C3689" t="s">
        <v>46</v>
      </c>
      <c r="D3689" t="str">
        <f>IF(COUNTIFS(Verweise!$A$2:$A$4542,Übersicht!$C$7,Verweise!$B$2:$B$4542,B3689)=1,"Feiertag",IF(C3689="Samstag","",IF(C3689="Sonntag","",Übersicht!$C$8)))</f>
        <v>Feiertag</v>
      </c>
    </row>
    <row r="3690" spans="1:4" x14ac:dyDescent="0.25">
      <c r="A3690" t="s">
        <v>66</v>
      </c>
      <c r="B3690" s="48">
        <v>46840</v>
      </c>
      <c r="C3690" t="s">
        <v>47</v>
      </c>
      <c r="D3690" t="str">
        <f>IF(COUNTIFS(Verweise!$A$2:$A$4542,Übersicht!$C$7,Verweise!$B$2:$B$4542,B3690)=1,"Feiertag",IF(C3690="Samstag","",IF(C3690="Sonntag","",Übersicht!$C$8)))</f>
        <v>Feiertag</v>
      </c>
    </row>
    <row r="3691" spans="1:4" x14ac:dyDescent="0.25">
      <c r="A3691" t="s">
        <v>66</v>
      </c>
      <c r="B3691" s="48">
        <v>46873</v>
      </c>
      <c r="C3691" t="s">
        <v>48</v>
      </c>
      <c r="D3691" t="str">
        <f>IF(COUNTIFS(Verweise!$A$2:$A$4542,Übersicht!$C$7,Verweise!$B$2:$B$4542,B3691)=1,"Feiertag",IF(C3691="Samstag","",IF(C3691="Sonntag","",Übersicht!$C$8)))</f>
        <v>Feiertag</v>
      </c>
    </row>
    <row r="3692" spans="1:4" x14ac:dyDescent="0.25">
      <c r="A3692" t="s">
        <v>66</v>
      </c>
      <c r="B3692" s="48">
        <v>46878</v>
      </c>
      <c r="C3692" t="s">
        <v>49</v>
      </c>
      <c r="D3692" t="str">
        <f>IF(COUNTIFS(Verweise!$A$2:$A$4542,Übersicht!$C$7,Verweise!$B$2:$B$4542,B3692)=1,"Feiertag",IF(C3692="Samstag","",IF(C3692="Sonntag","",Übersicht!$C$8)))</f>
        <v>Feiertag</v>
      </c>
    </row>
    <row r="3693" spans="1:4" x14ac:dyDescent="0.25">
      <c r="A3693" t="s">
        <v>66</v>
      </c>
      <c r="B3693" s="48">
        <v>46888</v>
      </c>
      <c r="C3693" t="s">
        <v>50</v>
      </c>
      <c r="D3693" t="str">
        <f>IF(COUNTIFS(Verweise!$A$2:$A$4542,Übersicht!$C$7,Verweise!$B$2:$B$4542,B3693)=1,"Feiertag",IF(C3693="Samstag","",IF(C3693="Sonntag","",Übersicht!$C$8)))</f>
        <v>Feiertag</v>
      </c>
    </row>
    <row r="3694" spans="1:4" x14ac:dyDescent="0.25">
      <c r="A3694" t="s">
        <v>66</v>
      </c>
      <c r="B3694" s="48">
        <v>46889</v>
      </c>
      <c r="C3694" t="s">
        <v>51</v>
      </c>
      <c r="D3694" t="str">
        <f>IF(COUNTIFS(Verweise!$A$2:$A$4542,Übersicht!$C$7,Verweise!$B$2:$B$4542,B3694)=1,"Feiertag",IF(C3694="Samstag","",IF(C3694="Sonntag","",Übersicht!$C$8)))</f>
        <v>Feiertag</v>
      </c>
    </row>
    <row r="3695" spans="1:4" x14ac:dyDescent="0.25">
      <c r="A3695" t="s">
        <v>66</v>
      </c>
      <c r="B3695" s="48">
        <v>47028</v>
      </c>
      <c r="C3695" t="s">
        <v>53</v>
      </c>
      <c r="D3695" t="str">
        <f>IF(COUNTIFS(Verweise!$A$2:$A$4542,Übersicht!$C$7,Verweise!$B$2:$B$4542,B3695)=1,"Feiertag",IF(C3695="Samstag","",IF(C3695="Sonntag","",Übersicht!$C$8)))</f>
        <v>Feiertag</v>
      </c>
    </row>
    <row r="3696" spans="1:4" x14ac:dyDescent="0.25">
      <c r="A3696" t="s">
        <v>66</v>
      </c>
      <c r="B3696" s="48">
        <v>47056</v>
      </c>
      <c r="C3696" t="s">
        <v>62</v>
      </c>
      <c r="D3696" t="str">
        <f>IF(COUNTIFS(Verweise!$A$2:$A$4542,Übersicht!$C$7,Verweise!$B$2:$B$4542,B3696)=1,"Feiertag",IF(C3696="Samstag","",IF(C3696="Sonntag","",Übersicht!$C$8)))</f>
        <v>Büro</v>
      </c>
    </row>
    <row r="3697" spans="1:4" x14ac:dyDescent="0.25">
      <c r="A3697" t="s">
        <v>66</v>
      </c>
      <c r="B3697" s="48">
        <v>47111</v>
      </c>
      <c r="C3697" t="s">
        <v>55</v>
      </c>
      <c r="D3697" t="str">
        <f>IF(COUNTIFS(Verweise!$A$2:$A$4542,Übersicht!$C$7,Verweise!$B$2:$B$4542,B3697)=1,"Feiertag",IF(C3697="Samstag","",IF(C3697="Sonntag","",Übersicht!$C$8)))</f>
        <v>Feiertag</v>
      </c>
    </row>
    <row r="3698" spans="1:4" x14ac:dyDescent="0.25">
      <c r="A3698" t="s">
        <v>66</v>
      </c>
      <c r="B3698" s="48">
        <v>47112</v>
      </c>
      <c r="C3698" t="s">
        <v>56</v>
      </c>
      <c r="D3698" t="str">
        <f>IF(COUNTIFS(Verweise!$A$2:$A$4542,Übersicht!$C$7,Verweise!$B$2:$B$4542,B3698)=1,"Feiertag",IF(C3698="Samstag","",IF(C3698="Sonntag","",Übersicht!$C$8)))</f>
        <v>Feiertag</v>
      </c>
    </row>
    <row r="3699" spans="1:4" x14ac:dyDescent="0.25">
      <c r="A3699" t="s">
        <v>67</v>
      </c>
      <c r="B3699" s="48">
        <v>46752</v>
      </c>
      <c r="C3699" t="s">
        <v>43</v>
      </c>
      <c r="D3699" t="str">
        <f>IF(COUNTIFS(Verweise!$A$2:$A$4542,Übersicht!$C$7,Verweise!$B$2:$B$4542,B3699)=1,"Feiertag",IF(C3699="Samstag","",IF(C3699="Sonntag","",Übersicht!$C$8)))</f>
        <v>Feiertag</v>
      </c>
    </row>
    <row r="3700" spans="1:4" x14ac:dyDescent="0.25">
      <c r="A3700" t="s">
        <v>67</v>
      </c>
      <c r="B3700" s="48">
        <v>46837</v>
      </c>
      <c r="C3700" t="s">
        <v>45</v>
      </c>
      <c r="D3700" t="str">
        <f>IF(COUNTIFS(Verweise!$A$2:$A$4542,Übersicht!$C$7,Verweise!$B$2:$B$4542,B3700)=1,"Feiertag",IF(C3700="Samstag","",IF(C3700="Sonntag","",Übersicht!$C$8)))</f>
        <v>Feiertag</v>
      </c>
    </row>
    <row r="3701" spans="1:4" x14ac:dyDescent="0.25">
      <c r="A3701" t="s">
        <v>67</v>
      </c>
      <c r="B3701" s="48">
        <v>46839</v>
      </c>
      <c r="C3701" t="s">
        <v>46</v>
      </c>
      <c r="D3701" t="str">
        <f>IF(COUNTIFS(Verweise!$A$2:$A$4542,Übersicht!$C$7,Verweise!$B$2:$B$4542,B3701)=1,"Feiertag",IF(C3701="Samstag","",IF(C3701="Sonntag","",Übersicht!$C$8)))</f>
        <v>Feiertag</v>
      </c>
    </row>
    <row r="3702" spans="1:4" x14ac:dyDescent="0.25">
      <c r="A3702" t="s">
        <v>67</v>
      </c>
      <c r="B3702" s="48">
        <v>46840</v>
      </c>
      <c r="C3702" t="s">
        <v>47</v>
      </c>
      <c r="D3702" t="str">
        <f>IF(COUNTIFS(Verweise!$A$2:$A$4542,Übersicht!$C$7,Verweise!$B$2:$B$4542,B3702)=1,"Feiertag",IF(C3702="Samstag","",IF(C3702="Sonntag","",Übersicht!$C$8)))</f>
        <v>Feiertag</v>
      </c>
    </row>
    <row r="3703" spans="1:4" x14ac:dyDescent="0.25">
      <c r="A3703" t="s">
        <v>67</v>
      </c>
      <c r="B3703" s="48">
        <v>46873</v>
      </c>
      <c r="C3703" t="s">
        <v>48</v>
      </c>
      <c r="D3703" t="str">
        <f>IF(COUNTIFS(Verweise!$A$2:$A$4542,Übersicht!$C$7,Verweise!$B$2:$B$4542,B3703)=1,"Feiertag",IF(C3703="Samstag","",IF(C3703="Sonntag","",Übersicht!$C$8)))</f>
        <v>Feiertag</v>
      </c>
    </row>
    <row r="3704" spans="1:4" x14ac:dyDescent="0.25">
      <c r="A3704" t="s">
        <v>67</v>
      </c>
      <c r="B3704" s="48">
        <v>46878</v>
      </c>
      <c r="C3704" t="s">
        <v>49</v>
      </c>
      <c r="D3704" t="str">
        <f>IF(COUNTIFS(Verweise!$A$2:$A$4542,Übersicht!$C$7,Verweise!$B$2:$B$4542,B3704)=1,"Feiertag",IF(C3704="Samstag","",IF(C3704="Sonntag","",Übersicht!$C$8)))</f>
        <v>Feiertag</v>
      </c>
    </row>
    <row r="3705" spans="1:4" x14ac:dyDescent="0.25">
      <c r="A3705" t="s">
        <v>67</v>
      </c>
      <c r="B3705" s="48">
        <v>46888</v>
      </c>
      <c r="C3705" t="s">
        <v>50</v>
      </c>
      <c r="D3705" t="str">
        <f>IF(COUNTIFS(Verweise!$A$2:$A$4542,Übersicht!$C$7,Verweise!$B$2:$B$4542,B3705)=1,"Feiertag",IF(C3705="Samstag","",IF(C3705="Sonntag","",Übersicht!$C$8)))</f>
        <v>Feiertag</v>
      </c>
    </row>
    <row r="3706" spans="1:4" x14ac:dyDescent="0.25">
      <c r="A3706" t="s">
        <v>67</v>
      </c>
      <c r="B3706" s="48">
        <v>46889</v>
      </c>
      <c r="C3706" t="s">
        <v>51</v>
      </c>
      <c r="D3706" t="str">
        <f>IF(COUNTIFS(Verweise!$A$2:$A$4542,Übersicht!$C$7,Verweise!$B$2:$B$4542,B3706)=1,"Feiertag",IF(C3706="Samstag","",IF(C3706="Sonntag","",Übersicht!$C$8)))</f>
        <v>Feiertag</v>
      </c>
    </row>
    <row r="3707" spans="1:4" x14ac:dyDescent="0.25">
      <c r="A3707" t="s">
        <v>67</v>
      </c>
      <c r="B3707" s="48">
        <v>47028</v>
      </c>
      <c r="C3707" t="s">
        <v>53</v>
      </c>
      <c r="D3707" t="str">
        <f>IF(COUNTIFS(Verweise!$A$2:$A$4542,Übersicht!$C$7,Verweise!$B$2:$B$4542,B3707)=1,"Feiertag",IF(C3707="Samstag","",IF(C3707="Sonntag","",Übersicht!$C$8)))</f>
        <v>Feiertag</v>
      </c>
    </row>
    <row r="3708" spans="1:4" x14ac:dyDescent="0.25">
      <c r="A3708" t="s">
        <v>67</v>
      </c>
      <c r="B3708" s="48">
        <v>47111</v>
      </c>
      <c r="C3708" t="s">
        <v>55</v>
      </c>
      <c r="D3708" t="str">
        <f>IF(COUNTIFS(Verweise!$A$2:$A$4542,Übersicht!$C$7,Verweise!$B$2:$B$4542,B3708)=1,"Feiertag",IF(C3708="Samstag","",IF(C3708="Sonntag","",Übersicht!$C$8)))</f>
        <v>Feiertag</v>
      </c>
    </row>
    <row r="3709" spans="1:4" x14ac:dyDescent="0.25">
      <c r="A3709" t="s">
        <v>67</v>
      </c>
      <c r="B3709" s="48">
        <v>47112</v>
      </c>
      <c r="C3709" t="s">
        <v>56</v>
      </c>
      <c r="D3709" t="str">
        <f>IF(COUNTIFS(Verweise!$A$2:$A$4542,Übersicht!$C$7,Verweise!$B$2:$B$4542,B3709)=1,"Feiertag",IF(C3709="Samstag","",IF(C3709="Sonntag","",Übersicht!$C$8)))</f>
        <v>Feiertag</v>
      </c>
    </row>
    <row r="3710" spans="1:4" x14ac:dyDescent="0.25">
      <c r="A3710" t="s">
        <v>68</v>
      </c>
      <c r="B3710" s="48">
        <v>46752</v>
      </c>
      <c r="C3710" t="s">
        <v>43</v>
      </c>
      <c r="D3710" t="str">
        <f>IF(COUNTIFS(Verweise!$A$2:$A$4542,Übersicht!$C$7,Verweise!$B$2:$B$4542,B3710)=1,"Feiertag",IF(C3710="Samstag","",IF(C3710="Sonntag","",Übersicht!$C$8)))</f>
        <v>Feiertag</v>
      </c>
    </row>
    <row r="3711" spans="1:4" x14ac:dyDescent="0.25">
      <c r="A3711" t="s">
        <v>68</v>
      </c>
      <c r="B3711" s="48">
        <v>46837</v>
      </c>
      <c r="C3711" t="s">
        <v>45</v>
      </c>
      <c r="D3711" t="str">
        <f>IF(COUNTIFS(Verweise!$A$2:$A$4542,Übersicht!$C$7,Verweise!$B$2:$B$4542,B3711)=1,"Feiertag",IF(C3711="Samstag","",IF(C3711="Sonntag","",Übersicht!$C$8)))</f>
        <v>Feiertag</v>
      </c>
    </row>
    <row r="3712" spans="1:4" x14ac:dyDescent="0.25">
      <c r="A3712" t="s">
        <v>68</v>
      </c>
      <c r="B3712" s="48">
        <v>46839</v>
      </c>
      <c r="C3712" t="s">
        <v>46</v>
      </c>
      <c r="D3712" t="str">
        <f>IF(COUNTIFS(Verweise!$A$2:$A$4542,Übersicht!$C$7,Verweise!$B$2:$B$4542,B3712)=1,"Feiertag",IF(C3712="Samstag","",IF(C3712="Sonntag","",Übersicht!$C$8)))</f>
        <v>Feiertag</v>
      </c>
    </row>
    <row r="3713" spans="1:4" x14ac:dyDescent="0.25">
      <c r="A3713" t="s">
        <v>68</v>
      </c>
      <c r="B3713" s="48">
        <v>46840</v>
      </c>
      <c r="C3713" t="s">
        <v>47</v>
      </c>
      <c r="D3713" t="str">
        <f>IF(COUNTIFS(Verweise!$A$2:$A$4542,Übersicht!$C$7,Verweise!$B$2:$B$4542,B3713)=1,"Feiertag",IF(C3713="Samstag","",IF(C3713="Sonntag","",Übersicht!$C$8)))</f>
        <v>Feiertag</v>
      </c>
    </row>
    <row r="3714" spans="1:4" x14ac:dyDescent="0.25">
      <c r="A3714" t="s">
        <v>68</v>
      </c>
      <c r="B3714" s="48">
        <v>46873</v>
      </c>
      <c r="C3714" t="s">
        <v>48</v>
      </c>
      <c r="D3714" t="str">
        <f>IF(COUNTIFS(Verweise!$A$2:$A$4542,Übersicht!$C$7,Verweise!$B$2:$B$4542,B3714)=1,"Feiertag",IF(C3714="Samstag","",IF(C3714="Sonntag","",Übersicht!$C$8)))</f>
        <v>Feiertag</v>
      </c>
    </row>
    <row r="3715" spans="1:4" x14ac:dyDescent="0.25">
      <c r="A3715" t="s">
        <v>68</v>
      </c>
      <c r="B3715" s="48">
        <v>46878</v>
      </c>
      <c r="C3715" t="s">
        <v>49</v>
      </c>
      <c r="D3715" t="str">
        <f>IF(COUNTIFS(Verweise!$A$2:$A$4542,Übersicht!$C$7,Verweise!$B$2:$B$4542,B3715)=1,"Feiertag",IF(C3715="Samstag","",IF(C3715="Sonntag","",Übersicht!$C$8)))</f>
        <v>Feiertag</v>
      </c>
    </row>
    <row r="3716" spans="1:4" x14ac:dyDescent="0.25">
      <c r="A3716" t="s">
        <v>68</v>
      </c>
      <c r="B3716" s="48">
        <v>46888</v>
      </c>
      <c r="C3716" t="s">
        <v>50</v>
      </c>
      <c r="D3716" t="str">
        <f>IF(COUNTIFS(Verweise!$A$2:$A$4542,Übersicht!$C$7,Verweise!$B$2:$B$4542,B3716)=1,"Feiertag",IF(C3716="Samstag","",IF(C3716="Sonntag","",Übersicht!$C$8)))</f>
        <v>Feiertag</v>
      </c>
    </row>
    <row r="3717" spans="1:4" x14ac:dyDescent="0.25">
      <c r="A3717" t="s">
        <v>68</v>
      </c>
      <c r="B3717" s="48">
        <v>46889</v>
      </c>
      <c r="C3717" t="s">
        <v>51</v>
      </c>
      <c r="D3717" t="str">
        <f>IF(COUNTIFS(Verweise!$A$2:$A$4542,Übersicht!$C$7,Verweise!$B$2:$B$4542,B3717)=1,"Feiertag",IF(C3717="Samstag","",IF(C3717="Sonntag","",Übersicht!$C$8)))</f>
        <v>Feiertag</v>
      </c>
    </row>
    <row r="3718" spans="1:4" x14ac:dyDescent="0.25">
      <c r="A3718" t="s">
        <v>68</v>
      </c>
      <c r="B3718" s="48">
        <v>46899</v>
      </c>
      <c r="C3718" t="s">
        <v>52</v>
      </c>
      <c r="D3718" t="str">
        <f>IF(COUNTIFS(Verweise!$A$2:$A$4542,Übersicht!$C$7,Verweise!$B$2:$B$4542,B3718)=1,"Feiertag",IF(C3718="Samstag","",IF(C3718="Sonntag","",Übersicht!$C$8)))</f>
        <v>Feiertag</v>
      </c>
    </row>
    <row r="3719" spans="1:4" x14ac:dyDescent="0.25">
      <c r="A3719" t="s">
        <v>68</v>
      </c>
      <c r="B3719" s="48">
        <v>47028</v>
      </c>
      <c r="C3719" t="s">
        <v>53</v>
      </c>
      <c r="D3719" t="str">
        <f>IF(COUNTIFS(Verweise!$A$2:$A$4542,Übersicht!$C$7,Verweise!$B$2:$B$4542,B3719)=1,"Feiertag",IF(C3719="Samstag","",IF(C3719="Sonntag","",Übersicht!$C$8)))</f>
        <v>Feiertag</v>
      </c>
    </row>
    <row r="3720" spans="1:4" x14ac:dyDescent="0.25">
      <c r="A3720" t="s">
        <v>68</v>
      </c>
      <c r="B3720" s="48">
        <v>47057</v>
      </c>
      <c r="C3720" t="s">
        <v>54</v>
      </c>
      <c r="D3720" t="str">
        <f>IF(COUNTIFS(Verweise!$A$2:$A$4542,Übersicht!$C$7,Verweise!$B$2:$B$4542,B3720)=1,"Feiertag",IF(C3720="Samstag","",IF(C3720="Sonntag","",Übersicht!$C$8)))</f>
        <v>Feiertag</v>
      </c>
    </row>
    <row r="3721" spans="1:4" x14ac:dyDescent="0.25">
      <c r="A3721" t="s">
        <v>68</v>
      </c>
      <c r="B3721" s="48">
        <v>47111</v>
      </c>
      <c r="C3721" t="s">
        <v>55</v>
      </c>
      <c r="D3721" t="str">
        <f>IF(COUNTIFS(Verweise!$A$2:$A$4542,Übersicht!$C$7,Verweise!$B$2:$B$4542,B3721)=1,"Feiertag",IF(C3721="Samstag","",IF(C3721="Sonntag","",Übersicht!$C$8)))</f>
        <v>Feiertag</v>
      </c>
    </row>
    <row r="3722" spans="1:4" x14ac:dyDescent="0.25">
      <c r="A3722" t="s">
        <v>68</v>
      </c>
      <c r="B3722" s="48">
        <v>47112</v>
      </c>
      <c r="C3722" t="s">
        <v>56</v>
      </c>
      <c r="D3722" t="str">
        <f>IF(COUNTIFS(Verweise!$A$2:$A$4542,Übersicht!$C$7,Verweise!$B$2:$B$4542,B3722)=1,"Feiertag",IF(C3722="Samstag","",IF(C3722="Sonntag","",Übersicht!$C$8)))</f>
        <v>Feiertag</v>
      </c>
    </row>
    <row r="3723" spans="1:4" x14ac:dyDescent="0.25">
      <c r="A3723" t="s">
        <v>69</v>
      </c>
      <c r="B3723" s="48">
        <v>46752</v>
      </c>
      <c r="C3723" t="s">
        <v>43</v>
      </c>
      <c r="D3723" t="str">
        <f>IF(COUNTIFS(Verweise!$A$2:$A$4542,Übersicht!$C$7,Verweise!$B$2:$B$4542,B3723)=1,"Feiertag",IF(C3723="Samstag","",IF(C3723="Sonntag","",Übersicht!$C$8)))</f>
        <v>Feiertag</v>
      </c>
    </row>
    <row r="3724" spans="1:4" x14ac:dyDescent="0.25">
      <c r="A3724" t="s">
        <v>69</v>
      </c>
      <c r="B3724" s="48">
        <v>46837</v>
      </c>
      <c r="C3724" t="s">
        <v>45</v>
      </c>
      <c r="D3724" t="str">
        <f>IF(COUNTIFS(Verweise!$A$2:$A$4542,Übersicht!$C$7,Verweise!$B$2:$B$4542,B3724)=1,"Feiertag",IF(C3724="Samstag","",IF(C3724="Sonntag","",Übersicht!$C$8)))</f>
        <v>Feiertag</v>
      </c>
    </row>
    <row r="3725" spans="1:4" x14ac:dyDescent="0.25">
      <c r="A3725" t="s">
        <v>69</v>
      </c>
      <c r="B3725" s="48">
        <v>46839</v>
      </c>
      <c r="C3725" t="s">
        <v>46</v>
      </c>
      <c r="D3725" t="str">
        <f>IF(COUNTIFS(Verweise!$A$2:$A$4542,Übersicht!$C$7,Verweise!$B$2:$B$4542,B3725)=1,"Feiertag",IF(C3725="Samstag","",IF(C3725="Sonntag","",Übersicht!$C$8)))</f>
        <v>Feiertag</v>
      </c>
    </row>
    <row r="3726" spans="1:4" x14ac:dyDescent="0.25">
      <c r="A3726" t="s">
        <v>69</v>
      </c>
      <c r="B3726" s="48">
        <v>46840</v>
      </c>
      <c r="C3726" t="s">
        <v>47</v>
      </c>
      <c r="D3726" t="str">
        <f>IF(COUNTIFS(Verweise!$A$2:$A$4542,Übersicht!$C$7,Verweise!$B$2:$B$4542,B3726)=1,"Feiertag",IF(C3726="Samstag","",IF(C3726="Sonntag","",Übersicht!$C$8)))</f>
        <v>Feiertag</v>
      </c>
    </row>
    <row r="3727" spans="1:4" x14ac:dyDescent="0.25">
      <c r="A3727" t="s">
        <v>69</v>
      </c>
      <c r="B3727" s="48">
        <v>46873</v>
      </c>
      <c r="C3727" t="s">
        <v>48</v>
      </c>
      <c r="D3727" t="str">
        <f>IF(COUNTIFS(Verweise!$A$2:$A$4542,Übersicht!$C$7,Verweise!$B$2:$B$4542,B3727)=1,"Feiertag",IF(C3727="Samstag","",IF(C3727="Sonntag","",Übersicht!$C$8)))</f>
        <v>Feiertag</v>
      </c>
    </row>
    <row r="3728" spans="1:4" x14ac:dyDescent="0.25">
      <c r="A3728" t="s">
        <v>69</v>
      </c>
      <c r="B3728" s="48">
        <v>46878</v>
      </c>
      <c r="C3728" t="s">
        <v>49</v>
      </c>
      <c r="D3728" t="str">
        <f>IF(COUNTIFS(Verweise!$A$2:$A$4542,Übersicht!$C$7,Verweise!$B$2:$B$4542,B3728)=1,"Feiertag",IF(C3728="Samstag","",IF(C3728="Sonntag","",Übersicht!$C$8)))</f>
        <v>Feiertag</v>
      </c>
    </row>
    <row r="3729" spans="1:4" x14ac:dyDescent="0.25">
      <c r="A3729" t="s">
        <v>69</v>
      </c>
      <c r="B3729" s="48">
        <v>46888</v>
      </c>
      <c r="C3729" t="s">
        <v>50</v>
      </c>
      <c r="D3729" t="str">
        <f>IF(COUNTIFS(Verweise!$A$2:$A$4542,Übersicht!$C$7,Verweise!$B$2:$B$4542,B3729)=1,"Feiertag",IF(C3729="Samstag","",IF(C3729="Sonntag","",Übersicht!$C$8)))</f>
        <v>Feiertag</v>
      </c>
    </row>
    <row r="3730" spans="1:4" x14ac:dyDescent="0.25">
      <c r="A3730" t="s">
        <v>69</v>
      </c>
      <c r="B3730" s="48">
        <v>46889</v>
      </c>
      <c r="C3730" t="s">
        <v>51</v>
      </c>
      <c r="D3730" t="str">
        <f>IF(COUNTIFS(Verweise!$A$2:$A$4542,Übersicht!$C$7,Verweise!$B$2:$B$4542,B3730)=1,"Feiertag",IF(C3730="Samstag","",IF(C3730="Sonntag","",Übersicht!$C$8)))</f>
        <v>Feiertag</v>
      </c>
    </row>
    <row r="3731" spans="1:4" x14ac:dyDescent="0.25">
      <c r="A3731" t="s">
        <v>69</v>
      </c>
      <c r="B3731" s="48">
        <v>46899</v>
      </c>
      <c r="C3731" t="s">
        <v>52</v>
      </c>
      <c r="D3731" t="str">
        <f>IF(COUNTIFS(Verweise!$A$2:$A$4542,Übersicht!$C$7,Verweise!$B$2:$B$4542,B3731)=1,"Feiertag",IF(C3731="Samstag","",IF(C3731="Sonntag","",Übersicht!$C$8)))</f>
        <v>Feiertag</v>
      </c>
    </row>
    <row r="3732" spans="1:4" x14ac:dyDescent="0.25">
      <c r="A3732" t="s">
        <v>69</v>
      </c>
      <c r="B3732" s="48">
        <v>47028</v>
      </c>
      <c r="C3732" t="s">
        <v>53</v>
      </c>
      <c r="D3732" t="str">
        <f>IF(COUNTIFS(Verweise!$A$2:$A$4542,Übersicht!$C$7,Verweise!$B$2:$B$4542,B3732)=1,"Feiertag",IF(C3732="Samstag","",IF(C3732="Sonntag","",Übersicht!$C$8)))</f>
        <v>Feiertag</v>
      </c>
    </row>
    <row r="3733" spans="1:4" x14ac:dyDescent="0.25">
      <c r="A3733" t="s">
        <v>69</v>
      </c>
      <c r="B3733" s="48">
        <v>47057</v>
      </c>
      <c r="C3733" t="s">
        <v>54</v>
      </c>
      <c r="D3733" t="str">
        <f>IF(COUNTIFS(Verweise!$A$2:$A$4542,Übersicht!$C$7,Verweise!$B$2:$B$4542,B3733)=1,"Feiertag",IF(C3733="Samstag","",IF(C3733="Sonntag","",Übersicht!$C$8)))</f>
        <v>Feiertag</v>
      </c>
    </row>
    <row r="3734" spans="1:4" x14ac:dyDescent="0.25">
      <c r="A3734" t="s">
        <v>69</v>
      </c>
      <c r="B3734" s="48">
        <v>47111</v>
      </c>
      <c r="C3734" t="s">
        <v>55</v>
      </c>
      <c r="D3734" t="str">
        <f>IF(COUNTIFS(Verweise!$A$2:$A$4542,Übersicht!$C$7,Verweise!$B$2:$B$4542,B3734)=1,"Feiertag",IF(C3734="Samstag","",IF(C3734="Sonntag","",Übersicht!$C$8)))</f>
        <v>Feiertag</v>
      </c>
    </row>
    <row r="3735" spans="1:4" x14ac:dyDescent="0.25">
      <c r="A3735" t="s">
        <v>69</v>
      </c>
      <c r="B3735" s="48">
        <v>47112</v>
      </c>
      <c r="C3735" t="s">
        <v>56</v>
      </c>
      <c r="D3735" t="str">
        <f>IF(COUNTIFS(Verweise!$A$2:$A$4542,Übersicht!$C$7,Verweise!$B$2:$B$4542,B3735)=1,"Feiertag",IF(C3735="Samstag","",IF(C3735="Sonntag","",Übersicht!$C$8)))</f>
        <v>Feiertag</v>
      </c>
    </row>
    <row r="3736" spans="1:4" x14ac:dyDescent="0.25">
      <c r="A3736" t="s">
        <v>70</v>
      </c>
      <c r="B3736" s="48">
        <v>46752</v>
      </c>
      <c r="C3736" t="s">
        <v>43</v>
      </c>
      <c r="D3736" t="str">
        <f>IF(COUNTIFS(Verweise!$A$2:$A$4542,Übersicht!$C$7,Verweise!$B$2:$B$4542,B3736)=1,"Feiertag",IF(C3736="Samstag","",IF(C3736="Sonntag","",Übersicht!$C$8)))</f>
        <v>Feiertag</v>
      </c>
    </row>
    <row r="3737" spans="1:4" x14ac:dyDescent="0.25">
      <c r="A3737" t="s">
        <v>70</v>
      </c>
      <c r="B3737" s="48">
        <v>46837</v>
      </c>
      <c r="C3737" t="s">
        <v>45</v>
      </c>
      <c r="D3737" t="str">
        <f>IF(COUNTIFS(Verweise!$A$2:$A$4542,Übersicht!$C$7,Verweise!$B$2:$B$4542,B3737)=1,"Feiertag",IF(C3737="Samstag","",IF(C3737="Sonntag","",Übersicht!$C$8)))</f>
        <v>Feiertag</v>
      </c>
    </row>
    <row r="3738" spans="1:4" x14ac:dyDescent="0.25">
      <c r="A3738" t="s">
        <v>70</v>
      </c>
      <c r="B3738" s="48">
        <v>46839</v>
      </c>
      <c r="C3738" t="s">
        <v>46</v>
      </c>
      <c r="D3738" t="str">
        <f>IF(COUNTIFS(Verweise!$A$2:$A$4542,Übersicht!$C$7,Verweise!$B$2:$B$4542,B3738)=1,"Feiertag",IF(C3738="Samstag","",IF(C3738="Sonntag","",Übersicht!$C$8)))</f>
        <v>Feiertag</v>
      </c>
    </row>
    <row r="3739" spans="1:4" x14ac:dyDescent="0.25">
      <c r="A3739" t="s">
        <v>70</v>
      </c>
      <c r="B3739" s="48">
        <v>46840</v>
      </c>
      <c r="C3739" t="s">
        <v>47</v>
      </c>
      <c r="D3739" t="str">
        <f>IF(COUNTIFS(Verweise!$A$2:$A$4542,Übersicht!$C$7,Verweise!$B$2:$B$4542,B3739)=1,"Feiertag",IF(C3739="Samstag","",IF(C3739="Sonntag","",Übersicht!$C$8)))</f>
        <v>Feiertag</v>
      </c>
    </row>
    <row r="3740" spans="1:4" x14ac:dyDescent="0.25">
      <c r="A3740" t="s">
        <v>70</v>
      </c>
      <c r="B3740" s="48">
        <v>46873</v>
      </c>
      <c r="C3740" t="s">
        <v>48</v>
      </c>
      <c r="D3740" t="str">
        <f>IF(COUNTIFS(Verweise!$A$2:$A$4542,Übersicht!$C$7,Verweise!$B$2:$B$4542,B3740)=1,"Feiertag",IF(C3740="Samstag","",IF(C3740="Sonntag","",Übersicht!$C$8)))</f>
        <v>Feiertag</v>
      </c>
    </row>
    <row r="3741" spans="1:4" x14ac:dyDescent="0.25">
      <c r="A3741" t="s">
        <v>70</v>
      </c>
      <c r="B3741" s="48">
        <v>46878</v>
      </c>
      <c r="C3741" t="s">
        <v>49</v>
      </c>
      <c r="D3741" t="str">
        <f>IF(COUNTIFS(Verweise!$A$2:$A$4542,Übersicht!$C$7,Verweise!$B$2:$B$4542,B3741)=1,"Feiertag",IF(C3741="Samstag","",IF(C3741="Sonntag","",Übersicht!$C$8)))</f>
        <v>Feiertag</v>
      </c>
    </row>
    <row r="3742" spans="1:4" x14ac:dyDescent="0.25">
      <c r="A3742" t="s">
        <v>70</v>
      </c>
      <c r="B3742" s="48">
        <v>46888</v>
      </c>
      <c r="C3742" t="s">
        <v>50</v>
      </c>
      <c r="D3742" t="str">
        <f>IF(COUNTIFS(Verweise!$A$2:$A$4542,Übersicht!$C$7,Verweise!$B$2:$B$4542,B3742)=1,"Feiertag",IF(C3742="Samstag","",IF(C3742="Sonntag","",Übersicht!$C$8)))</f>
        <v>Feiertag</v>
      </c>
    </row>
    <row r="3743" spans="1:4" x14ac:dyDescent="0.25">
      <c r="A3743" t="s">
        <v>70</v>
      </c>
      <c r="B3743" s="48">
        <v>46889</v>
      </c>
      <c r="C3743" t="s">
        <v>51</v>
      </c>
      <c r="D3743" t="str">
        <f>IF(COUNTIFS(Verweise!$A$2:$A$4542,Übersicht!$C$7,Verweise!$B$2:$B$4542,B3743)=1,"Feiertag",IF(C3743="Samstag","",IF(C3743="Sonntag","",Übersicht!$C$8)))</f>
        <v>Feiertag</v>
      </c>
    </row>
    <row r="3744" spans="1:4" x14ac:dyDescent="0.25">
      <c r="A3744" t="s">
        <v>70</v>
      </c>
      <c r="B3744" s="48">
        <v>46899</v>
      </c>
      <c r="C3744" t="s">
        <v>52</v>
      </c>
      <c r="D3744" t="str">
        <f>IF(COUNTIFS(Verweise!$A$2:$A$4542,Übersicht!$C$7,Verweise!$B$2:$B$4542,B3744)=1,"Feiertag",IF(C3744="Samstag","",IF(C3744="Sonntag","",Übersicht!$C$8)))</f>
        <v>Feiertag</v>
      </c>
    </row>
    <row r="3745" spans="1:4" x14ac:dyDescent="0.25">
      <c r="A3745" t="s">
        <v>70</v>
      </c>
      <c r="B3745" s="48">
        <v>46979</v>
      </c>
      <c r="C3745" t="s">
        <v>59</v>
      </c>
      <c r="D3745" t="str">
        <f>IF(COUNTIFS(Verweise!$A$2:$A$4542,Übersicht!$C$7,Verweise!$B$2:$B$4542,B3745)=1,"Feiertag",IF(C3745="Samstag","",IF(C3745="Sonntag","",Übersicht!$C$8)))</f>
        <v>Büro</v>
      </c>
    </row>
    <row r="3746" spans="1:4" x14ac:dyDescent="0.25">
      <c r="A3746" t="s">
        <v>70</v>
      </c>
      <c r="B3746" s="48">
        <v>47028</v>
      </c>
      <c r="C3746" t="s">
        <v>53</v>
      </c>
      <c r="D3746" t="str">
        <f>IF(COUNTIFS(Verweise!$A$2:$A$4542,Übersicht!$C$7,Verweise!$B$2:$B$4542,B3746)=1,"Feiertag",IF(C3746="Samstag","",IF(C3746="Sonntag","",Übersicht!$C$8)))</f>
        <v>Feiertag</v>
      </c>
    </row>
    <row r="3747" spans="1:4" x14ac:dyDescent="0.25">
      <c r="A3747" t="s">
        <v>70</v>
      </c>
      <c r="B3747" s="48">
        <v>47057</v>
      </c>
      <c r="C3747" t="s">
        <v>54</v>
      </c>
      <c r="D3747" t="str">
        <f>IF(COUNTIFS(Verweise!$A$2:$A$4542,Übersicht!$C$7,Verweise!$B$2:$B$4542,B3747)=1,"Feiertag",IF(C3747="Samstag","",IF(C3747="Sonntag","",Übersicht!$C$8)))</f>
        <v>Feiertag</v>
      </c>
    </row>
    <row r="3748" spans="1:4" x14ac:dyDescent="0.25">
      <c r="A3748" t="s">
        <v>70</v>
      </c>
      <c r="B3748" s="48">
        <v>47111</v>
      </c>
      <c r="C3748" t="s">
        <v>55</v>
      </c>
      <c r="D3748" t="str">
        <f>IF(COUNTIFS(Verweise!$A$2:$A$4542,Übersicht!$C$7,Verweise!$B$2:$B$4542,B3748)=1,"Feiertag",IF(C3748="Samstag","",IF(C3748="Sonntag","",Übersicht!$C$8)))</f>
        <v>Feiertag</v>
      </c>
    </row>
    <row r="3749" spans="1:4" x14ac:dyDescent="0.25">
      <c r="A3749" t="s">
        <v>70</v>
      </c>
      <c r="B3749" s="48">
        <v>47112</v>
      </c>
      <c r="C3749" t="s">
        <v>56</v>
      </c>
      <c r="D3749" t="str">
        <f>IF(COUNTIFS(Verweise!$A$2:$A$4542,Übersicht!$C$7,Verweise!$B$2:$B$4542,B3749)=1,"Feiertag",IF(C3749="Samstag","",IF(C3749="Sonntag","",Übersicht!$C$8)))</f>
        <v>Feiertag</v>
      </c>
    </row>
    <row r="3750" spans="1:4" x14ac:dyDescent="0.25">
      <c r="A3750" t="s">
        <v>71</v>
      </c>
      <c r="B3750" s="48">
        <v>46752</v>
      </c>
      <c r="C3750" t="s">
        <v>43</v>
      </c>
      <c r="D3750" t="str">
        <f>IF(COUNTIFS(Verweise!$A$2:$A$4542,Übersicht!$C$7,Verweise!$B$2:$B$4542,B3750)=1,"Feiertag",IF(C3750="Samstag","",IF(C3750="Sonntag","",Übersicht!$C$8)))</f>
        <v>Feiertag</v>
      </c>
    </row>
    <row r="3751" spans="1:4" x14ac:dyDescent="0.25">
      <c r="A3751" t="s">
        <v>71</v>
      </c>
      <c r="B3751" s="48">
        <v>46837</v>
      </c>
      <c r="C3751" t="s">
        <v>45</v>
      </c>
      <c r="D3751" t="str">
        <f>IF(COUNTIFS(Verweise!$A$2:$A$4542,Übersicht!$C$7,Verweise!$B$2:$B$4542,B3751)=1,"Feiertag",IF(C3751="Samstag","",IF(C3751="Sonntag","",Übersicht!$C$8)))</f>
        <v>Feiertag</v>
      </c>
    </row>
    <row r="3752" spans="1:4" x14ac:dyDescent="0.25">
      <c r="A3752" t="s">
        <v>71</v>
      </c>
      <c r="B3752" s="48">
        <v>46839</v>
      </c>
      <c r="C3752" t="s">
        <v>46</v>
      </c>
      <c r="D3752" t="str">
        <f>IF(COUNTIFS(Verweise!$A$2:$A$4542,Übersicht!$C$7,Verweise!$B$2:$B$4542,B3752)=1,"Feiertag",IF(C3752="Samstag","",IF(C3752="Sonntag","",Übersicht!$C$8)))</f>
        <v>Feiertag</v>
      </c>
    </row>
    <row r="3753" spans="1:4" x14ac:dyDescent="0.25">
      <c r="A3753" t="s">
        <v>71</v>
      </c>
      <c r="B3753" s="48">
        <v>46840</v>
      </c>
      <c r="C3753" t="s">
        <v>47</v>
      </c>
      <c r="D3753" t="str">
        <f>IF(COUNTIFS(Verweise!$A$2:$A$4542,Übersicht!$C$7,Verweise!$B$2:$B$4542,B3753)=1,"Feiertag",IF(C3753="Samstag","",IF(C3753="Sonntag","",Übersicht!$C$8)))</f>
        <v>Feiertag</v>
      </c>
    </row>
    <row r="3754" spans="1:4" x14ac:dyDescent="0.25">
      <c r="A3754" t="s">
        <v>71</v>
      </c>
      <c r="B3754" s="48">
        <v>46873</v>
      </c>
      <c r="C3754" t="s">
        <v>48</v>
      </c>
      <c r="D3754" t="str">
        <f>IF(COUNTIFS(Verweise!$A$2:$A$4542,Übersicht!$C$7,Verweise!$B$2:$B$4542,B3754)=1,"Feiertag",IF(C3754="Samstag","",IF(C3754="Sonntag","",Übersicht!$C$8)))</f>
        <v>Feiertag</v>
      </c>
    </row>
    <row r="3755" spans="1:4" x14ac:dyDescent="0.25">
      <c r="A3755" t="s">
        <v>71</v>
      </c>
      <c r="B3755" s="48">
        <v>46878</v>
      </c>
      <c r="C3755" t="s">
        <v>49</v>
      </c>
      <c r="D3755" t="str">
        <f>IF(COUNTIFS(Verweise!$A$2:$A$4542,Übersicht!$C$7,Verweise!$B$2:$B$4542,B3755)=1,"Feiertag",IF(C3755="Samstag","",IF(C3755="Sonntag","",Übersicht!$C$8)))</f>
        <v>Feiertag</v>
      </c>
    </row>
    <row r="3756" spans="1:4" x14ac:dyDescent="0.25">
      <c r="A3756" t="s">
        <v>71</v>
      </c>
      <c r="B3756" s="48">
        <v>46888</v>
      </c>
      <c r="C3756" t="s">
        <v>50</v>
      </c>
      <c r="D3756" t="str">
        <f>IF(COUNTIFS(Verweise!$A$2:$A$4542,Übersicht!$C$7,Verweise!$B$2:$B$4542,B3756)=1,"Feiertag",IF(C3756="Samstag","",IF(C3756="Sonntag","",Übersicht!$C$8)))</f>
        <v>Feiertag</v>
      </c>
    </row>
    <row r="3757" spans="1:4" x14ac:dyDescent="0.25">
      <c r="A3757" t="s">
        <v>71</v>
      </c>
      <c r="B3757" s="48">
        <v>46889</v>
      </c>
      <c r="C3757" t="s">
        <v>51</v>
      </c>
      <c r="D3757" t="str">
        <f>IF(COUNTIFS(Verweise!$A$2:$A$4542,Übersicht!$C$7,Verweise!$B$2:$B$4542,B3757)=1,"Feiertag",IF(C3757="Samstag","",IF(C3757="Sonntag","",Übersicht!$C$8)))</f>
        <v>Feiertag</v>
      </c>
    </row>
    <row r="3758" spans="1:4" x14ac:dyDescent="0.25">
      <c r="A3758" t="s">
        <v>71</v>
      </c>
      <c r="B3758" s="48">
        <v>47028</v>
      </c>
      <c r="C3758" t="s">
        <v>53</v>
      </c>
      <c r="D3758" t="str">
        <f>IF(COUNTIFS(Verweise!$A$2:$A$4542,Übersicht!$C$7,Verweise!$B$2:$B$4542,B3758)=1,"Feiertag",IF(C3758="Samstag","",IF(C3758="Sonntag","",Übersicht!$C$8)))</f>
        <v>Feiertag</v>
      </c>
    </row>
    <row r="3759" spans="1:4" x14ac:dyDescent="0.25">
      <c r="A3759" t="s">
        <v>71</v>
      </c>
      <c r="B3759" s="48">
        <v>47056</v>
      </c>
      <c r="C3759" t="s">
        <v>62</v>
      </c>
      <c r="D3759" t="str">
        <f>IF(COUNTIFS(Verweise!$A$2:$A$4542,Übersicht!$C$7,Verweise!$B$2:$B$4542,B3759)=1,"Feiertag",IF(C3759="Samstag","",IF(C3759="Sonntag","",Übersicht!$C$8)))</f>
        <v>Büro</v>
      </c>
    </row>
    <row r="3760" spans="1:4" x14ac:dyDescent="0.25">
      <c r="A3760" t="s">
        <v>71</v>
      </c>
      <c r="B3760" s="48">
        <v>47073</v>
      </c>
      <c r="C3760" t="s">
        <v>72</v>
      </c>
      <c r="D3760" t="str">
        <f>IF(COUNTIFS(Verweise!$A$2:$A$4542,Übersicht!$C$7,Verweise!$B$2:$B$4542,B3760)=1,"Feiertag",IF(C3760="Samstag","",IF(C3760="Sonntag","",Übersicht!$C$8)))</f>
        <v>Büro</v>
      </c>
    </row>
    <row r="3761" spans="1:4" x14ac:dyDescent="0.25">
      <c r="A3761" t="s">
        <v>71</v>
      </c>
      <c r="B3761" s="48">
        <v>47111</v>
      </c>
      <c r="C3761" t="s">
        <v>55</v>
      </c>
      <c r="D3761" t="str">
        <f>IF(COUNTIFS(Verweise!$A$2:$A$4542,Übersicht!$C$7,Verweise!$B$2:$B$4542,B3761)=1,"Feiertag",IF(C3761="Samstag","",IF(C3761="Sonntag","",Übersicht!$C$8)))</f>
        <v>Feiertag</v>
      </c>
    </row>
    <row r="3762" spans="1:4" x14ac:dyDescent="0.25">
      <c r="A3762" t="s">
        <v>71</v>
      </c>
      <c r="B3762" s="48">
        <v>47112</v>
      </c>
      <c r="C3762" t="s">
        <v>56</v>
      </c>
      <c r="D3762" t="str">
        <f>IF(COUNTIFS(Verweise!$A$2:$A$4542,Übersicht!$C$7,Verweise!$B$2:$B$4542,B3762)=1,"Feiertag",IF(C3762="Samstag","",IF(C3762="Sonntag","",Übersicht!$C$8)))</f>
        <v>Feiertag</v>
      </c>
    </row>
    <row r="3763" spans="1:4" x14ac:dyDescent="0.25">
      <c r="A3763" t="s">
        <v>73</v>
      </c>
      <c r="B3763" s="48">
        <v>46752</v>
      </c>
      <c r="C3763" t="s">
        <v>43</v>
      </c>
      <c r="D3763" t="str">
        <f>IF(COUNTIFS(Verweise!$A$2:$A$4542,Übersicht!$C$7,Verweise!$B$2:$B$4542,B3763)=1,"Feiertag",IF(C3763="Samstag","",IF(C3763="Sonntag","",Übersicht!$C$8)))</f>
        <v>Feiertag</v>
      </c>
    </row>
    <row r="3764" spans="1:4" x14ac:dyDescent="0.25">
      <c r="A3764" t="s">
        <v>73</v>
      </c>
      <c r="B3764" s="48">
        <v>46837</v>
      </c>
      <c r="C3764" t="s">
        <v>45</v>
      </c>
      <c r="D3764" t="str">
        <f>IF(COUNTIFS(Verweise!$A$2:$A$4542,Übersicht!$C$7,Verweise!$B$2:$B$4542,B3764)=1,"Feiertag",IF(C3764="Samstag","",IF(C3764="Sonntag","",Übersicht!$C$8)))</f>
        <v>Feiertag</v>
      </c>
    </row>
    <row r="3765" spans="1:4" x14ac:dyDescent="0.25">
      <c r="A3765" t="s">
        <v>73</v>
      </c>
      <c r="B3765" s="48">
        <v>46839</v>
      </c>
      <c r="C3765" t="s">
        <v>46</v>
      </c>
      <c r="D3765" t="str">
        <f>IF(COUNTIFS(Verweise!$A$2:$A$4542,Übersicht!$C$7,Verweise!$B$2:$B$4542,B3765)=1,"Feiertag",IF(C3765="Samstag","",IF(C3765="Sonntag","",Übersicht!$C$8)))</f>
        <v>Feiertag</v>
      </c>
    </row>
    <row r="3766" spans="1:4" x14ac:dyDescent="0.25">
      <c r="A3766" t="s">
        <v>73</v>
      </c>
      <c r="B3766" s="48">
        <v>46840</v>
      </c>
      <c r="C3766" t="s">
        <v>47</v>
      </c>
      <c r="D3766" t="str">
        <f>IF(COUNTIFS(Verweise!$A$2:$A$4542,Übersicht!$C$7,Verweise!$B$2:$B$4542,B3766)=1,"Feiertag",IF(C3766="Samstag","",IF(C3766="Sonntag","",Übersicht!$C$8)))</f>
        <v>Feiertag</v>
      </c>
    </row>
    <row r="3767" spans="1:4" x14ac:dyDescent="0.25">
      <c r="A3767" t="s">
        <v>73</v>
      </c>
      <c r="B3767" s="48">
        <v>46873</v>
      </c>
      <c r="C3767" t="s">
        <v>48</v>
      </c>
      <c r="D3767" t="str">
        <f>IF(COUNTIFS(Verweise!$A$2:$A$4542,Übersicht!$C$7,Verweise!$B$2:$B$4542,B3767)=1,"Feiertag",IF(C3767="Samstag","",IF(C3767="Sonntag","",Übersicht!$C$8)))</f>
        <v>Feiertag</v>
      </c>
    </row>
    <row r="3768" spans="1:4" x14ac:dyDescent="0.25">
      <c r="A3768" t="s">
        <v>73</v>
      </c>
      <c r="B3768" s="48">
        <v>46878</v>
      </c>
      <c r="C3768" t="s">
        <v>49</v>
      </c>
      <c r="D3768" t="str">
        <f>IF(COUNTIFS(Verweise!$A$2:$A$4542,Übersicht!$C$7,Verweise!$B$2:$B$4542,B3768)=1,"Feiertag",IF(C3768="Samstag","",IF(C3768="Sonntag","",Übersicht!$C$8)))</f>
        <v>Feiertag</v>
      </c>
    </row>
    <row r="3769" spans="1:4" x14ac:dyDescent="0.25">
      <c r="A3769" t="s">
        <v>73</v>
      </c>
      <c r="B3769" s="48">
        <v>46888</v>
      </c>
      <c r="C3769" t="s">
        <v>50</v>
      </c>
      <c r="D3769" t="str">
        <f>IF(COUNTIFS(Verweise!$A$2:$A$4542,Übersicht!$C$7,Verweise!$B$2:$B$4542,B3769)=1,"Feiertag",IF(C3769="Samstag","",IF(C3769="Sonntag","",Übersicht!$C$8)))</f>
        <v>Feiertag</v>
      </c>
    </row>
    <row r="3770" spans="1:4" x14ac:dyDescent="0.25">
      <c r="A3770" t="s">
        <v>73</v>
      </c>
      <c r="B3770" s="48">
        <v>46889</v>
      </c>
      <c r="C3770" t="s">
        <v>51</v>
      </c>
      <c r="D3770" t="str">
        <f>IF(COUNTIFS(Verweise!$A$2:$A$4542,Übersicht!$C$7,Verweise!$B$2:$B$4542,B3770)=1,"Feiertag",IF(C3770="Samstag","",IF(C3770="Sonntag","",Übersicht!$C$8)))</f>
        <v>Feiertag</v>
      </c>
    </row>
    <row r="3771" spans="1:4" x14ac:dyDescent="0.25">
      <c r="A3771" t="s">
        <v>73</v>
      </c>
      <c r="B3771" s="48">
        <v>46899</v>
      </c>
      <c r="C3771" t="s">
        <v>52</v>
      </c>
      <c r="D3771" t="str">
        <f>IF(COUNTIFS(Verweise!$A$2:$A$4542,Übersicht!$C$7,Verweise!$B$2:$B$4542,B3771)=1,"Feiertag",IF(C3771="Samstag","",IF(C3771="Sonntag","",Übersicht!$C$8)))</f>
        <v>Feiertag</v>
      </c>
    </row>
    <row r="3772" spans="1:4" x14ac:dyDescent="0.25">
      <c r="A3772" t="s">
        <v>73</v>
      </c>
      <c r="B3772" s="48">
        <v>47028</v>
      </c>
      <c r="C3772" t="s">
        <v>53</v>
      </c>
      <c r="D3772" t="str">
        <f>IF(COUNTIFS(Verweise!$A$2:$A$4542,Übersicht!$C$7,Verweise!$B$2:$B$4542,B3772)=1,"Feiertag",IF(C3772="Samstag","",IF(C3772="Sonntag","",Übersicht!$C$8)))</f>
        <v>Feiertag</v>
      </c>
    </row>
    <row r="3773" spans="1:4" x14ac:dyDescent="0.25">
      <c r="A3773" t="s">
        <v>73</v>
      </c>
      <c r="B3773" s="48">
        <v>47056</v>
      </c>
      <c r="C3773" t="s">
        <v>62</v>
      </c>
      <c r="D3773" t="str">
        <f>IF(COUNTIFS(Verweise!$A$2:$A$4542,Übersicht!$C$7,Verweise!$B$2:$B$4542,B3773)=1,"Feiertag",IF(C3773="Samstag","",IF(C3773="Sonntag","",Übersicht!$C$8)))</f>
        <v>Büro</v>
      </c>
    </row>
    <row r="3774" spans="1:4" x14ac:dyDescent="0.25">
      <c r="A3774" t="s">
        <v>73</v>
      </c>
      <c r="B3774" s="48">
        <v>47073</v>
      </c>
      <c r="C3774" t="s">
        <v>72</v>
      </c>
      <c r="D3774" t="str">
        <f>IF(COUNTIFS(Verweise!$A$2:$A$4542,Übersicht!$C$7,Verweise!$B$2:$B$4542,B3774)=1,"Feiertag",IF(C3774="Samstag","",IF(C3774="Sonntag","",Übersicht!$C$8)))</f>
        <v>Büro</v>
      </c>
    </row>
    <row r="3775" spans="1:4" x14ac:dyDescent="0.25">
      <c r="A3775" t="s">
        <v>73</v>
      </c>
      <c r="B3775" s="48">
        <v>47111</v>
      </c>
      <c r="C3775" t="s">
        <v>55</v>
      </c>
      <c r="D3775" t="str">
        <f>IF(COUNTIFS(Verweise!$A$2:$A$4542,Übersicht!$C$7,Verweise!$B$2:$B$4542,B3775)=1,"Feiertag",IF(C3775="Samstag","",IF(C3775="Sonntag","",Übersicht!$C$8)))</f>
        <v>Feiertag</v>
      </c>
    </row>
    <row r="3776" spans="1:4" x14ac:dyDescent="0.25">
      <c r="A3776" t="s">
        <v>73</v>
      </c>
      <c r="B3776" s="48">
        <v>47112</v>
      </c>
      <c r="C3776" t="s">
        <v>56</v>
      </c>
      <c r="D3776" t="str">
        <f>IF(COUNTIFS(Verweise!$A$2:$A$4542,Übersicht!$C$7,Verweise!$B$2:$B$4542,B3776)=1,"Feiertag",IF(C3776="Samstag","",IF(C3776="Sonntag","",Übersicht!$C$8)))</f>
        <v>Feiertag</v>
      </c>
    </row>
    <row r="3777" spans="1:4" x14ac:dyDescent="0.25">
      <c r="A3777" t="s">
        <v>74</v>
      </c>
      <c r="B3777" s="48">
        <v>46752</v>
      </c>
      <c r="C3777" t="s">
        <v>43</v>
      </c>
      <c r="D3777" t="str">
        <f>IF(COUNTIFS(Verweise!$A$2:$A$4542,Übersicht!$C$7,Verweise!$B$2:$B$4542,B3777)=1,"Feiertag",IF(C3777="Samstag","",IF(C3777="Sonntag","",Übersicht!$C$8)))</f>
        <v>Feiertag</v>
      </c>
    </row>
    <row r="3778" spans="1:4" x14ac:dyDescent="0.25">
      <c r="A3778" t="s">
        <v>74</v>
      </c>
      <c r="B3778" s="48">
        <v>46757</v>
      </c>
      <c r="C3778" t="s">
        <v>44</v>
      </c>
      <c r="D3778" t="str">
        <f>IF(COUNTIFS(Verweise!$A$2:$A$4542,Übersicht!$C$7,Verweise!$B$2:$B$4542,B3778)=1,"Feiertag",IF(C3778="Samstag","",IF(C3778="Sonntag","",Übersicht!$C$8)))</f>
        <v>Büro</v>
      </c>
    </row>
    <row r="3779" spans="1:4" x14ac:dyDescent="0.25">
      <c r="A3779" t="s">
        <v>74</v>
      </c>
      <c r="B3779" s="48">
        <v>46837</v>
      </c>
      <c r="C3779" t="s">
        <v>45</v>
      </c>
      <c r="D3779" t="str">
        <f>IF(COUNTIFS(Verweise!$A$2:$A$4542,Übersicht!$C$7,Verweise!$B$2:$B$4542,B3779)=1,"Feiertag",IF(C3779="Samstag","",IF(C3779="Sonntag","",Übersicht!$C$8)))</f>
        <v>Feiertag</v>
      </c>
    </row>
    <row r="3780" spans="1:4" x14ac:dyDescent="0.25">
      <c r="A3780" t="s">
        <v>74</v>
      </c>
      <c r="B3780" s="48">
        <v>46839</v>
      </c>
      <c r="C3780" t="s">
        <v>46</v>
      </c>
      <c r="D3780" t="str">
        <f>IF(COUNTIFS(Verweise!$A$2:$A$4542,Übersicht!$C$7,Verweise!$B$2:$B$4542,B3780)=1,"Feiertag",IF(C3780="Samstag","",IF(C3780="Sonntag","",Übersicht!$C$8)))</f>
        <v>Feiertag</v>
      </c>
    </row>
    <row r="3781" spans="1:4" x14ac:dyDescent="0.25">
      <c r="A3781" t="s">
        <v>74</v>
      </c>
      <c r="B3781" s="48">
        <v>46840</v>
      </c>
      <c r="C3781" t="s">
        <v>47</v>
      </c>
      <c r="D3781" t="str">
        <f>IF(COUNTIFS(Verweise!$A$2:$A$4542,Übersicht!$C$7,Verweise!$B$2:$B$4542,B3781)=1,"Feiertag",IF(C3781="Samstag","",IF(C3781="Sonntag","",Übersicht!$C$8)))</f>
        <v>Feiertag</v>
      </c>
    </row>
    <row r="3782" spans="1:4" x14ac:dyDescent="0.25">
      <c r="A3782" t="s">
        <v>74</v>
      </c>
      <c r="B3782" s="48">
        <v>46873</v>
      </c>
      <c r="C3782" t="s">
        <v>48</v>
      </c>
      <c r="D3782" t="str">
        <f>IF(COUNTIFS(Verweise!$A$2:$A$4542,Übersicht!$C$7,Verweise!$B$2:$B$4542,B3782)=1,"Feiertag",IF(C3782="Samstag","",IF(C3782="Sonntag","",Übersicht!$C$8)))</f>
        <v>Feiertag</v>
      </c>
    </row>
    <row r="3783" spans="1:4" x14ac:dyDescent="0.25">
      <c r="A3783" t="s">
        <v>74</v>
      </c>
      <c r="B3783" s="48">
        <v>46878</v>
      </c>
      <c r="C3783" t="s">
        <v>49</v>
      </c>
      <c r="D3783" t="str">
        <f>IF(COUNTIFS(Verweise!$A$2:$A$4542,Übersicht!$C$7,Verweise!$B$2:$B$4542,B3783)=1,"Feiertag",IF(C3783="Samstag","",IF(C3783="Sonntag","",Übersicht!$C$8)))</f>
        <v>Feiertag</v>
      </c>
    </row>
    <row r="3784" spans="1:4" x14ac:dyDescent="0.25">
      <c r="A3784" t="s">
        <v>74</v>
      </c>
      <c r="B3784" s="48">
        <v>46888</v>
      </c>
      <c r="C3784" t="s">
        <v>50</v>
      </c>
      <c r="D3784" t="str">
        <f>IF(COUNTIFS(Verweise!$A$2:$A$4542,Übersicht!$C$7,Verweise!$B$2:$B$4542,B3784)=1,"Feiertag",IF(C3784="Samstag","",IF(C3784="Sonntag","",Übersicht!$C$8)))</f>
        <v>Feiertag</v>
      </c>
    </row>
    <row r="3785" spans="1:4" x14ac:dyDescent="0.25">
      <c r="A3785" t="s">
        <v>74</v>
      </c>
      <c r="B3785" s="48">
        <v>46889</v>
      </c>
      <c r="C3785" t="s">
        <v>51</v>
      </c>
      <c r="D3785" t="str">
        <f>IF(COUNTIFS(Verweise!$A$2:$A$4542,Übersicht!$C$7,Verweise!$B$2:$B$4542,B3785)=1,"Feiertag",IF(C3785="Samstag","",IF(C3785="Sonntag","",Übersicht!$C$8)))</f>
        <v>Feiertag</v>
      </c>
    </row>
    <row r="3786" spans="1:4" x14ac:dyDescent="0.25">
      <c r="A3786" t="s">
        <v>74</v>
      </c>
      <c r="B3786" s="48">
        <v>47028</v>
      </c>
      <c r="C3786" t="s">
        <v>53</v>
      </c>
      <c r="D3786" t="str">
        <f>IF(COUNTIFS(Verweise!$A$2:$A$4542,Übersicht!$C$7,Verweise!$B$2:$B$4542,B3786)=1,"Feiertag",IF(C3786="Samstag","",IF(C3786="Sonntag","",Übersicht!$C$8)))</f>
        <v>Feiertag</v>
      </c>
    </row>
    <row r="3787" spans="1:4" x14ac:dyDescent="0.25">
      <c r="A3787" t="s">
        <v>74</v>
      </c>
      <c r="B3787" s="48">
        <v>47056</v>
      </c>
      <c r="C3787" t="s">
        <v>62</v>
      </c>
      <c r="D3787" t="str">
        <f>IF(COUNTIFS(Verweise!$A$2:$A$4542,Übersicht!$C$7,Verweise!$B$2:$B$4542,B3787)=1,"Feiertag",IF(C3787="Samstag","",IF(C3787="Sonntag","",Übersicht!$C$8)))</f>
        <v>Büro</v>
      </c>
    </row>
    <row r="3788" spans="1:4" x14ac:dyDescent="0.25">
      <c r="A3788" t="s">
        <v>74</v>
      </c>
      <c r="B3788" s="48">
        <v>47111</v>
      </c>
      <c r="C3788" t="s">
        <v>55</v>
      </c>
      <c r="D3788" t="str">
        <f>IF(COUNTIFS(Verweise!$A$2:$A$4542,Übersicht!$C$7,Verweise!$B$2:$B$4542,B3788)=1,"Feiertag",IF(C3788="Samstag","",IF(C3788="Sonntag","",Übersicht!$C$8)))</f>
        <v>Feiertag</v>
      </c>
    </row>
    <row r="3789" spans="1:4" x14ac:dyDescent="0.25">
      <c r="A3789" t="s">
        <v>74</v>
      </c>
      <c r="B3789" s="48">
        <v>47112</v>
      </c>
      <c r="C3789" t="s">
        <v>56</v>
      </c>
      <c r="D3789" t="str">
        <f>IF(COUNTIFS(Verweise!$A$2:$A$4542,Übersicht!$C$7,Verweise!$B$2:$B$4542,B3789)=1,"Feiertag",IF(C3789="Samstag","",IF(C3789="Sonntag","",Übersicht!$C$8)))</f>
        <v>Feiertag</v>
      </c>
    </row>
    <row r="3790" spans="1:4" x14ac:dyDescent="0.25">
      <c r="A3790" t="s">
        <v>75</v>
      </c>
      <c r="B3790" s="48">
        <v>46752</v>
      </c>
      <c r="C3790" t="s">
        <v>43</v>
      </c>
      <c r="D3790" t="str">
        <f>IF(COUNTIFS(Verweise!$A$2:$A$4542,Übersicht!$C$7,Verweise!$B$2:$B$4542,B3790)=1,"Feiertag",IF(C3790="Samstag","",IF(C3790="Sonntag","",Übersicht!$C$8)))</f>
        <v>Feiertag</v>
      </c>
    </row>
    <row r="3791" spans="1:4" x14ac:dyDescent="0.25">
      <c r="A3791" t="s">
        <v>75</v>
      </c>
      <c r="B3791" s="48">
        <v>46837</v>
      </c>
      <c r="C3791" t="s">
        <v>45</v>
      </c>
      <c r="D3791" t="str">
        <f>IF(COUNTIFS(Verweise!$A$2:$A$4542,Übersicht!$C$7,Verweise!$B$2:$B$4542,B3791)=1,"Feiertag",IF(C3791="Samstag","",IF(C3791="Sonntag","",Übersicht!$C$8)))</f>
        <v>Feiertag</v>
      </c>
    </row>
    <row r="3792" spans="1:4" x14ac:dyDescent="0.25">
      <c r="A3792" t="s">
        <v>75</v>
      </c>
      <c r="B3792" s="48">
        <v>46839</v>
      </c>
      <c r="C3792" t="s">
        <v>46</v>
      </c>
      <c r="D3792" t="str">
        <f>IF(COUNTIFS(Verweise!$A$2:$A$4542,Übersicht!$C$7,Verweise!$B$2:$B$4542,B3792)=1,"Feiertag",IF(C3792="Samstag","",IF(C3792="Sonntag","",Übersicht!$C$8)))</f>
        <v>Feiertag</v>
      </c>
    </row>
    <row r="3793" spans="1:4" x14ac:dyDescent="0.25">
      <c r="A3793" t="s">
        <v>75</v>
      </c>
      <c r="B3793" s="48">
        <v>46840</v>
      </c>
      <c r="C3793" t="s">
        <v>47</v>
      </c>
      <c r="D3793" t="str">
        <f>IF(COUNTIFS(Verweise!$A$2:$A$4542,Übersicht!$C$7,Verweise!$B$2:$B$4542,B3793)=1,"Feiertag",IF(C3793="Samstag","",IF(C3793="Sonntag","",Übersicht!$C$8)))</f>
        <v>Feiertag</v>
      </c>
    </row>
    <row r="3794" spans="1:4" x14ac:dyDescent="0.25">
      <c r="A3794" t="s">
        <v>75</v>
      </c>
      <c r="B3794" s="48">
        <v>46873</v>
      </c>
      <c r="C3794" t="s">
        <v>48</v>
      </c>
      <c r="D3794" t="str">
        <f>IF(COUNTIFS(Verweise!$A$2:$A$4542,Übersicht!$C$7,Verweise!$B$2:$B$4542,B3794)=1,"Feiertag",IF(C3794="Samstag","",IF(C3794="Sonntag","",Übersicht!$C$8)))</f>
        <v>Feiertag</v>
      </c>
    </row>
    <row r="3795" spans="1:4" x14ac:dyDescent="0.25">
      <c r="A3795" t="s">
        <v>75</v>
      </c>
      <c r="B3795" s="48">
        <v>46878</v>
      </c>
      <c r="C3795" t="s">
        <v>49</v>
      </c>
      <c r="D3795" t="str">
        <f>IF(COUNTIFS(Verweise!$A$2:$A$4542,Übersicht!$C$7,Verweise!$B$2:$B$4542,B3795)=1,"Feiertag",IF(C3795="Samstag","",IF(C3795="Sonntag","",Übersicht!$C$8)))</f>
        <v>Feiertag</v>
      </c>
    </row>
    <row r="3796" spans="1:4" x14ac:dyDescent="0.25">
      <c r="A3796" t="s">
        <v>75</v>
      </c>
      <c r="B3796" s="48">
        <v>46888</v>
      </c>
      <c r="C3796" t="s">
        <v>50</v>
      </c>
      <c r="D3796" t="str">
        <f>IF(COUNTIFS(Verweise!$A$2:$A$4542,Übersicht!$C$7,Verweise!$B$2:$B$4542,B3796)=1,"Feiertag",IF(C3796="Samstag","",IF(C3796="Sonntag","",Übersicht!$C$8)))</f>
        <v>Feiertag</v>
      </c>
    </row>
    <row r="3797" spans="1:4" x14ac:dyDescent="0.25">
      <c r="A3797" t="s">
        <v>75</v>
      </c>
      <c r="B3797" s="48">
        <v>46889</v>
      </c>
      <c r="C3797" t="s">
        <v>51</v>
      </c>
      <c r="D3797" t="str">
        <f>IF(COUNTIFS(Verweise!$A$2:$A$4542,Übersicht!$C$7,Verweise!$B$2:$B$4542,B3797)=1,"Feiertag",IF(C3797="Samstag","",IF(C3797="Sonntag","",Übersicht!$C$8)))</f>
        <v>Feiertag</v>
      </c>
    </row>
    <row r="3798" spans="1:4" x14ac:dyDescent="0.25">
      <c r="A3798" t="s">
        <v>75</v>
      </c>
      <c r="B3798" s="48">
        <v>47028</v>
      </c>
      <c r="C3798" t="s">
        <v>53</v>
      </c>
      <c r="D3798" t="str">
        <f>IF(COUNTIFS(Verweise!$A$2:$A$4542,Übersicht!$C$7,Verweise!$B$2:$B$4542,B3798)=1,"Feiertag",IF(C3798="Samstag","",IF(C3798="Sonntag","",Übersicht!$C$8)))</f>
        <v>Feiertag</v>
      </c>
    </row>
    <row r="3799" spans="1:4" x14ac:dyDescent="0.25">
      <c r="A3799" t="s">
        <v>75</v>
      </c>
      <c r="B3799" s="48">
        <v>47111</v>
      </c>
      <c r="C3799" t="s">
        <v>55</v>
      </c>
      <c r="D3799" t="str">
        <f>IF(COUNTIFS(Verweise!$A$2:$A$4542,Übersicht!$C$7,Verweise!$B$2:$B$4542,B3799)=1,"Feiertag",IF(C3799="Samstag","",IF(C3799="Sonntag","",Übersicht!$C$8)))</f>
        <v>Feiertag</v>
      </c>
    </row>
    <row r="3800" spans="1:4" x14ac:dyDescent="0.25">
      <c r="A3800" t="s">
        <v>75</v>
      </c>
      <c r="B3800" s="48">
        <v>47112</v>
      </c>
      <c r="C3800" t="s">
        <v>56</v>
      </c>
      <c r="D3800" t="str">
        <f>IF(COUNTIFS(Verweise!$A$2:$A$4542,Übersicht!$C$7,Verweise!$B$2:$B$4542,B3800)=1,"Feiertag",IF(C3800="Samstag","",IF(C3800="Sonntag","",Übersicht!$C$8)))</f>
        <v>Feiertag</v>
      </c>
    </row>
    <row r="3801" spans="1:4" x14ac:dyDescent="0.25">
      <c r="A3801" t="s">
        <v>76</v>
      </c>
      <c r="B3801" s="48">
        <v>46752</v>
      </c>
      <c r="C3801" t="s">
        <v>43</v>
      </c>
      <c r="D3801" t="str">
        <f>IF(COUNTIFS(Verweise!$A$2:$A$4542,Übersicht!$C$7,Verweise!$B$2:$B$4542,B3801)=1,"Feiertag",IF(C3801="Samstag","",IF(C3801="Sonntag","",Übersicht!$C$8)))</f>
        <v>Feiertag</v>
      </c>
    </row>
    <row r="3802" spans="1:4" x14ac:dyDescent="0.25">
      <c r="A3802" t="s">
        <v>76</v>
      </c>
      <c r="B3802" s="48">
        <v>46837</v>
      </c>
      <c r="C3802" t="s">
        <v>45</v>
      </c>
      <c r="D3802" t="str">
        <f>IF(COUNTIFS(Verweise!$A$2:$A$4542,Übersicht!$C$7,Verweise!$B$2:$B$4542,B3802)=1,"Feiertag",IF(C3802="Samstag","",IF(C3802="Sonntag","",Übersicht!$C$8)))</f>
        <v>Feiertag</v>
      </c>
    </row>
    <row r="3803" spans="1:4" x14ac:dyDescent="0.25">
      <c r="A3803" t="s">
        <v>76</v>
      </c>
      <c r="B3803" s="48">
        <v>46839</v>
      </c>
      <c r="C3803" t="s">
        <v>46</v>
      </c>
      <c r="D3803" t="str">
        <f>IF(COUNTIFS(Verweise!$A$2:$A$4542,Übersicht!$C$7,Verweise!$B$2:$B$4542,B3803)=1,"Feiertag",IF(C3803="Samstag","",IF(C3803="Sonntag","",Übersicht!$C$8)))</f>
        <v>Feiertag</v>
      </c>
    </row>
    <row r="3804" spans="1:4" x14ac:dyDescent="0.25">
      <c r="A3804" t="s">
        <v>76</v>
      </c>
      <c r="B3804" s="48">
        <v>46840</v>
      </c>
      <c r="C3804" t="s">
        <v>47</v>
      </c>
      <c r="D3804" t="str">
        <f>IF(COUNTIFS(Verweise!$A$2:$A$4542,Übersicht!$C$7,Verweise!$B$2:$B$4542,B3804)=1,"Feiertag",IF(C3804="Samstag","",IF(C3804="Sonntag","",Übersicht!$C$8)))</f>
        <v>Feiertag</v>
      </c>
    </row>
    <row r="3805" spans="1:4" x14ac:dyDescent="0.25">
      <c r="A3805" t="s">
        <v>76</v>
      </c>
      <c r="B3805" s="48">
        <v>46873</v>
      </c>
      <c r="C3805" t="s">
        <v>48</v>
      </c>
      <c r="D3805" t="str">
        <f>IF(COUNTIFS(Verweise!$A$2:$A$4542,Übersicht!$C$7,Verweise!$B$2:$B$4542,B3805)=1,"Feiertag",IF(C3805="Samstag","",IF(C3805="Sonntag","",Übersicht!$C$8)))</f>
        <v>Feiertag</v>
      </c>
    </row>
    <row r="3806" spans="1:4" x14ac:dyDescent="0.25">
      <c r="A3806" t="s">
        <v>76</v>
      </c>
      <c r="B3806" s="48">
        <v>46878</v>
      </c>
      <c r="C3806" t="s">
        <v>49</v>
      </c>
      <c r="D3806" t="str">
        <f>IF(COUNTIFS(Verweise!$A$2:$A$4542,Übersicht!$C$7,Verweise!$B$2:$B$4542,B3806)=1,"Feiertag",IF(C3806="Samstag","",IF(C3806="Sonntag","",Übersicht!$C$8)))</f>
        <v>Feiertag</v>
      </c>
    </row>
    <row r="3807" spans="1:4" x14ac:dyDescent="0.25">
      <c r="A3807" t="s">
        <v>76</v>
      </c>
      <c r="B3807" s="48">
        <v>46888</v>
      </c>
      <c r="C3807" t="s">
        <v>50</v>
      </c>
      <c r="D3807" t="str">
        <f>IF(COUNTIFS(Verweise!$A$2:$A$4542,Übersicht!$C$7,Verweise!$B$2:$B$4542,B3807)=1,"Feiertag",IF(C3807="Samstag","",IF(C3807="Sonntag","",Übersicht!$C$8)))</f>
        <v>Feiertag</v>
      </c>
    </row>
    <row r="3808" spans="1:4" x14ac:dyDescent="0.25">
      <c r="A3808" t="s">
        <v>76</v>
      </c>
      <c r="B3808" s="48">
        <v>46889</v>
      </c>
      <c r="C3808" t="s">
        <v>51</v>
      </c>
      <c r="D3808" t="str">
        <f>IF(COUNTIFS(Verweise!$A$2:$A$4542,Übersicht!$C$7,Verweise!$B$2:$B$4542,B3808)=1,"Feiertag",IF(C3808="Samstag","",IF(C3808="Sonntag","",Übersicht!$C$8)))</f>
        <v>Feiertag</v>
      </c>
    </row>
    <row r="3809" spans="1:4" x14ac:dyDescent="0.25">
      <c r="A3809" t="s">
        <v>76</v>
      </c>
      <c r="B3809" s="48">
        <v>47028</v>
      </c>
      <c r="C3809" t="s">
        <v>53</v>
      </c>
      <c r="D3809" t="str">
        <f>IF(COUNTIFS(Verweise!$A$2:$A$4542,Übersicht!$C$7,Verweise!$B$2:$B$4542,B3809)=1,"Feiertag",IF(C3809="Samstag","",IF(C3809="Sonntag","",Übersicht!$C$8)))</f>
        <v>Feiertag</v>
      </c>
    </row>
    <row r="3810" spans="1:4" x14ac:dyDescent="0.25">
      <c r="A3810" t="s">
        <v>76</v>
      </c>
      <c r="B3810" s="48">
        <v>47056</v>
      </c>
      <c r="C3810" t="s">
        <v>62</v>
      </c>
      <c r="D3810" t="str">
        <f>IF(COUNTIFS(Verweise!$A$2:$A$4542,Übersicht!$C$7,Verweise!$B$2:$B$4542,B3810)=1,"Feiertag",IF(C3810="Samstag","",IF(C3810="Sonntag","",Übersicht!$C$8)))</f>
        <v>Büro</v>
      </c>
    </row>
    <row r="3811" spans="1:4" x14ac:dyDescent="0.25">
      <c r="A3811" t="s">
        <v>76</v>
      </c>
      <c r="B3811" s="48">
        <v>47111</v>
      </c>
      <c r="C3811" t="s">
        <v>55</v>
      </c>
      <c r="D3811" t="str">
        <f>IF(COUNTIFS(Verweise!$A$2:$A$4542,Übersicht!$C$7,Verweise!$B$2:$B$4542,B3811)=1,"Feiertag",IF(C3811="Samstag","",IF(C3811="Sonntag","",Übersicht!$C$8)))</f>
        <v>Feiertag</v>
      </c>
    </row>
    <row r="3812" spans="1:4" x14ac:dyDescent="0.25">
      <c r="A3812" t="s">
        <v>76</v>
      </c>
      <c r="B3812" s="48">
        <v>47112</v>
      </c>
      <c r="C3812" t="s">
        <v>56</v>
      </c>
      <c r="D3812" t="str">
        <f>IF(COUNTIFS(Verweise!$A$2:$A$4542,Übersicht!$C$7,Verweise!$B$2:$B$4542,B3812)=1,"Feiertag",IF(C3812="Samstag","",IF(C3812="Sonntag","",Übersicht!$C$8)))</f>
        <v>Feiertag</v>
      </c>
    </row>
    <row r="3813" spans="1:4" x14ac:dyDescent="0.25">
      <c r="A3813" t="s">
        <v>77</v>
      </c>
      <c r="B3813" s="48">
        <v>46752</v>
      </c>
      <c r="C3813" t="s">
        <v>43</v>
      </c>
      <c r="D3813" t="str">
        <f>IF(COUNTIFS(Verweise!$A$2:$A$4542,Übersicht!$C$7,Verweise!$B$2:$B$4542,B3813)=1,"Feiertag",IF(C3813="Samstag","",IF(C3813="Sonntag","",Übersicht!$C$8)))</f>
        <v>Feiertag</v>
      </c>
    </row>
    <row r="3814" spans="1:4" x14ac:dyDescent="0.25">
      <c r="A3814" t="s">
        <v>77</v>
      </c>
      <c r="B3814" s="48">
        <v>46837</v>
      </c>
      <c r="C3814" t="s">
        <v>45</v>
      </c>
      <c r="D3814" t="str">
        <f>IF(COUNTIFS(Verweise!$A$2:$A$4542,Übersicht!$C$7,Verweise!$B$2:$B$4542,B3814)=1,"Feiertag",IF(C3814="Samstag","",IF(C3814="Sonntag","",Übersicht!$C$8)))</f>
        <v>Feiertag</v>
      </c>
    </row>
    <row r="3815" spans="1:4" x14ac:dyDescent="0.25">
      <c r="A3815" t="s">
        <v>77</v>
      </c>
      <c r="B3815" s="48">
        <v>46839</v>
      </c>
      <c r="C3815" t="s">
        <v>46</v>
      </c>
      <c r="D3815" t="str">
        <f>IF(COUNTIFS(Verweise!$A$2:$A$4542,Übersicht!$C$7,Verweise!$B$2:$B$4542,B3815)=1,"Feiertag",IF(C3815="Samstag","",IF(C3815="Sonntag","",Übersicht!$C$8)))</f>
        <v>Feiertag</v>
      </c>
    </row>
    <row r="3816" spans="1:4" x14ac:dyDescent="0.25">
      <c r="A3816" t="s">
        <v>77</v>
      </c>
      <c r="B3816" s="48">
        <v>46840</v>
      </c>
      <c r="C3816" t="s">
        <v>47</v>
      </c>
      <c r="D3816" t="str">
        <f>IF(COUNTIFS(Verweise!$A$2:$A$4542,Übersicht!$C$7,Verweise!$B$2:$B$4542,B3816)=1,"Feiertag",IF(C3816="Samstag","",IF(C3816="Sonntag","",Übersicht!$C$8)))</f>
        <v>Feiertag</v>
      </c>
    </row>
    <row r="3817" spans="1:4" x14ac:dyDescent="0.25">
      <c r="A3817" t="s">
        <v>77</v>
      </c>
      <c r="B3817" s="48">
        <v>46873</v>
      </c>
      <c r="C3817" t="s">
        <v>48</v>
      </c>
      <c r="D3817" t="str">
        <f>IF(COUNTIFS(Verweise!$A$2:$A$4542,Übersicht!$C$7,Verweise!$B$2:$B$4542,B3817)=1,"Feiertag",IF(C3817="Samstag","",IF(C3817="Sonntag","",Übersicht!$C$8)))</f>
        <v>Feiertag</v>
      </c>
    </row>
    <row r="3818" spans="1:4" x14ac:dyDescent="0.25">
      <c r="A3818" t="s">
        <v>77</v>
      </c>
      <c r="B3818" s="48">
        <v>46878</v>
      </c>
      <c r="C3818" t="s">
        <v>49</v>
      </c>
      <c r="D3818" t="str">
        <f>IF(COUNTIFS(Verweise!$A$2:$A$4542,Übersicht!$C$7,Verweise!$B$2:$B$4542,B3818)=1,"Feiertag",IF(C3818="Samstag","",IF(C3818="Sonntag","",Übersicht!$C$8)))</f>
        <v>Feiertag</v>
      </c>
    </row>
    <row r="3819" spans="1:4" x14ac:dyDescent="0.25">
      <c r="A3819" t="s">
        <v>77</v>
      </c>
      <c r="B3819" s="48">
        <v>46888</v>
      </c>
      <c r="C3819" t="s">
        <v>50</v>
      </c>
      <c r="D3819" t="str">
        <f>IF(COUNTIFS(Verweise!$A$2:$A$4542,Übersicht!$C$7,Verweise!$B$2:$B$4542,B3819)=1,"Feiertag",IF(C3819="Samstag","",IF(C3819="Sonntag","",Übersicht!$C$8)))</f>
        <v>Feiertag</v>
      </c>
    </row>
    <row r="3820" spans="1:4" x14ac:dyDescent="0.25">
      <c r="A3820" t="s">
        <v>77</v>
      </c>
      <c r="B3820" s="48">
        <v>46889</v>
      </c>
      <c r="C3820" t="s">
        <v>51</v>
      </c>
      <c r="D3820" t="str">
        <f>IF(COUNTIFS(Verweise!$A$2:$A$4542,Übersicht!$C$7,Verweise!$B$2:$B$4542,B3820)=1,"Feiertag",IF(C3820="Samstag","",IF(C3820="Sonntag","",Übersicht!$C$8)))</f>
        <v>Feiertag</v>
      </c>
    </row>
    <row r="3821" spans="1:4" x14ac:dyDescent="0.25">
      <c r="A3821" t="s">
        <v>77</v>
      </c>
      <c r="B3821" s="48">
        <v>46899</v>
      </c>
      <c r="C3821" t="s">
        <v>52</v>
      </c>
      <c r="D3821" t="str">
        <f>IF(COUNTIFS(Verweise!$A$2:$A$4542,Übersicht!$C$7,Verweise!$B$2:$B$4542,B3821)=1,"Feiertag",IF(C3821="Samstag","",IF(C3821="Sonntag","",Übersicht!$C$8)))</f>
        <v>Feiertag</v>
      </c>
    </row>
    <row r="3822" spans="1:4" x14ac:dyDescent="0.25">
      <c r="A3822" t="s">
        <v>77</v>
      </c>
      <c r="B3822" s="48">
        <v>47028</v>
      </c>
      <c r="C3822" t="s">
        <v>53</v>
      </c>
      <c r="D3822" t="str">
        <f>IF(COUNTIFS(Verweise!$A$2:$A$4542,Übersicht!$C$7,Verweise!$B$2:$B$4542,B3822)=1,"Feiertag",IF(C3822="Samstag","",IF(C3822="Sonntag","",Übersicht!$C$8)))</f>
        <v>Feiertag</v>
      </c>
    </row>
    <row r="3823" spans="1:4" x14ac:dyDescent="0.25">
      <c r="A3823" t="s">
        <v>77</v>
      </c>
      <c r="B3823" s="48">
        <v>47056</v>
      </c>
      <c r="C3823" t="s">
        <v>62</v>
      </c>
      <c r="D3823" t="str">
        <f>IF(COUNTIFS(Verweise!$A$2:$A$4542,Übersicht!$C$7,Verweise!$B$2:$B$4542,B3823)=1,"Feiertag",IF(C3823="Samstag","",IF(C3823="Sonntag","",Übersicht!$C$8)))</f>
        <v>Büro</v>
      </c>
    </row>
    <row r="3824" spans="1:4" x14ac:dyDescent="0.25">
      <c r="A3824" t="s">
        <v>77</v>
      </c>
      <c r="B3824" s="48">
        <v>47111</v>
      </c>
      <c r="C3824" t="s">
        <v>55</v>
      </c>
      <c r="D3824" t="str">
        <f>IF(COUNTIFS(Verweise!$A$2:$A$4542,Übersicht!$C$7,Verweise!$B$2:$B$4542,B3824)=1,"Feiertag",IF(C3824="Samstag","",IF(C3824="Sonntag","",Übersicht!$C$8)))</f>
        <v>Feiertag</v>
      </c>
    </row>
    <row r="3825" spans="1:4" x14ac:dyDescent="0.25">
      <c r="A3825" t="s">
        <v>77</v>
      </c>
      <c r="B3825" s="48">
        <v>47112</v>
      </c>
      <c r="C3825" t="s">
        <v>56</v>
      </c>
      <c r="D3825" t="str">
        <f>IF(COUNTIFS(Verweise!$A$2:$A$4542,Übersicht!$C$7,Verweise!$B$2:$B$4542,B3825)=1,"Feiertag",IF(C3825="Samstag","",IF(C3825="Sonntag","",Übersicht!$C$8)))</f>
        <v>Feiertag</v>
      </c>
    </row>
    <row r="3826" spans="1:4" x14ac:dyDescent="0.25">
      <c r="A3826" t="s">
        <v>42</v>
      </c>
      <c r="B3826" s="48">
        <v>47118</v>
      </c>
      <c r="C3826" t="s">
        <v>43</v>
      </c>
      <c r="D3826" t="str">
        <f>IF(COUNTIFS(Verweise!$A$2:$A$4542,Übersicht!$C$7,Verweise!$B$2:$B$4542,B3826)=1,"Feiertag",IF(C3826="Samstag","",IF(C3826="Sonntag","",Übersicht!$C$8)))</f>
        <v>Feiertag</v>
      </c>
    </row>
    <row r="3827" spans="1:4" x14ac:dyDescent="0.25">
      <c r="A3827" t="s">
        <v>42</v>
      </c>
      <c r="B3827" s="48">
        <v>47123</v>
      </c>
      <c r="C3827" t="s">
        <v>44</v>
      </c>
      <c r="D3827" t="str">
        <f>IF(COUNTIFS(Verweise!$A$2:$A$4542,Übersicht!$C$7,Verweise!$B$2:$B$4542,B3827)=1,"Feiertag",IF(C3827="Samstag","",IF(C3827="Sonntag","",Übersicht!$C$8)))</f>
        <v>Büro</v>
      </c>
    </row>
    <row r="3828" spans="1:4" x14ac:dyDescent="0.25">
      <c r="A3828" t="s">
        <v>42</v>
      </c>
      <c r="B3828" s="48">
        <v>47222</v>
      </c>
      <c r="C3828" t="s">
        <v>45</v>
      </c>
      <c r="D3828" t="str">
        <f>IF(COUNTIFS(Verweise!$A$2:$A$4542,Übersicht!$C$7,Verweise!$B$2:$B$4542,B3828)=1,"Feiertag",IF(C3828="Samstag","",IF(C3828="Sonntag","",Übersicht!$C$8)))</f>
        <v>Feiertag</v>
      </c>
    </row>
    <row r="3829" spans="1:4" x14ac:dyDescent="0.25">
      <c r="A3829" t="s">
        <v>42</v>
      </c>
      <c r="B3829" s="48">
        <v>47224</v>
      </c>
      <c r="C3829" t="s">
        <v>46</v>
      </c>
      <c r="D3829" t="str">
        <f>IF(COUNTIFS(Verweise!$A$2:$A$4542,Übersicht!$C$7,Verweise!$B$2:$B$4542,B3829)=1,"Feiertag",IF(C3829="Samstag","",IF(C3829="Sonntag","",Übersicht!$C$8)))</f>
        <v>Feiertag</v>
      </c>
    </row>
    <row r="3830" spans="1:4" x14ac:dyDescent="0.25">
      <c r="A3830" t="s">
        <v>42</v>
      </c>
      <c r="B3830" s="48">
        <v>47225</v>
      </c>
      <c r="C3830" t="s">
        <v>47</v>
      </c>
      <c r="D3830" t="str">
        <f>IF(COUNTIFS(Verweise!$A$2:$A$4542,Übersicht!$C$7,Verweise!$B$2:$B$4542,B3830)=1,"Feiertag",IF(C3830="Samstag","",IF(C3830="Sonntag","",Übersicht!$C$8)))</f>
        <v>Feiertag</v>
      </c>
    </row>
    <row r="3831" spans="1:4" x14ac:dyDescent="0.25">
      <c r="A3831" t="s">
        <v>42</v>
      </c>
      <c r="B3831" s="48">
        <v>47238</v>
      </c>
      <c r="C3831" t="s">
        <v>48</v>
      </c>
      <c r="D3831" t="str">
        <f>IF(COUNTIFS(Verweise!$A$2:$A$4542,Übersicht!$C$7,Verweise!$B$2:$B$4542,B3831)=1,"Feiertag",IF(C3831="Samstag","",IF(C3831="Sonntag","",Übersicht!$C$8)))</f>
        <v>Feiertag</v>
      </c>
    </row>
    <row r="3832" spans="1:4" x14ac:dyDescent="0.25">
      <c r="A3832" t="s">
        <v>42</v>
      </c>
      <c r="B3832" s="48">
        <v>47263</v>
      </c>
      <c r="C3832" t="s">
        <v>49</v>
      </c>
      <c r="D3832" t="str">
        <f>IF(COUNTIFS(Verweise!$A$2:$A$4542,Übersicht!$C$7,Verweise!$B$2:$B$4542,B3832)=1,"Feiertag",IF(C3832="Samstag","",IF(C3832="Sonntag","",Übersicht!$C$8)))</f>
        <v>Feiertag</v>
      </c>
    </row>
    <row r="3833" spans="1:4" x14ac:dyDescent="0.25">
      <c r="A3833" t="s">
        <v>42</v>
      </c>
      <c r="B3833" s="48">
        <v>47273</v>
      </c>
      <c r="C3833" t="s">
        <v>50</v>
      </c>
      <c r="D3833" t="str">
        <f>IF(COUNTIFS(Verweise!$A$2:$A$4542,Übersicht!$C$7,Verweise!$B$2:$B$4542,B3833)=1,"Feiertag",IF(C3833="Samstag","",IF(C3833="Sonntag","",Übersicht!$C$8)))</f>
        <v>Feiertag</v>
      </c>
    </row>
    <row r="3834" spans="1:4" x14ac:dyDescent="0.25">
      <c r="A3834" t="s">
        <v>42</v>
      </c>
      <c r="B3834" s="48">
        <v>47274</v>
      </c>
      <c r="C3834" t="s">
        <v>51</v>
      </c>
      <c r="D3834" t="str">
        <f>IF(COUNTIFS(Verweise!$A$2:$A$4542,Übersicht!$C$7,Verweise!$B$2:$B$4542,B3834)=1,"Feiertag",IF(C3834="Samstag","",IF(C3834="Sonntag","",Übersicht!$C$8)))</f>
        <v>Feiertag</v>
      </c>
    </row>
    <row r="3835" spans="1:4" x14ac:dyDescent="0.25">
      <c r="A3835" t="s">
        <v>42</v>
      </c>
      <c r="B3835" s="48">
        <v>47284</v>
      </c>
      <c r="C3835" t="s">
        <v>52</v>
      </c>
      <c r="D3835" t="str">
        <f>IF(COUNTIFS(Verweise!$A$2:$A$4542,Übersicht!$C$7,Verweise!$B$2:$B$4542,B3835)=1,"Feiertag",IF(C3835="Samstag","",IF(C3835="Sonntag","",Übersicht!$C$8)))</f>
        <v>Feiertag</v>
      </c>
    </row>
    <row r="3836" spans="1:4" x14ac:dyDescent="0.25">
      <c r="A3836" t="s">
        <v>42</v>
      </c>
      <c r="B3836" s="48">
        <v>47393</v>
      </c>
      <c r="C3836" t="s">
        <v>53</v>
      </c>
      <c r="D3836" t="str">
        <f>IF(COUNTIFS(Verweise!$A$2:$A$4542,Übersicht!$C$7,Verweise!$B$2:$B$4542,B3836)=1,"Feiertag",IF(C3836="Samstag","",IF(C3836="Sonntag","",Übersicht!$C$8)))</f>
        <v>Feiertag</v>
      </c>
    </row>
    <row r="3837" spans="1:4" x14ac:dyDescent="0.25">
      <c r="A3837" t="s">
        <v>42</v>
      </c>
      <c r="B3837" s="48">
        <v>47422</v>
      </c>
      <c r="C3837" t="s">
        <v>54</v>
      </c>
      <c r="D3837" t="str">
        <f>IF(COUNTIFS(Verweise!$A$2:$A$4542,Übersicht!$C$7,Verweise!$B$2:$B$4542,B3837)=1,"Feiertag",IF(C3837="Samstag","",IF(C3837="Sonntag","",Übersicht!$C$8)))</f>
        <v>Feiertag</v>
      </c>
    </row>
    <row r="3838" spans="1:4" x14ac:dyDescent="0.25">
      <c r="A3838" t="s">
        <v>42</v>
      </c>
      <c r="B3838" s="48">
        <v>47476</v>
      </c>
      <c r="C3838" t="s">
        <v>55</v>
      </c>
      <c r="D3838" t="str">
        <f>IF(COUNTIFS(Verweise!$A$2:$A$4542,Übersicht!$C$7,Verweise!$B$2:$B$4542,B3838)=1,"Feiertag",IF(C3838="Samstag","",IF(C3838="Sonntag","",Übersicht!$C$8)))</f>
        <v>Feiertag</v>
      </c>
    </row>
    <row r="3839" spans="1:4" x14ac:dyDescent="0.25">
      <c r="A3839" t="s">
        <v>42</v>
      </c>
      <c r="B3839" s="48">
        <v>47477</v>
      </c>
      <c r="C3839" t="s">
        <v>56</v>
      </c>
      <c r="D3839" t="str">
        <f>IF(COUNTIFS(Verweise!$A$2:$A$4542,Übersicht!$C$7,Verweise!$B$2:$B$4542,B3839)=1,"Feiertag",IF(C3839="Samstag","",IF(C3839="Sonntag","",Übersicht!$C$8)))</f>
        <v>Feiertag</v>
      </c>
    </row>
    <row r="3840" spans="1:4" x14ac:dyDescent="0.25">
      <c r="A3840" t="s">
        <v>57</v>
      </c>
      <c r="B3840" s="48">
        <v>47118</v>
      </c>
      <c r="C3840" t="s">
        <v>43</v>
      </c>
      <c r="D3840" t="str">
        <f>IF(COUNTIFS(Verweise!$A$2:$A$4542,Übersicht!$C$7,Verweise!$B$2:$B$4542,B3840)=1,"Feiertag",IF(C3840="Samstag","",IF(C3840="Sonntag","",Übersicht!$C$8)))</f>
        <v>Feiertag</v>
      </c>
    </row>
    <row r="3841" spans="1:4" x14ac:dyDescent="0.25">
      <c r="A3841" t="s">
        <v>57</v>
      </c>
      <c r="B3841" s="48">
        <v>47123</v>
      </c>
      <c r="C3841" t="s">
        <v>44</v>
      </c>
      <c r="D3841" t="str">
        <f>IF(COUNTIFS(Verweise!$A$2:$A$4542,Übersicht!$C$7,Verweise!$B$2:$B$4542,B3841)=1,"Feiertag",IF(C3841="Samstag","",IF(C3841="Sonntag","",Übersicht!$C$8)))</f>
        <v>Büro</v>
      </c>
    </row>
    <row r="3842" spans="1:4" x14ac:dyDescent="0.25">
      <c r="A3842" t="s">
        <v>57</v>
      </c>
      <c r="B3842" s="48">
        <v>47222</v>
      </c>
      <c r="C3842" t="s">
        <v>45</v>
      </c>
      <c r="D3842" t="str">
        <f>IF(COUNTIFS(Verweise!$A$2:$A$4542,Übersicht!$C$7,Verweise!$B$2:$B$4542,B3842)=1,"Feiertag",IF(C3842="Samstag","",IF(C3842="Sonntag","",Übersicht!$C$8)))</f>
        <v>Feiertag</v>
      </c>
    </row>
    <row r="3843" spans="1:4" x14ac:dyDescent="0.25">
      <c r="A3843" t="s">
        <v>57</v>
      </c>
      <c r="B3843" s="48">
        <v>47224</v>
      </c>
      <c r="C3843" t="s">
        <v>46</v>
      </c>
      <c r="D3843" t="str">
        <f>IF(COUNTIFS(Verweise!$A$2:$A$4542,Übersicht!$C$7,Verweise!$B$2:$B$4542,B3843)=1,"Feiertag",IF(C3843="Samstag","",IF(C3843="Sonntag","",Übersicht!$C$8)))</f>
        <v>Feiertag</v>
      </c>
    </row>
    <row r="3844" spans="1:4" x14ac:dyDescent="0.25">
      <c r="A3844" t="s">
        <v>57</v>
      </c>
      <c r="B3844" s="48">
        <v>47225</v>
      </c>
      <c r="C3844" t="s">
        <v>47</v>
      </c>
      <c r="D3844" t="str">
        <f>IF(COUNTIFS(Verweise!$A$2:$A$4542,Übersicht!$C$7,Verweise!$B$2:$B$4542,B3844)=1,"Feiertag",IF(C3844="Samstag","",IF(C3844="Sonntag","",Übersicht!$C$8)))</f>
        <v>Feiertag</v>
      </c>
    </row>
    <row r="3845" spans="1:4" x14ac:dyDescent="0.25">
      <c r="A3845" t="s">
        <v>57</v>
      </c>
      <c r="B3845" s="48">
        <v>47238</v>
      </c>
      <c r="C3845" t="s">
        <v>48</v>
      </c>
      <c r="D3845" t="str">
        <f>IF(COUNTIFS(Verweise!$A$2:$A$4542,Übersicht!$C$7,Verweise!$B$2:$B$4542,B3845)=1,"Feiertag",IF(C3845="Samstag","",IF(C3845="Sonntag","",Übersicht!$C$8)))</f>
        <v>Feiertag</v>
      </c>
    </row>
    <row r="3846" spans="1:4" x14ac:dyDescent="0.25">
      <c r="A3846" t="s">
        <v>57</v>
      </c>
      <c r="B3846" s="48">
        <v>47263</v>
      </c>
      <c r="C3846" t="s">
        <v>49</v>
      </c>
      <c r="D3846" t="str">
        <f>IF(COUNTIFS(Verweise!$A$2:$A$4542,Übersicht!$C$7,Verweise!$B$2:$B$4542,B3846)=1,"Feiertag",IF(C3846="Samstag","",IF(C3846="Sonntag","",Übersicht!$C$8)))</f>
        <v>Feiertag</v>
      </c>
    </row>
    <row r="3847" spans="1:4" x14ac:dyDescent="0.25">
      <c r="A3847" t="s">
        <v>57</v>
      </c>
      <c r="B3847" s="48">
        <v>47273</v>
      </c>
      <c r="C3847" t="s">
        <v>50</v>
      </c>
      <c r="D3847" t="str">
        <f>IF(COUNTIFS(Verweise!$A$2:$A$4542,Übersicht!$C$7,Verweise!$B$2:$B$4542,B3847)=1,"Feiertag",IF(C3847="Samstag","",IF(C3847="Sonntag","",Übersicht!$C$8)))</f>
        <v>Feiertag</v>
      </c>
    </row>
    <row r="3848" spans="1:4" x14ac:dyDescent="0.25">
      <c r="A3848" t="s">
        <v>57</v>
      </c>
      <c r="B3848" s="48">
        <v>47274</v>
      </c>
      <c r="C3848" t="s">
        <v>51</v>
      </c>
      <c r="D3848" t="str">
        <f>IF(COUNTIFS(Verweise!$A$2:$A$4542,Übersicht!$C$7,Verweise!$B$2:$B$4542,B3848)=1,"Feiertag",IF(C3848="Samstag","",IF(C3848="Sonntag","",Übersicht!$C$8)))</f>
        <v>Feiertag</v>
      </c>
    </row>
    <row r="3849" spans="1:4" x14ac:dyDescent="0.25">
      <c r="A3849" t="s">
        <v>57</v>
      </c>
      <c r="B3849" s="48">
        <v>47284</v>
      </c>
      <c r="C3849" t="s">
        <v>52</v>
      </c>
      <c r="D3849" t="str">
        <f>IF(COUNTIFS(Verweise!$A$2:$A$4542,Übersicht!$C$7,Verweise!$B$2:$B$4542,B3849)=1,"Feiertag",IF(C3849="Samstag","",IF(C3849="Sonntag","",Übersicht!$C$8)))</f>
        <v>Feiertag</v>
      </c>
    </row>
    <row r="3850" spans="1:4" x14ac:dyDescent="0.25">
      <c r="A3850" t="s">
        <v>57</v>
      </c>
      <c r="B3850" s="48">
        <v>47393</v>
      </c>
      <c r="C3850" t="s">
        <v>53</v>
      </c>
      <c r="D3850" t="str">
        <f>IF(COUNTIFS(Verweise!$A$2:$A$4542,Übersicht!$C$7,Verweise!$B$2:$B$4542,B3850)=1,"Feiertag",IF(C3850="Samstag","",IF(C3850="Sonntag","",Übersicht!$C$8)))</f>
        <v>Feiertag</v>
      </c>
    </row>
    <row r="3851" spans="1:4" x14ac:dyDescent="0.25">
      <c r="A3851" t="s">
        <v>57</v>
      </c>
      <c r="B3851" s="48">
        <v>47422</v>
      </c>
      <c r="C3851" t="s">
        <v>54</v>
      </c>
      <c r="D3851" t="str">
        <f>IF(COUNTIFS(Verweise!$A$2:$A$4542,Übersicht!$C$7,Verweise!$B$2:$B$4542,B3851)=1,"Feiertag",IF(C3851="Samstag","",IF(C3851="Sonntag","",Übersicht!$C$8)))</f>
        <v>Feiertag</v>
      </c>
    </row>
    <row r="3852" spans="1:4" x14ac:dyDescent="0.25">
      <c r="A3852" t="s">
        <v>57</v>
      </c>
      <c r="B3852" s="48">
        <v>47476</v>
      </c>
      <c r="C3852" t="s">
        <v>55</v>
      </c>
      <c r="D3852" t="str">
        <f>IF(COUNTIFS(Verweise!$A$2:$A$4542,Übersicht!$C$7,Verweise!$B$2:$B$4542,B3852)=1,"Feiertag",IF(C3852="Samstag","",IF(C3852="Sonntag","",Übersicht!$C$8)))</f>
        <v>Feiertag</v>
      </c>
    </row>
    <row r="3853" spans="1:4" x14ac:dyDescent="0.25">
      <c r="A3853" t="s">
        <v>57</v>
      </c>
      <c r="B3853" s="48">
        <v>47477</v>
      </c>
      <c r="C3853" t="s">
        <v>56</v>
      </c>
      <c r="D3853" t="str">
        <f>IF(COUNTIFS(Verweise!$A$2:$A$4542,Übersicht!$C$7,Verweise!$B$2:$B$4542,B3853)=1,"Feiertag",IF(C3853="Samstag","",IF(C3853="Sonntag","",Übersicht!$C$8)))</f>
        <v>Feiertag</v>
      </c>
    </row>
    <row r="3854" spans="1:4" x14ac:dyDescent="0.25">
      <c r="A3854" t="s">
        <v>58</v>
      </c>
      <c r="B3854" s="48">
        <v>47118</v>
      </c>
      <c r="C3854" t="s">
        <v>43</v>
      </c>
      <c r="D3854" t="str">
        <f>IF(COUNTIFS(Verweise!$A$2:$A$4542,Übersicht!$C$7,Verweise!$B$2:$B$4542,B3854)=1,"Feiertag",IF(C3854="Samstag","",IF(C3854="Sonntag","",Übersicht!$C$8)))</f>
        <v>Feiertag</v>
      </c>
    </row>
    <row r="3855" spans="1:4" x14ac:dyDescent="0.25">
      <c r="A3855" t="s">
        <v>58</v>
      </c>
      <c r="B3855" s="48">
        <v>47123</v>
      </c>
      <c r="C3855" t="s">
        <v>44</v>
      </c>
      <c r="D3855" t="str">
        <f>IF(COUNTIFS(Verweise!$A$2:$A$4542,Übersicht!$C$7,Verweise!$B$2:$B$4542,B3855)=1,"Feiertag",IF(C3855="Samstag","",IF(C3855="Sonntag","",Übersicht!$C$8)))</f>
        <v>Büro</v>
      </c>
    </row>
    <row r="3856" spans="1:4" x14ac:dyDescent="0.25">
      <c r="A3856" t="s">
        <v>58</v>
      </c>
      <c r="B3856" s="48">
        <v>47222</v>
      </c>
      <c r="C3856" t="s">
        <v>45</v>
      </c>
      <c r="D3856" t="str">
        <f>IF(COUNTIFS(Verweise!$A$2:$A$4542,Übersicht!$C$7,Verweise!$B$2:$B$4542,B3856)=1,"Feiertag",IF(C3856="Samstag","",IF(C3856="Sonntag","",Übersicht!$C$8)))</f>
        <v>Feiertag</v>
      </c>
    </row>
    <row r="3857" spans="1:4" x14ac:dyDescent="0.25">
      <c r="A3857" t="s">
        <v>58</v>
      </c>
      <c r="B3857" s="48">
        <v>47224</v>
      </c>
      <c r="C3857" t="s">
        <v>46</v>
      </c>
      <c r="D3857" t="str">
        <f>IF(COUNTIFS(Verweise!$A$2:$A$4542,Übersicht!$C$7,Verweise!$B$2:$B$4542,B3857)=1,"Feiertag",IF(C3857="Samstag","",IF(C3857="Sonntag","",Übersicht!$C$8)))</f>
        <v>Feiertag</v>
      </c>
    </row>
    <row r="3858" spans="1:4" x14ac:dyDescent="0.25">
      <c r="A3858" t="s">
        <v>58</v>
      </c>
      <c r="B3858" s="48">
        <v>47225</v>
      </c>
      <c r="C3858" t="s">
        <v>47</v>
      </c>
      <c r="D3858" t="str">
        <f>IF(COUNTIFS(Verweise!$A$2:$A$4542,Übersicht!$C$7,Verweise!$B$2:$B$4542,B3858)=1,"Feiertag",IF(C3858="Samstag","",IF(C3858="Sonntag","",Übersicht!$C$8)))</f>
        <v>Feiertag</v>
      </c>
    </row>
    <row r="3859" spans="1:4" x14ac:dyDescent="0.25">
      <c r="A3859" t="s">
        <v>58</v>
      </c>
      <c r="B3859" s="48">
        <v>47238</v>
      </c>
      <c r="C3859" t="s">
        <v>48</v>
      </c>
      <c r="D3859" t="str">
        <f>IF(COUNTIFS(Verweise!$A$2:$A$4542,Übersicht!$C$7,Verweise!$B$2:$B$4542,B3859)=1,"Feiertag",IF(C3859="Samstag","",IF(C3859="Sonntag","",Übersicht!$C$8)))</f>
        <v>Feiertag</v>
      </c>
    </row>
    <row r="3860" spans="1:4" x14ac:dyDescent="0.25">
      <c r="A3860" t="s">
        <v>58</v>
      </c>
      <c r="B3860" s="48">
        <v>47263</v>
      </c>
      <c r="C3860" t="s">
        <v>49</v>
      </c>
      <c r="D3860" t="str">
        <f>IF(COUNTIFS(Verweise!$A$2:$A$4542,Übersicht!$C$7,Verweise!$B$2:$B$4542,B3860)=1,"Feiertag",IF(C3860="Samstag","",IF(C3860="Sonntag","",Übersicht!$C$8)))</f>
        <v>Feiertag</v>
      </c>
    </row>
    <row r="3861" spans="1:4" x14ac:dyDescent="0.25">
      <c r="A3861" t="s">
        <v>58</v>
      </c>
      <c r="B3861" s="48">
        <v>47273</v>
      </c>
      <c r="C3861" t="s">
        <v>50</v>
      </c>
      <c r="D3861" t="str">
        <f>IF(COUNTIFS(Verweise!$A$2:$A$4542,Übersicht!$C$7,Verweise!$B$2:$B$4542,B3861)=1,"Feiertag",IF(C3861="Samstag","",IF(C3861="Sonntag","",Übersicht!$C$8)))</f>
        <v>Feiertag</v>
      </c>
    </row>
    <row r="3862" spans="1:4" x14ac:dyDescent="0.25">
      <c r="A3862" t="s">
        <v>58</v>
      </c>
      <c r="B3862" s="48">
        <v>47274</v>
      </c>
      <c r="C3862" t="s">
        <v>51</v>
      </c>
      <c r="D3862" t="str">
        <f>IF(COUNTIFS(Verweise!$A$2:$A$4542,Übersicht!$C$7,Verweise!$B$2:$B$4542,B3862)=1,"Feiertag",IF(C3862="Samstag","",IF(C3862="Sonntag","",Übersicht!$C$8)))</f>
        <v>Feiertag</v>
      </c>
    </row>
    <row r="3863" spans="1:4" x14ac:dyDescent="0.25">
      <c r="A3863" t="s">
        <v>58</v>
      </c>
      <c r="B3863" s="48">
        <v>47284</v>
      </c>
      <c r="C3863" t="s">
        <v>52</v>
      </c>
      <c r="D3863" t="str">
        <f>IF(COUNTIFS(Verweise!$A$2:$A$4542,Übersicht!$C$7,Verweise!$B$2:$B$4542,B3863)=1,"Feiertag",IF(C3863="Samstag","",IF(C3863="Sonntag","",Übersicht!$C$8)))</f>
        <v>Feiertag</v>
      </c>
    </row>
    <row r="3864" spans="1:4" x14ac:dyDescent="0.25">
      <c r="A3864" t="s">
        <v>58</v>
      </c>
      <c r="B3864" s="48">
        <v>47344</v>
      </c>
      <c r="C3864" t="s">
        <v>59</v>
      </c>
      <c r="D3864" t="str">
        <f>IF(COUNTIFS(Verweise!$A$2:$A$4542,Übersicht!$C$7,Verweise!$B$2:$B$4542,B3864)=1,"Feiertag",IF(C3864="Samstag","",IF(C3864="Sonntag","",Übersicht!$C$8)))</f>
        <v>Büro</v>
      </c>
    </row>
    <row r="3865" spans="1:4" x14ac:dyDescent="0.25">
      <c r="A3865" t="s">
        <v>58</v>
      </c>
      <c r="B3865" s="48">
        <v>47393</v>
      </c>
      <c r="C3865" t="s">
        <v>53</v>
      </c>
      <c r="D3865" t="str">
        <f>IF(COUNTIFS(Verweise!$A$2:$A$4542,Übersicht!$C$7,Verweise!$B$2:$B$4542,B3865)=1,"Feiertag",IF(C3865="Samstag","",IF(C3865="Sonntag","",Übersicht!$C$8)))</f>
        <v>Feiertag</v>
      </c>
    </row>
    <row r="3866" spans="1:4" x14ac:dyDescent="0.25">
      <c r="A3866" t="s">
        <v>58</v>
      </c>
      <c r="B3866" s="48">
        <v>47422</v>
      </c>
      <c r="C3866" t="s">
        <v>54</v>
      </c>
      <c r="D3866" t="str">
        <f>IF(COUNTIFS(Verweise!$A$2:$A$4542,Übersicht!$C$7,Verweise!$B$2:$B$4542,B3866)=1,"Feiertag",IF(C3866="Samstag","",IF(C3866="Sonntag","",Übersicht!$C$8)))</f>
        <v>Feiertag</v>
      </c>
    </row>
    <row r="3867" spans="1:4" x14ac:dyDescent="0.25">
      <c r="A3867" t="s">
        <v>58</v>
      </c>
      <c r="B3867" s="48">
        <v>47476</v>
      </c>
      <c r="C3867" t="s">
        <v>55</v>
      </c>
      <c r="D3867" t="str">
        <f>IF(COUNTIFS(Verweise!$A$2:$A$4542,Übersicht!$C$7,Verweise!$B$2:$B$4542,B3867)=1,"Feiertag",IF(C3867="Samstag","",IF(C3867="Sonntag","",Übersicht!$C$8)))</f>
        <v>Feiertag</v>
      </c>
    </row>
    <row r="3868" spans="1:4" x14ac:dyDescent="0.25">
      <c r="A3868" t="s">
        <v>58</v>
      </c>
      <c r="B3868" s="48">
        <v>47477</v>
      </c>
      <c r="C3868" t="s">
        <v>56</v>
      </c>
      <c r="D3868" t="str">
        <f>IF(COUNTIFS(Verweise!$A$2:$A$4542,Übersicht!$C$7,Verweise!$B$2:$B$4542,B3868)=1,"Feiertag",IF(C3868="Samstag","",IF(C3868="Sonntag","",Übersicht!$C$8)))</f>
        <v>Feiertag</v>
      </c>
    </row>
    <row r="3869" spans="1:4" x14ac:dyDescent="0.25">
      <c r="A3869" t="s">
        <v>60</v>
      </c>
      <c r="B3869" s="48">
        <v>47118</v>
      </c>
      <c r="C3869" t="s">
        <v>43</v>
      </c>
      <c r="D3869" t="str">
        <f>IF(COUNTIFS(Verweise!$A$2:$A$4542,Übersicht!$C$7,Verweise!$B$2:$B$4542,B3869)=1,"Feiertag",IF(C3869="Samstag","",IF(C3869="Sonntag","",Übersicht!$C$8)))</f>
        <v>Feiertag</v>
      </c>
    </row>
    <row r="3870" spans="1:4" x14ac:dyDescent="0.25">
      <c r="A3870" t="s">
        <v>60</v>
      </c>
      <c r="B3870" s="48">
        <v>47222</v>
      </c>
      <c r="C3870" t="s">
        <v>45</v>
      </c>
      <c r="D3870" t="str">
        <f>IF(COUNTIFS(Verweise!$A$2:$A$4542,Übersicht!$C$7,Verweise!$B$2:$B$4542,B3870)=1,"Feiertag",IF(C3870="Samstag","",IF(C3870="Sonntag","",Übersicht!$C$8)))</f>
        <v>Feiertag</v>
      </c>
    </row>
    <row r="3871" spans="1:4" x14ac:dyDescent="0.25">
      <c r="A3871" t="s">
        <v>60</v>
      </c>
      <c r="B3871" s="48">
        <v>47224</v>
      </c>
      <c r="C3871" t="s">
        <v>46</v>
      </c>
      <c r="D3871" t="str">
        <f>IF(COUNTIFS(Verweise!$A$2:$A$4542,Übersicht!$C$7,Verweise!$B$2:$B$4542,B3871)=1,"Feiertag",IF(C3871="Samstag","",IF(C3871="Sonntag","",Übersicht!$C$8)))</f>
        <v>Feiertag</v>
      </c>
    </row>
    <row r="3872" spans="1:4" x14ac:dyDescent="0.25">
      <c r="A3872" t="s">
        <v>60</v>
      </c>
      <c r="B3872" s="48">
        <v>47225</v>
      </c>
      <c r="C3872" t="s">
        <v>47</v>
      </c>
      <c r="D3872" t="str">
        <f>IF(COUNTIFS(Verweise!$A$2:$A$4542,Übersicht!$C$7,Verweise!$B$2:$B$4542,B3872)=1,"Feiertag",IF(C3872="Samstag","",IF(C3872="Sonntag","",Übersicht!$C$8)))</f>
        <v>Feiertag</v>
      </c>
    </row>
    <row r="3873" spans="1:4" x14ac:dyDescent="0.25">
      <c r="A3873" t="s">
        <v>60</v>
      </c>
      <c r="B3873" s="48">
        <v>47238</v>
      </c>
      <c r="C3873" t="s">
        <v>48</v>
      </c>
      <c r="D3873" t="str">
        <f>IF(COUNTIFS(Verweise!$A$2:$A$4542,Übersicht!$C$7,Verweise!$B$2:$B$4542,B3873)=1,"Feiertag",IF(C3873="Samstag","",IF(C3873="Sonntag","",Übersicht!$C$8)))</f>
        <v>Feiertag</v>
      </c>
    </row>
    <row r="3874" spans="1:4" x14ac:dyDescent="0.25">
      <c r="A3874" t="s">
        <v>60</v>
      </c>
      <c r="B3874" s="48">
        <v>47263</v>
      </c>
      <c r="C3874" t="s">
        <v>49</v>
      </c>
      <c r="D3874" t="str">
        <f>IF(COUNTIFS(Verweise!$A$2:$A$4542,Übersicht!$C$7,Verweise!$B$2:$B$4542,B3874)=1,"Feiertag",IF(C3874="Samstag","",IF(C3874="Sonntag","",Übersicht!$C$8)))</f>
        <v>Feiertag</v>
      </c>
    </row>
    <row r="3875" spans="1:4" x14ac:dyDescent="0.25">
      <c r="A3875" t="s">
        <v>60</v>
      </c>
      <c r="B3875" s="48">
        <v>47273</v>
      </c>
      <c r="C3875" t="s">
        <v>50</v>
      </c>
      <c r="D3875" t="str">
        <f>IF(COUNTIFS(Verweise!$A$2:$A$4542,Übersicht!$C$7,Verweise!$B$2:$B$4542,B3875)=1,"Feiertag",IF(C3875="Samstag","",IF(C3875="Sonntag","",Übersicht!$C$8)))</f>
        <v>Feiertag</v>
      </c>
    </row>
    <row r="3876" spans="1:4" x14ac:dyDescent="0.25">
      <c r="A3876" t="s">
        <v>60</v>
      </c>
      <c r="B3876" s="48">
        <v>47274</v>
      </c>
      <c r="C3876" t="s">
        <v>51</v>
      </c>
      <c r="D3876" t="str">
        <f>IF(COUNTIFS(Verweise!$A$2:$A$4542,Übersicht!$C$7,Verweise!$B$2:$B$4542,B3876)=1,"Feiertag",IF(C3876="Samstag","",IF(C3876="Sonntag","",Übersicht!$C$8)))</f>
        <v>Feiertag</v>
      </c>
    </row>
    <row r="3877" spans="1:4" x14ac:dyDescent="0.25">
      <c r="A3877" t="s">
        <v>60</v>
      </c>
      <c r="B3877" s="48">
        <v>47393</v>
      </c>
      <c r="C3877" t="s">
        <v>53</v>
      </c>
      <c r="D3877" t="str">
        <f>IF(COUNTIFS(Verweise!$A$2:$A$4542,Übersicht!$C$7,Verweise!$B$2:$B$4542,B3877)=1,"Feiertag",IF(C3877="Samstag","",IF(C3877="Sonntag","",Übersicht!$C$8)))</f>
        <v>Feiertag</v>
      </c>
    </row>
    <row r="3878" spans="1:4" x14ac:dyDescent="0.25">
      <c r="A3878" t="s">
        <v>60</v>
      </c>
      <c r="B3878" s="48">
        <v>47476</v>
      </c>
      <c r="C3878" t="s">
        <v>55</v>
      </c>
      <c r="D3878" t="str">
        <f>IF(COUNTIFS(Verweise!$A$2:$A$4542,Übersicht!$C$7,Verweise!$B$2:$B$4542,B3878)=1,"Feiertag",IF(C3878="Samstag","",IF(C3878="Sonntag","",Übersicht!$C$8)))</f>
        <v>Feiertag</v>
      </c>
    </row>
    <row r="3879" spans="1:4" x14ac:dyDescent="0.25">
      <c r="A3879" t="s">
        <v>60</v>
      </c>
      <c r="B3879" s="48">
        <v>47477</v>
      </c>
      <c r="C3879" t="s">
        <v>56</v>
      </c>
      <c r="D3879" t="str">
        <f>IF(COUNTIFS(Verweise!$A$2:$A$4542,Übersicht!$C$7,Verweise!$B$2:$B$4542,B3879)=1,"Feiertag",IF(C3879="Samstag","",IF(C3879="Sonntag","",Übersicht!$C$8)))</f>
        <v>Feiertag</v>
      </c>
    </row>
    <row r="3880" spans="1:4" x14ac:dyDescent="0.25">
      <c r="A3880" t="s">
        <v>61</v>
      </c>
      <c r="B3880" s="48">
        <v>47118</v>
      </c>
      <c r="C3880" t="s">
        <v>43</v>
      </c>
      <c r="D3880" t="str">
        <f>IF(COUNTIFS(Verweise!$A$2:$A$4542,Übersicht!$C$7,Verweise!$B$2:$B$4542,B3880)=1,"Feiertag",IF(C3880="Samstag","",IF(C3880="Sonntag","",Übersicht!$C$8)))</f>
        <v>Feiertag</v>
      </c>
    </row>
    <row r="3881" spans="1:4" x14ac:dyDescent="0.25">
      <c r="A3881" t="s">
        <v>61</v>
      </c>
      <c r="B3881" s="48">
        <v>47222</v>
      </c>
      <c r="C3881" t="s">
        <v>45</v>
      </c>
      <c r="D3881" t="str">
        <f>IF(COUNTIFS(Verweise!$A$2:$A$4542,Übersicht!$C$7,Verweise!$B$2:$B$4542,B3881)=1,"Feiertag",IF(C3881="Samstag","",IF(C3881="Sonntag","",Übersicht!$C$8)))</f>
        <v>Feiertag</v>
      </c>
    </row>
    <row r="3882" spans="1:4" x14ac:dyDescent="0.25">
      <c r="A3882" t="s">
        <v>61</v>
      </c>
      <c r="B3882" s="48">
        <v>47224</v>
      </c>
      <c r="C3882" t="s">
        <v>46</v>
      </c>
      <c r="D3882" t="str">
        <f>IF(COUNTIFS(Verweise!$A$2:$A$4542,Übersicht!$C$7,Verweise!$B$2:$B$4542,B3882)=1,"Feiertag",IF(C3882="Samstag","",IF(C3882="Sonntag","",Übersicht!$C$8)))</f>
        <v>Feiertag</v>
      </c>
    </row>
    <row r="3883" spans="1:4" x14ac:dyDescent="0.25">
      <c r="A3883" t="s">
        <v>61</v>
      </c>
      <c r="B3883" s="48">
        <v>47225</v>
      </c>
      <c r="C3883" t="s">
        <v>47</v>
      </c>
      <c r="D3883" t="str">
        <f>IF(COUNTIFS(Verweise!$A$2:$A$4542,Übersicht!$C$7,Verweise!$B$2:$B$4542,B3883)=1,"Feiertag",IF(C3883="Samstag","",IF(C3883="Sonntag","",Übersicht!$C$8)))</f>
        <v>Feiertag</v>
      </c>
    </row>
    <row r="3884" spans="1:4" x14ac:dyDescent="0.25">
      <c r="A3884" t="s">
        <v>61</v>
      </c>
      <c r="B3884" s="48">
        <v>47238</v>
      </c>
      <c r="C3884" t="s">
        <v>48</v>
      </c>
      <c r="D3884" t="str">
        <f>IF(COUNTIFS(Verweise!$A$2:$A$4542,Übersicht!$C$7,Verweise!$B$2:$B$4542,B3884)=1,"Feiertag",IF(C3884="Samstag","",IF(C3884="Sonntag","",Übersicht!$C$8)))</f>
        <v>Feiertag</v>
      </c>
    </row>
    <row r="3885" spans="1:4" x14ac:dyDescent="0.25">
      <c r="A3885" t="s">
        <v>61</v>
      </c>
      <c r="B3885" s="48">
        <v>47263</v>
      </c>
      <c r="C3885" t="s">
        <v>49</v>
      </c>
      <c r="D3885" t="str">
        <f>IF(COUNTIFS(Verweise!$A$2:$A$4542,Übersicht!$C$7,Verweise!$B$2:$B$4542,B3885)=1,"Feiertag",IF(C3885="Samstag","",IF(C3885="Sonntag","",Übersicht!$C$8)))</f>
        <v>Feiertag</v>
      </c>
    </row>
    <row r="3886" spans="1:4" x14ac:dyDescent="0.25">
      <c r="A3886" t="s">
        <v>61</v>
      </c>
      <c r="B3886" s="48">
        <v>47273</v>
      </c>
      <c r="C3886" t="s">
        <v>50</v>
      </c>
      <c r="D3886" t="str">
        <f>IF(COUNTIFS(Verweise!$A$2:$A$4542,Übersicht!$C$7,Verweise!$B$2:$B$4542,B3886)=1,"Feiertag",IF(C3886="Samstag","",IF(C3886="Sonntag","",Übersicht!$C$8)))</f>
        <v>Feiertag</v>
      </c>
    </row>
    <row r="3887" spans="1:4" x14ac:dyDescent="0.25">
      <c r="A3887" t="s">
        <v>61</v>
      </c>
      <c r="B3887" s="48">
        <v>47274</v>
      </c>
      <c r="C3887" t="s">
        <v>51</v>
      </c>
      <c r="D3887" t="str">
        <f>IF(COUNTIFS(Verweise!$A$2:$A$4542,Übersicht!$C$7,Verweise!$B$2:$B$4542,B3887)=1,"Feiertag",IF(C3887="Samstag","",IF(C3887="Sonntag","",Übersicht!$C$8)))</f>
        <v>Feiertag</v>
      </c>
    </row>
    <row r="3888" spans="1:4" x14ac:dyDescent="0.25">
      <c r="A3888" t="s">
        <v>61</v>
      </c>
      <c r="B3888" s="48">
        <v>47393</v>
      </c>
      <c r="C3888" t="s">
        <v>53</v>
      </c>
      <c r="D3888" t="str">
        <f>IF(COUNTIFS(Verweise!$A$2:$A$4542,Übersicht!$C$7,Verweise!$B$2:$B$4542,B3888)=1,"Feiertag",IF(C3888="Samstag","",IF(C3888="Sonntag","",Übersicht!$C$8)))</f>
        <v>Feiertag</v>
      </c>
    </row>
    <row r="3889" spans="1:4" x14ac:dyDescent="0.25">
      <c r="A3889" t="s">
        <v>61</v>
      </c>
      <c r="B3889" s="48">
        <v>47421</v>
      </c>
      <c r="C3889" t="s">
        <v>62</v>
      </c>
      <c r="D3889" t="str">
        <f>IF(COUNTIFS(Verweise!$A$2:$A$4542,Übersicht!$C$7,Verweise!$B$2:$B$4542,B3889)=1,"Feiertag",IF(C3889="Samstag","",IF(C3889="Sonntag","",Übersicht!$C$8)))</f>
        <v>Büro</v>
      </c>
    </row>
    <row r="3890" spans="1:4" x14ac:dyDescent="0.25">
      <c r="A3890" t="s">
        <v>61</v>
      </c>
      <c r="B3890" s="48">
        <v>47476</v>
      </c>
      <c r="C3890" t="s">
        <v>55</v>
      </c>
      <c r="D3890" t="str">
        <f>IF(COUNTIFS(Verweise!$A$2:$A$4542,Übersicht!$C$7,Verweise!$B$2:$B$4542,B3890)=1,"Feiertag",IF(C3890="Samstag","",IF(C3890="Sonntag","",Übersicht!$C$8)))</f>
        <v>Feiertag</v>
      </c>
    </row>
    <row r="3891" spans="1:4" x14ac:dyDescent="0.25">
      <c r="A3891" t="s">
        <v>61</v>
      </c>
      <c r="B3891" s="48">
        <v>47477</v>
      </c>
      <c r="C3891" t="s">
        <v>56</v>
      </c>
      <c r="D3891" t="str">
        <f>IF(COUNTIFS(Verweise!$A$2:$A$4542,Übersicht!$C$7,Verweise!$B$2:$B$4542,B3891)=1,"Feiertag",IF(C3891="Samstag","",IF(C3891="Sonntag","",Übersicht!$C$8)))</f>
        <v>Feiertag</v>
      </c>
    </row>
    <row r="3892" spans="1:4" x14ac:dyDescent="0.25">
      <c r="A3892" t="s">
        <v>63</v>
      </c>
      <c r="B3892" s="48">
        <v>47118</v>
      </c>
      <c r="C3892" t="s">
        <v>43</v>
      </c>
      <c r="D3892" t="str">
        <f>IF(COUNTIFS(Verweise!$A$2:$A$4542,Übersicht!$C$7,Verweise!$B$2:$B$4542,B3892)=1,"Feiertag",IF(C3892="Samstag","",IF(C3892="Sonntag","",Übersicht!$C$8)))</f>
        <v>Feiertag</v>
      </c>
    </row>
    <row r="3893" spans="1:4" x14ac:dyDescent="0.25">
      <c r="A3893" t="s">
        <v>63</v>
      </c>
      <c r="B3893" s="48">
        <v>47222</v>
      </c>
      <c r="C3893" t="s">
        <v>45</v>
      </c>
      <c r="D3893" t="str">
        <f>IF(COUNTIFS(Verweise!$A$2:$A$4542,Übersicht!$C$7,Verweise!$B$2:$B$4542,B3893)=1,"Feiertag",IF(C3893="Samstag","",IF(C3893="Sonntag","",Übersicht!$C$8)))</f>
        <v>Feiertag</v>
      </c>
    </row>
    <row r="3894" spans="1:4" x14ac:dyDescent="0.25">
      <c r="A3894" t="s">
        <v>63</v>
      </c>
      <c r="B3894" s="48">
        <v>47224</v>
      </c>
      <c r="C3894" t="s">
        <v>46</v>
      </c>
      <c r="D3894" t="str">
        <f>IF(COUNTIFS(Verweise!$A$2:$A$4542,Übersicht!$C$7,Verweise!$B$2:$B$4542,B3894)=1,"Feiertag",IF(C3894="Samstag","",IF(C3894="Sonntag","",Übersicht!$C$8)))</f>
        <v>Feiertag</v>
      </c>
    </row>
    <row r="3895" spans="1:4" x14ac:dyDescent="0.25">
      <c r="A3895" t="s">
        <v>63</v>
      </c>
      <c r="B3895" s="48">
        <v>47225</v>
      </c>
      <c r="C3895" t="s">
        <v>47</v>
      </c>
      <c r="D3895" t="str">
        <f>IF(COUNTIFS(Verweise!$A$2:$A$4542,Übersicht!$C$7,Verweise!$B$2:$B$4542,B3895)=1,"Feiertag",IF(C3895="Samstag","",IF(C3895="Sonntag","",Übersicht!$C$8)))</f>
        <v>Feiertag</v>
      </c>
    </row>
    <row r="3896" spans="1:4" x14ac:dyDescent="0.25">
      <c r="A3896" t="s">
        <v>63</v>
      </c>
      <c r="B3896" s="48">
        <v>47238</v>
      </c>
      <c r="C3896" t="s">
        <v>48</v>
      </c>
      <c r="D3896" t="str">
        <f>IF(COUNTIFS(Verweise!$A$2:$A$4542,Übersicht!$C$7,Verweise!$B$2:$B$4542,B3896)=1,"Feiertag",IF(C3896="Samstag","",IF(C3896="Sonntag","",Übersicht!$C$8)))</f>
        <v>Feiertag</v>
      </c>
    </row>
    <row r="3897" spans="1:4" x14ac:dyDescent="0.25">
      <c r="A3897" t="s">
        <v>63</v>
      </c>
      <c r="B3897" s="48">
        <v>47263</v>
      </c>
      <c r="C3897" t="s">
        <v>49</v>
      </c>
      <c r="D3897" t="str">
        <f>IF(COUNTIFS(Verweise!$A$2:$A$4542,Übersicht!$C$7,Verweise!$B$2:$B$4542,B3897)=1,"Feiertag",IF(C3897="Samstag","",IF(C3897="Sonntag","",Übersicht!$C$8)))</f>
        <v>Feiertag</v>
      </c>
    </row>
    <row r="3898" spans="1:4" x14ac:dyDescent="0.25">
      <c r="A3898" t="s">
        <v>63</v>
      </c>
      <c r="B3898" s="48">
        <v>47273</v>
      </c>
      <c r="C3898" t="s">
        <v>50</v>
      </c>
      <c r="D3898" t="str">
        <f>IF(COUNTIFS(Verweise!$A$2:$A$4542,Übersicht!$C$7,Verweise!$B$2:$B$4542,B3898)=1,"Feiertag",IF(C3898="Samstag","",IF(C3898="Sonntag","",Übersicht!$C$8)))</f>
        <v>Feiertag</v>
      </c>
    </row>
    <row r="3899" spans="1:4" x14ac:dyDescent="0.25">
      <c r="A3899" t="s">
        <v>63</v>
      </c>
      <c r="B3899" s="48">
        <v>47274</v>
      </c>
      <c r="C3899" t="s">
        <v>51</v>
      </c>
      <c r="D3899" t="str">
        <f>IF(COUNTIFS(Verweise!$A$2:$A$4542,Übersicht!$C$7,Verweise!$B$2:$B$4542,B3899)=1,"Feiertag",IF(C3899="Samstag","",IF(C3899="Sonntag","",Übersicht!$C$8)))</f>
        <v>Feiertag</v>
      </c>
    </row>
    <row r="3900" spans="1:4" x14ac:dyDescent="0.25">
      <c r="A3900" t="s">
        <v>63</v>
      </c>
      <c r="B3900" s="48">
        <v>47393</v>
      </c>
      <c r="C3900" t="s">
        <v>53</v>
      </c>
      <c r="D3900" t="str">
        <f>IF(COUNTIFS(Verweise!$A$2:$A$4542,Übersicht!$C$7,Verweise!$B$2:$B$4542,B3900)=1,"Feiertag",IF(C3900="Samstag","",IF(C3900="Sonntag","",Übersicht!$C$8)))</f>
        <v>Feiertag</v>
      </c>
    </row>
    <row r="3901" spans="1:4" x14ac:dyDescent="0.25">
      <c r="A3901" t="s">
        <v>63</v>
      </c>
      <c r="B3901" s="48">
        <v>47476</v>
      </c>
      <c r="C3901" t="s">
        <v>55</v>
      </c>
      <c r="D3901" t="str">
        <f>IF(COUNTIFS(Verweise!$A$2:$A$4542,Übersicht!$C$7,Verweise!$B$2:$B$4542,B3901)=1,"Feiertag",IF(C3901="Samstag","",IF(C3901="Sonntag","",Übersicht!$C$8)))</f>
        <v>Feiertag</v>
      </c>
    </row>
    <row r="3902" spans="1:4" x14ac:dyDescent="0.25">
      <c r="A3902" t="s">
        <v>63</v>
      </c>
      <c r="B3902" s="48">
        <v>47477</v>
      </c>
      <c r="C3902" t="s">
        <v>56</v>
      </c>
      <c r="D3902" t="str">
        <f>IF(COUNTIFS(Verweise!$A$2:$A$4542,Übersicht!$C$7,Verweise!$B$2:$B$4542,B3902)=1,"Feiertag",IF(C3902="Samstag","",IF(C3902="Sonntag","",Übersicht!$C$8)))</f>
        <v>Feiertag</v>
      </c>
    </row>
    <row r="3903" spans="1:4" x14ac:dyDescent="0.25">
      <c r="A3903" t="s">
        <v>64</v>
      </c>
      <c r="B3903" s="48">
        <v>47118</v>
      </c>
      <c r="C3903" t="s">
        <v>43</v>
      </c>
      <c r="D3903" t="str">
        <f>IF(COUNTIFS(Verweise!$A$2:$A$4542,Übersicht!$C$7,Verweise!$B$2:$B$4542,B3903)=1,"Feiertag",IF(C3903="Samstag","",IF(C3903="Sonntag","",Übersicht!$C$8)))</f>
        <v>Feiertag</v>
      </c>
    </row>
    <row r="3904" spans="1:4" x14ac:dyDescent="0.25">
      <c r="A3904" t="s">
        <v>64</v>
      </c>
      <c r="B3904" s="48">
        <v>47222</v>
      </c>
      <c r="C3904" t="s">
        <v>45</v>
      </c>
      <c r="D3904" t="str">
        <f>IF(COUNTIFS(Verweise!$A$2:$A$4542,Übersicht!$C$7,Verweise!$B$2:$B$4542,B3904)=1,"Feiertag",IF(C3904="Samstag","",IF(C3904="Sonntag","",Übersicht!$C$8)))</f>
        <v>Feiertag</v>
      </c>
    </row>
    <row r="3905" spans="1:4" x14ac:dyDescent="0.25">
      <c r="A3905" t="s">
        <v>64</v>
      </c>
      <c r="B3905" s="48">
        <v>47224</v>
      </c>
      <c r="C3905" t="s">
        <v>46</v>
      </c>
      <c r="D3905" t="str">
        <f>IF(COUNTIFS(Verweise!$A$2:$A$4542,Übersicht!$C$7,Verweise!$B$2:$B$4542,B3905)=1,"Feiertag",IF(C3905="Samstag","",IF(C3905="Sonntag","",Übersicht!$C$8)))</f>
        <v>Feiertag</v>
      </c>
    </row>
    <row r="3906" spans="1:4" x14ac:dyDescent="0.25">
      <c r="A3906" t="s">
        <v>64</v>
      </c>
      <c r="B3906" s="48">
        <v>47225</v>
      </c>
      <c r="C3906" t="s">
        <v>47</v>
      </c>
      <c r="D3906" t="str">
        <f>IF(COUNTIFS(Verweise!$A$2:$A$4542,Übersicht!$C$7,Verweise!$B$2:$B$4542,B3906)=1,"Feiertag",IF(C3906="Samstag","",IF(C3906="Sonntag","",Übersicht!$C$8)))</f>
        <v>Feiertag</v>
      </c>
    </row>
    <row r="3907" spans="1:4" x14ac:dyDescent="0.25">
      <c r="A3907" t="s">
        <v>64</v>
      </c>
      <c r="B3907" s="48">
        <v>47238</v>
      </c>
      <c r="C3907" t="s">
        <v>48</v>
      </c>
      <c r="D3907" t="str">
        <f>IF(COUNTIFS(Verweise!$A$2:$A$4542,Übersicht!$C$7,Verweise!$B$2:$B$4542,B3907)=1,"Feiertag",IF(C3907="Samstag","",IF(C3907="Sonntag","",Übersicht!$C$8)))</f>
        <v>Feiertag</v>
      </c>
    </row>
    <row r="3908" spans="1:4" x14ac:dyDescent="0.25">
      <c r="A3908" t="s">
        <v>64</v>
      </c>
      <c r="B3908" s="48">
        <v>47263</v>
      </c>
      <c r="C3908" t="s">
        <v>49</v>
      </c>
      <c r="D3908" t="str">
        <f>IF(COUNTIFS(Verweise!$A$2:$A$4542,Übersicht!$C$7,Verweise!$B$2:$B$4542,B3908)=1,"Feiertag",IF(C3908="Samstag","",IF(C3908="Sonntag","",Übersicht!$C$8)))</f>
        <v>Feiertag</v>
      </c>
    </row>
    <row r="3909" spans="1:4" x14ac:dyDescent="0.25">
      <c r="A3909" t="s">
        <v>64</v>
      </c>
      <c r="B3909" s="48">
        <v>47273</v>
      </c>
      <c r="C3909" t="s">
        <v>50</v>
      </c>
      <c r="D3909" t="str">
        <f>IF(COUNTIFS(Verweise!$A$2:$A$4542,Übersicht!$C$7,Verweise!$B$2:$B$4542,B3909)=1,"Feiertag",IF(C3909="Samstag","",IF(C3909="Sonntag","",Übersicht!$C$8)))</f>
        <v>Feiertag</v>
      </c>
    </row>
    <row r="3910" spans="1:4" x14ac:dyDescent="0.25">
      <c r="A3910" t="s">
        <v>64</v>
      </c>
      <c r="B3910" s="48">
        <v>47274</v>
      </c>
      <c r="C3910" t="s">
        <v>51</v>
      </c>
      <c r="D3910" t="str">
        <f>IF(COUNTIFS(Verweise!$A$2:$A$4542,Übersicht!$C$7,Verweise!$B$2:$B$4542,B3910)=1,"Feiertag",IF(C3910="Samstag","",IF(C3910="Sonntag","",Übersicht!$C$8)))</f>
        <v>Feiertag</v>
      </c>
    </row>
    <row r="3911" spans="1:4" x14ac:dyDescent="0.25">
      <c r="A3911" t="s">
        <v>64</v>
      </c>
      <c r="B3911" s="48">
        <v>47393</v>
      </c>
      <c r="C3911" t="s">
        <v>53</v>
      </c>
      <c r="D3911" t="str">
        <f>IF(COUNTIFS(Verweise!$A$2:$A$4542,Übersicht!$C$7,Verweise!$B$2:$B$4542,B3911)=1,"Feiertag",IF(C3911="Samstag","",IF(C3911="Sonntag","",Übersicht!$C$8)))</f>
        <v>Feiertag</v>
      </c>
    </row>
    <row r="3912" spans="1:4" x14ac:dyDescent="0.25">
      <c r="A3912" t="s">
        <v>64</v>
      </c>
      <c r="B3912" s="48">
        <v>47476</v>
      </c>
      <c r="C3912" t="s">
        <v>55</v>
      </c>
      <c r="D3912" t="str">
        <f>IF(COUNTIFS(Verweise!$A$2:$A$4542,Übersicht!$C$7,Verweise!$B$2:$B$4542,B3912)=1,"Feiertag",IF(C3912="Samstag","",IF(C3912="Sonntag","",Übersicht!$C$8)))</f>
        <v>Feiertag</v>
      </c>
    </row>
    <row r="3913" spans="1:4" x14ac:dyDescent="0.25">
      <c r="A3913" t="s">
        <v>64</v>
      </c>
      <c r="B3913" s="48">
        <v>47477</v>
      </c>
      <c r="C3913" t="s">
        <v>56</v>
      </c>
      <c r="D3913" t="str">
        <f>IF(COUNTIFS(Verweise!$A$2:$A$4542,Übersicht!$C$7,Verweise!$B$2:$B$4542,B3913)=1,"Feiertag",IF(C3913="Samstag","",IF(C3913="Sonntag","",Übersicht!$C$8)))</f>
        <v>Feiertag</v>
      </c>
    </row>
    <row r="3914" spans="1:4" x14ac:dyDescent="0.25">
      <c r="A3914" t="s">
        <v>65</v>
      </c>
      <c r="B3914" s="48">
        <v>47118</v>
      </c>
      <c r="C3914" t="s">
        <v>43</v>
      </c>
      <c r="D3914" t="str">
        <f>IF(COUNTIFS(Verweise!$A$2:$A$4542,Übersicht!$C$7,Verweise!$B$2:$B$4542,B3914)=1,"Feiertag",IF(C3914="Samstag","",IF(C3914="Sonntag","",Übersicht!$C$8)))</f>
        <v>Feiertag</v>
      </c>
    </row>
    <row r="3915" spans="1:4" x14ac:dyDescent="0.25">
      <c r="A3915" t="s">
        <v>65</v>
      </c>
      <c r="B3915" s="48">
        <v>47222</v>
      </c>
      <c r="C3915" t="s">
        <v>45</v>
      </c>
      <c r="D3915" t="str">
        <f>IF(COUNTIFS(Verweise!$A$2:$A$4542,Übersicht!$C$7,Verweise!$B$2:$B$4542,B3915)=1,"Feiertag",IF(C3915="Samstag","",IF(C3915="Sonntag","",Übersicht!$C$8)))</f>
        <v>Feiertag</v>
      </c>
    </row>
    <row r="3916" spans="1:4" x14ac:dyDescent="0.25">
      <c r="A3916" t="s">
        <v>65</v>
      </c>
      <c r="B3916" s="48">
        <v>47224</v>
      </c>
      <c r="C3916" t="s">
        <v>46</v>
      </c>
      <c r="D3916" t="str">
        <f>IF(COUNTIFS(Verweise!$A$2:$A$4542,Übersicht!$C$7,Verweise!$B$2:$B$4542,B3916)=1,"Feiertag",IF(C3916="Samstag","",IF(C3916="Sonntag","",Übersicht!$C$8)))</f>
        <v>Feiertag</v>
      </c>
    </row>
    <row r="3917" spans="1:4" x14ac:dyDescent="0.25">
      <c r="A3917" t="s">
        <v>65</v>
      </c>
      <c r="B3917" s="48">
        <v>47225</v>
      </c>
      <c r="C3917" t="s">
        <v>47</v>
      </c>
      <c r="D3917" t="str">
        <f>IF(COUNTIFS(Verweise!$A$2:$A$4542,Übersicht!$C$7,Verweise!$B$2:$B$4542,B3917)=1,"Feiertag",IF(C3917="Samstag","",IF(C3917="Sonntag","",Übersicht!$C$8)))</f>
        <v>Feiertag</v>
      </c>
    </row>
    <row r="3918" spans="1:4" x14ac:dyDescent="0.25">
      <c r="A3918" t="s">
        <v>65</v>
      </c>
      <c r="B3918" s="48">
        <v>47238</v>
      </c>
      <c r="C3918" t="s">
        <v>48</v>
      </c>
      <c r="D3918" t="str">
        <f>IF(COUNTIFS(Verweise!$A$2:$A$4542,Übersicht!$C$7,Verweise!$B$2:$B$4542,B3918)=1,"Feiertag",IF(C3918="Samstag","",IF(C3918="Sonntag","",Übersicht!$C$8)))</f>
        <v>Feiertag</v>
      </c>
    </row>
    <row r="3919" spans="1:4" x14ac:dyDescent="0.25">
      <c r="A3919" t="s">
        <v>65</v>
      </c>
      <c r="B3919" s="48">
        <v>47263</v>
      </c>
      <c r="C3919" t="s">
        <v>49</v>
      </c>
      <c r="D3919" t="str">
        <f>IF(COUNTIFS(Verweise!$A$2:$A$4542,Übersicht!$C$7,Verweise!$B$2:$B$4542,B3919)=1,"Feiertag",IF(C3919="Samstag","",IF(C3919="Sonntag","",Übersicht!$C$8)))</f>
        <v>Feiertag</v>
      </c>
    </row>
    <row r="3920" spans="1:4" x14ac:dyDescent="0.25">
      <c r="A3920" t="s">
        <v>65</v>
      </c>
      <c r="B3920" s="48">
        <v>47273</v>
      </c>
      <c r="C3920" t="s">
        <v>50</v>
      </c>
      <c r="D3920" t="str">
        <f>IF(COUNTIFS(Verweise!$A$2:$A$4542,Übersicht!$C$7,Verweise!$B$2:$B$4542,B3920)=1,"Feiertag",IF(C3920="Samstag","",IF(C3920="Sonntag","",Übersicht!$C$8)))</f>
        <v>Feiertag</v>
      </c>
    </row>
    <row r="3921" spans="1:4" x14ac:dyDescent="0.25">
      <c r="A3921" t="s">
        <v>65</v>
      </c>
      <c r="B3921" s="48">
        <v>47274</v>
      </c>
      <c r="C3921" t="s">
        <v>51</v>
      </c>
      <c r="D3921" t="str">
        <f>IF(COUNTIFS(Verweise!$A$2:$A$4542,Übersicht!$C$7,Verweise!$B$2:$B$4542,B3921)=1,"Feiertag",IF(C3921="Samstag","",IF(C3921="Sonntag","",Übersicht!$C$8)))</f>
        <v>Feiertag</v>
      </c>
    </row>
    <row r="3922" spans="1:4" x14ac:dyDescent="0.25">
      <c r="A3922" t="s">
        <v>65</v>
      </c>
      <c r="B3922" s="48">
        <v>47284</v>
      </c>
      <c r="C3922" t="s">
        <v>52</v>
      </c>
      <c r="D3922" t="str">
        <f>IF(COUNTIFS(Verweise!$A$2:$A$4542,Übersicht!$C$7,Verweise!$B$2:$B$4542,B3922)=1,"Feiertag",IF(C3922="Samstag","",IF(C3922="Sonntag","",Übersicht!$C$8)))</f>
        <v>Feiertag</v>
      </c>
    </row>
    <row r="3923" spans="1:4" x14ac:dyDescent="0.25">
      <c r="A3923" t="s">
        <v>65</v>
      </c>
      <c r="B3923" s="48">
        <v>47393</v>
      </c>
      <c r="C3923" t="s">
        <v>53</v>
      </c>
      <c r="D3923" t="str">
        <f>IF(COUNTIFS(Verweise!$A$2:$A$4542,Übersicht!$C$7,Verweise!$B$2:$B$4542,B3923)=1,"Feiertag",IF(C3923="Samstag","",IF(C3923="Sonntag","",Übersicht!$C$8)))</f>
        <v>Feiertag</v>
      </c>
    </row>
    <row r="3924" spans="1:4" x14ac:dyDescent="0.25">
      <c r="A3924" t="s">
        <v>65</v>
      </c>
      <c r="B3924" s="48">
        <v>47476</v>
      </c>
      <c r="C3924" t="s">
        <v>55</v>
      </c>
      <c r="D3924" t="str">
        <f>IF(COUNTIFS(Verweise!$A$2:$A$4542,Übersicht!$C$7,Verweise!$B$2:$B$4542,B3924)=1,"Feiertag",IF(C3924="Samstag","",IF(C3924="Sonntag","",Übersicht!$C$8)))</f>
        <v>Feiertag</v>
      </c>
    </row>
    <row r="3925" spans="1:4" x14ac:dyDescent="0.25">
      <c r="A3925" t="s">
        <v>65</v>
      </c>
      <c r="B3925" s="48">
        <v>47477</v>
      </c>
      <c r="C3925" t="s">
        <v>56</v>
      </c>
      <c r="D3925" t="str">
        <f>IF(COUNTIFS(Verweise!$A$2:$A$4542,Übersicht!$C$7,Verweise!$B$2:$B$4542,B3925)=1,"Feiertag",IF(C3925="Samstag","",IF(C3925="Sonntag","",Übersicht!$C$8)))</f>
        <v>Feiertag</v>
      </c>
    </row>
    <row r="3926" spans="1:4" x14ac:dyDescent="0.25">
      <c r="A3926" t="s">
        <v>66</v>
      </c>
      <c r="B3926" s="48">
        <v>47118</v>
      </c>
      <c r="C3926" t="s">
        <v>43</v>
      </c>
      <c r="D3926" t="str">
        <f>IF(COUNTIFS(Verweise!$A$2:$A$4542,Übersicht!$C$7,Verweise!$B$2:$B$4542,B3926)=1,"Feiertag",IF(C3926="Samstag","",IF(C3926="Sonntag","",Übersicht!$C$8)))</f>
        <v>Feiertag</v>
      </c>
    </row>
    <row r="3927" spans="1:4" x14ac:dyDescent="0.25">
      <c r="A3927" t="s">
        <v>66</v>
      </c>
      <c r="B3927" s="48">
        <v>47222</v>
      </c>
      <c r="C3927" t="s">
        <v>45</v>
      </c>
      <c r="D3927" t="str">
        <f>IF(COUNTIFS(Verweise!$A$2:$A$4542,Übersicht!$C$7,Verweise!$B$2:$B$4542,B3927)=1,"Feiertag",IF(C3927="Samstag","",IF(C3927="Sonntag","",Übersicht!$C$8)))</f>
        <v>Feiertag</v>
      </c>
    </row>
    <row r="3928" spans="1:4" x14ac:dyDescent="0.25">
      <c r="A3928" t="s">
        <v>66</v>
      </c>
      <c r="B3928" s="48">
        <v>47224</v>
      </c>
      <c r="C3928" t="s">
        <v>46</v>
      </c>
      <c r="D3928" t="str">
        <f>IF(COUNTIFS(Verweise!$A$2:$A$4542,Übersicht!$C$7,Verweise!$B$2:$B$4542,B3928)=1,"Feiertag",IF(C3928="Samstag","",IF(C3928="Sonntag","",Übersicht!$C$8)))</f>
        <v>Feiertag</v>
      </c>
    </row>
    <row r="3929" spans="1:4" x14ac:dyDescent="0.25">
      <c r="A3929" t="s">
        <v>66</v>
      </c>
      <c r="B3929" s="48">
        <v>47225</v>
      </c>
      <c r="C3929" t="s">
        <v>47</v>
      </c>
      <c r="D3929" t="str">
        <f>IF(COUNTIFS(Verweise!$A$2:$A$4542,Übersicht!$C$7,Verweise!$B$2:$B$4542,B3929)=1,"Feiertag",IF(C3929="Samstag","",IF(C3929="Sonntag","",Übersicht!$C$8)))</f>
        <v>Feiertag</v>
      </c>
    </row>
    <row r="3930" spans="1:4" x14ac:dyDescent="0.25">
      <c r="A3930" t="s">
        <v>66</v>
      </c>
      <c r="B3930" s="48">
        <v>47238</v>
      </c>
      <c r="C3930" t="s">
        <v>48</v>
      </c>
      <c r="D3930" t="str">
        <f>IF(COUNTIFS(Verweise!$A$2:$A$4542,Übersicht!$C$7,Verweise!$B$2:$B$4542,B3930)=1,"Feiertag",IF(C3930="Samstag","",IF(C3930="Sonntag","",Übersicht!$C$8)))</f>
        <v>Feiertag</v>
      </c>
    </row>
    <row r="3931" spans="1:4" x14ac:dyDescent="0.25">
      <c r="A3931" t="s">
        <v>66</v>
      </c>
      <c r="B3931" s="48">
        <v>47263</v>
      </c>
      <c r="C3931" t="s">
        <v>49</v>
      </c>
      <c r="D3931" t="str">
        <f>IF(COUNTIFS(Verweise!$A$2:$A$4542,Übersicht!$C$7,Verweise!$B$2:$B$4542,B3931)=1,"Feiertag",IF(C3931="Samstag","",IF(C3931="Sonntag","",Übersicht!$C$8)))</f>
        <v>Feiertag</v>
      </c>
    </row>
    <row r="3932" spans="1:4" x14ac:dyDescent="0.25">
      <c r="A3932" t="s">
        <v>66</v>
      </c>
      <c r="B3932" s="48">
        <v>47273</v>
      </c>
      <c r="C3932" t="s">
        <v>50</v>
      </c>
      <c r="D3932" t="str">
        <f>IF(COUNTIFS(Verweise!$A$2:$A$4542,Übersicht!$C$7,Verweise!$B$2:$B$4542,B3932)=1,"Feiertag",IF(C3932="Samstag","",IF(C3932="Sonntag","",Übersicht!$C$8)))</f>
        <v>Feiertag</v>
      </c>
    </row>
    <row r="3933" spans="1:4" x14ac:dyDescent="0.25">
      <c r="A3933" t="s">
        <v>66</v>
      </c>
      <c r="B3933" s="48">
        <v>47274</v>
      </c>
      <c r="C3933" t="s">
        <v>51</v>
      </c>
      <c r="D3933" t="str">
        <f>IF(COUNTIFS(Verweise!$A$2:$A$4542,Übersicht!$C$7,Verweise!$B$2:$B$4542,B3933)=1,"Feiertag",IF(C3933="Samstag","",IF(C3933="Sonntag","",Übersicht!$C$8)))</f>
        <v>Feiertag</v>
      </c>
    </row>
    <row r="3934" spans="1:4" x14ac:dyDescent="0.25">
      <c r="A3934" t="s">
        <v>66</v>
      </c>
      <c r="B3934" s="48">
        <v>47393</v>
      </c>
      <c r="C3934" t="s">
        <v>53</v>
      </c>
      <c r="D3934" t="str">
        <f>IF(COUNTIFS(Verweise!$A$2:$A$4542,Übersicht!$C$7,Verweise!$B$2:$B$4542,B3934)=1,"Feiertag",IF(C3934="Samstag","",IF(C3934="Sonntag","",Übersicht!$C$8)))</f>
        <v>Feiertag</v>
      </c>
    </row>
    <row r="3935" spans="1:4" x14ac:dyDescent="0.25">
      <c r="A3935" t="s">
        <v>66</v>
      </c>
      <c r="B3935" s="48">
        <v>47421</v>
      </c>
      <c r="C3935" t="s">
        <v>62</v>
      </c>
      <c r="D3935" t="str">
        <f>IF(COUNTIFS(Verweise!$A$2:$A$4542,Übersicht!$C$7,Verweise!$B$2:$B$4542,B3935)=1,"Feiertag",IF(C3935="Samstag","",IF(C3935="Sonntag","",Übersicht!$C$8)))</f>
        <v>Büro</v>
      </c>
    </row>
    <row r="3936" spans="1:4" x14ac:dyDescent="0.25">
      <c r="A3936" t="s">
        <v>66</v>
      </c>
      <c r="B3936" s="48">
        <v>47476</v>
      </c>
      <c r="C3936" t="s">
        <v>55</v>
      </c>
      <c r="D3936" t="str">
        <f>IF(COUNTIFS(Verweise!$A$2:$A$4542,Übersicht!$C$7,Verweise!$B$2:$B$4542,B3936)=1,"Feiertag",IF(C3936="Samstag","",IF(C3936="Sonntag","",Übersicht!$C$8)))</f>
        <v>Feiertag</v>
      </c>
    </row>
    <row r="3937" spans="1:4" x14ac:dyDescent="0.25">
      <c r="A3937" t="s">
        <v>66</v>
      </c>
      <c r="B3937" s="48">
        <v>47477</v>
      </c>
      <c r="C3937" t="s">
        <v>56</v>
      </c>
      <c r="D3937" t="str">
        <f>IF(COUNTIFS(Verweise!$A$2:$A$4542,Übersicht!$C$7,Verweise!$B$2:$B$4542,B3937)=1,"Feiertag",IF(C3937="Samstag","",IF(C3937="Sonntag","",Übersicht!$C$8)))</f>
        <v>Feiertag</v>
      </c>
    </row>
    <row r="3938" spans="1:4" x14ac:dyDescent="0.25">
      <c r="A3938" t="s">
        <v>67</v>
      </c>
      <c r="B3938" s="48">
        <v>47118</v>
      </c>
      <c r="C3938" t="s">
        <v>43</v>
      </c>
      <c r="D3938" t="str">
        <f>IF(COUNTIFS(Verweise!$A$2:$A$4542,Übersicht!$C$7,Verweise!$B$2:$B$4542,B3938)=1,"Feiertag",IF(C3938="Samstag","",IF(C3938="Sonntag","",Übersicht!$C$8)))</f>
        <v>Feiertag</v>
      </c>
    </row>
    <row r="3939" spans="1:4" x14ac:dyDescent="0.25">
      <c r="A3939" t="s">
        <v>67</v>
      </c>
      <c r="B3939" s="48">
        <v>47222</v>
      </c>
      <c r="C3939" t="s">
        <v>45</v>
      </c>
      <c r="D3939" t="str">
        <f>IF(COUNTIFS(Verweise!$A$2:$A$4542,Übersicht!$C$7,Verweise!$B$2:$B$4542,B3939)=1,"Feiertag",IF(C3939="Samstag","",IF(C3939="Sonntag","",Übersicht!$C$8)))</f>
        <v>Feiertag</v>
      </c>
    </row>
    <row r="3940" spans="1:4" x14ac:dyDescent="0.25">
      <c r="A3940" t="s">
        <v>67</v>
      </c>
      <c r="B3940" s="48">
        <v>47224</v>
      </c>
      <c r="C3940" t="s">
        <v>46</v>
      </c>
      <c r="D3940" t="str">
        <f>IF(COUNTIFS(Verweise!$A$2:$A$4542,Übersicht!$C$7,Verweise!$B$2:$B$4542,B3940)=1,"Feiertag",IF(C3940="Samstag","",IF(C3940="Sonntag","",Übersicht!$C$8)))</f>
        <v>Feiertag</v>
      </c>
    </row>
    <row r="3941" spans="1:4" x14ac:dyDescent="0.25">
      <c r="A3941" t="s">
        <v>67</v>
      </c>
      <c r="B3941" s="48">
        <v>47225</v>
      </c>
      <c r="C3941" t="s">
        <v>47</v>
      </c>
      <c r="D3941" t="str">
        <f>IF(COUNTIFS(Verweise!$A$2:$A$4542,Übersicht!$C$7,Verweise!$B$2:$B$4542,B3941)=1,"Feiertag",IF(C3941="Samstag","",IF(C3941="Sonntag","",Übersicht!$C$8)))</f>
        <v>Feiertag</v>
      </c>
    </row>
    <row r="3942" spans="1:4" x14ac:dyDescent="0.25">
      <c r="A3942" t="s">
        <v>67</v>
      </c>
      <c r="B3942" s="48">
        <v>47238</v>
      </c>
      <c r="C3942" t="s">
        <v>48</v>
      </c>
      <c r="D3942" t="str">
        <f>IF(COUNTIFS(Verweise!$A$2:$A$4542,Übersicht!$C$7,Verweise!$B$2:$B$4542,B3942)=1,"Feiertag",IF(C3942="Samstag","",IF(C3942="Sonntag","",Übersicht!$C$8)))</f>
        <v>Feiertag</v>
      </c>
    </row>
    <row r="3943" spans="1:4" x14ac:dyDescent="0.25">
      <c r="A3943" t="s">
        <v>67</v>
      </c>
      <c r="B3943" s="48">
        <v>47263</v>
      </c>
      <c r="C3943" t="s">
        <v>49</v>
      </c>
      <c r="D3943" t="str">
        <f>IF(COUNTIFS(Verweise!$A$2:$A$4542,Übersicht!$C$7,Verweise!$B$2:$B$4542,B3943)=1,"Feiertag",IF(C3943="Samstag","",IF(C3943="Sonntag","",Übersicht!$C$8)))</f>
        <v>Feiertag</v>
      </c>
    </row>
    <row r="3944" spans="1:4" x14ac:dyDescent="0.25">
      <c r="A3944" t="s">
        <v>67</v>
      </c>
      <c r="B3944" s="48">
        <v>47273</v>
      </c>
      <c r="C3944" t="s">
        <v>50</v>
      </c>
      <c r="D3944" t="str">
        <f>IF(COUNTIFS(Verweise!$A$2:$A$4542,Übersicht!$C$7,Verweise!$B$2:$B$4542,B3944)=1,"Feiertag",IF(C3944="Samstag","",IF(C3944="Sonntag","",Übersicht!$C$8)))</f>
        <v>Feiertag</v>
      </c>
    </row>
    <row r="3945" spans="1:4" x14ac:dyDescent="0.25">
      <c r="A3945" t="s">
        <v>67</v>
      </c>
      <c r="B3945" s="48">
        <v>47274</v>
      </c>
      <c r="C3945" t="s">
        <v>51</v>
      </c>
      <c r="D3945" t="str">
        <f>IF(COUNTIFS(Verweise!$A$2:$A$4542,Übersicht!$C$7,Verweise!$B$2:$B$4542,B3945)=1,"Feiertag",IF(C3945="Samstag","",IF(C3945="Sonntag","",Übersicht!$C$8)))</f>
        <v>Feiertag</v>
      </c>
    </row>
    <row r="3946" spans="1:4" x14ac:dyDescent="0.25">
      <c r="A3946" t="s">
        <v>67</v>
      </c>
      <c r="B3946" s="48">
        <v>47393</v>
      </c>
      <c r="C3946" t="s">
        <v>53</v>
      </c>
      <c r="D3946" t="str">
        <f>IF(COUNTIFS(Verweise!$A$2:$A$4542,Übersicht!$C$7,Verweise!$B$2:$B$4542,B3946)=1,"Feiertag",IF(C3946="Samstag","",IF(C3946="Sonntag","",Übersicht!$C$8)))</f>
        <v>Feiertag</v>
      </c>
    </row>
    <row r="3947" spans="1:4" x14ac:dyDescent="0.25">
      <c r="A3947" t="s">
        <v>67</v>
      </c>
      <c r="B3947" s="48">
        <v>47476</v>
      </c>
      <c r="C3947" t="s">
        <v>55</v>
      </c>
      <c r="D3947" t="str">
        <f>IF(COUNTIFS(Verweise!$A$2:$A$4542,Übersicht!$C$7,Verweise!$B$2:$B$4542,B3947)=1,"Feiertag",IF(C3947="Samstag","",IF(C3947="Sonntag","",Übersicht!$C$8)))</f>
        <v>Feiertag</v>
      </c>
    </row>
    <row r="3948" spans="1:4" x14ac:dyDescent="0.25">
      <c r="A3948" t="s">
        <v>67</v>
      </c>
      <c r="B3948" s="48">
        <v>47477</v>
      </c>
      <c r="C3948" t="s">
        <v>56</v>
      </c>
      <c r="D3948" t="str">
        <f>IF(COUNTIFS(Verweise!$A$2:$A$4542,Übersicht!$C$7,Verweise!$B$2:$B$4542,B3948)=1,"Feiertag",IF(C3948="Samstag","",IF(C3948="Sonntag","",Übersicht!$C$8)))</f>
        <v>Feiertag</v>
      </c>
    </row>
    <row r="3949" spans="1:4" x14ac:dyDescent="0.25">
      <c r="A3949" t="s">
        <v>68</v>
      </c>
      <c r="B3949" s="48">
        <v>47118</v>
      </c>
      <c r="C3949" t="s">
        <v>43</v>
      </c>
      <c r="D3949" t="str">
        <f>IF(COUNTIFS(Verweise!$A$2:$A$4542,Übersicht!$C$7,Verweise!$B$2:$B$4542,B3949)=1,"Feiertag",IF(C3949="Samstag","",IF(C3949="Sonntag","",Übersicht!$C$8)))</f>
        <v>Feiertag</v>
      </c>
    </row>
    <row r="3950" spans="1:4" x14ac:dyDescent="0.25">
      <c r="A3950" t="s">
        <v>68</v>
      </c>
      <c r="B3950" s="48">
        <v>47222</v>
      </c>
      <c r="C3950" t="s">
        <v>45</v>
      </c>
      <c r="D3950" t="str">
        <f>IF(COUNTIFS(Verweise!$A$2:$A$4542,Übersicht!$C$7,Verweise!$B$2:$B$4542,B3950)=1,"Feiertag",IF(C3950="Samstag","",IF(C3950="Sonntag","",Übersicht!$C$8)))</f>
        <v>Feiertag</v>
      </c>
    </row>
    <row r="3951" spans="1:4" x14ac:dyDescent="0.25">
      <c r="A3951" t="s">
        <v>68</v>
      </c>
      <c r="B3951" s="48">
        <v>47224</v>
      </c>
      <c r="C3951" t="s">
        <v>46</v>
      </c>
      <c r="D3951" t="str">
        <f>IF(COUNTIFS(Verweise!$A$2:$A$4542,Übersicht!$C$7,Verweise!$B$2:$B$4542,B3951)=1,"Feiertag",IF(C3951="Samstag","",IF(C3951="Sonntag","",Übersicht!$C$8)))</f>
        <v>Feiertag</v>
      </c>
    </row>
    <row r="3952" spans="1:4" x14ac:dyDescent="0.25">
      <c r="A3952" t="s">
        <v>68</v>
      </c>
      <c r="B3952" s="48">
        <v>47225</v>
      </c>
      <c r="C3952" t="s">
        <v>47</v>
      </c>
      <c r="D3952" t="str">
        <f>IF(COUNTIFS(Verweise!$A$2:$A$4542,Übersicht!$C$7,Verweise!$B$2:$B$4542,B3952)=1,"Feiertag",IF(C3952="Samstag","",IF(C3952="Sonntag","",Übersicht!$C$8)))</f>
        <v>Feiertag</v>
      </c>
    </row>
    <row r="3953" spans="1:4" x14ac:dyDescent="0.25">
      <c r="A3953" t="s">
        <v>68</v>
      </c>
      <c r="B3953" s="48">
        <v>47238</v>
      </c>
      <c r="C3953" t="s">
        <v>48</v>
      </c>
      <c r="D3953" t="str">
        <f>IF(COUNTIFS(Verweise!$A$2:$A$4542,Übersicht!$C$7,Verweise!$B$2:$B$4542,B3953)=1,"Feiertag",IF(C3953="Samstag","",IF(C3953="Sonntag","",Übersicht!$C$8)))</f>
        <v>Feiertag</v>
      </c>
    </row>
    <row r="3954" spans="1:4" x14ac:dyDescent="0.25">
      <c r="A3954" t="s">
        <v>68</v>
      </c>
      <c r="B3954" s="48">
        <v>47263</v>
      </c>
      <c r="C3954" t="s">
        <v>49</v>
      </c>
      <c r="D3954" t="str">
        <f>IF(COUNTIFS(Verweise!$A$2:$A$4542,Übersicht!$C$7,Verweise!$B$2:$B$4542,B3954)=1,"Feiertag",IF(C3954="Samstag","",IF(C3954="Sonntag","",Übersicht!$C$8)))</f>
        <v>Feiertag</v>
      </c>
    </row>
    <row r="3955" spans="1:4" x14ac:dyDescent="0.25">
      <c r="A3955" t="s">
        <v>68</v>
      </c>
      <c r="B3955" s="48">
        <v>47273</v>
      </c>
      <c r="C3955" t="s">
        <v>50</v>
      </c>
      <c r="D3955" t="str">
        <f>IF(COUNTIFS(Verweise!$A$2:$A$4542,Übersicht!$C$7,Verweise!$B$2:$B$4542,B3955)=1,"Feiertag",IF(C3955="Samstag","",IF(C3955="Sonntag","",Übersicht!$C$8)))</f>
        <v>Feiertag</v>
      </c>
    </row>
    <row r="3956" spans="1:4" x14ac:dyDescent="0.25">
      <c r="A3956" t="s">
        <v>68</v>
      </c>
      <c r="B3956" s="48">
        <v>47274</v>
      </c>
      <c r="C3956" t="s">
        <v>51</v>
      </c>
      <c r="D3956" t="str">
        <f>IF(COUNTIFS(Verweise!$A$2:$A$4542,Übersicht!$C$7,Verweise!$B$2:$B$4542,B3956)=1,"Feiertag",IF(C3956="Samstag","",IF(C3956="Sonntag","",Übersicht!$C$8)))</f>
        <v>Feiertag</v>
      </c>
    </row>
    <row r="3957" spans="1:4" x14ac:dyDescent="0.25">
      <c r="A3957" t="s">
        <v>68</v>
      </c>
      <c r="B3957" s="48">
        <v>47284</v>
      </c>
      <c r="C3957" t="s">
        <v>52</v>
      </c>
      <c r="D3957" t="str">
        <f>IF(COUNTIFS(Verweise!$A$2:$A$4542,Übersicht!$C$7,Verweise!$B$2:$B$4542,B3957)=1,"Feiertag",IF(C3957="Samstag","",IF(C3957="Sonntag","",Übersicht!$C$8)))</f>
        <v>Feiertag</v>
      </c>
    </row>
    <row r="3958" spans="1:4" x14ac:dyDescent="0.25">
      <c r="A3958" t="s">
        <v>68</v>
      </c>
      <c r="B3958" s="48">
        <v>47393</v>
      </c>
      <c r="C3958" t="s">
        <v>53</v>
      </c>
      <c r="D3958" t="str">
        <f>IF(COUNTIFS(Verweise!$A$2:$A$4542,Übersicht!$C$7,Verweise!$B$2:$B$4542,B3958)=1,"Feiertag",IF(C3958="Samstag","",IF(C3958="Sonntag","",Übersicht!$C$8)))</f>
        <v>Feiertag</v>
      </c>
    </row>
    <row r="3959" spans="1:4" x14ac:dyDescent="0.25">
      <c r="A3959" t="s">
        <v>68</v>
      </c>
      <c r="B3959" s="48">
        <v>47422</v>
      </c>
      <c r="C3959" t="s">
        <v>54</v>
      </c>
      <c r="D3959" t="str">
        <f>IF(COUNTIFS(Verweise!$A$2:$A$4542,Übersicht!$C$7,Verweise!$B$2:$B$4542,B3959)=1,"Feiertag",IF(C3959="Samstag","",IF(C3959="Sonntag","",Übersicht!$C$8)))</f>
        <v>Feiertag</v>
      </c>
    </row>
    <row r="3960" spans="1:4" x14ac:dyDescent="0.25">
      <c r="A3960" t="s">
        <v>68</v>
      </c>
      <c r="B3960" s="48">
        <v>47476</v>
      </c>
      <c r="C3960" t="s">
        <v>55</v>
      </c>
      <c r="D3960" t="str">
        <f>IF(COUNTIFS(Verweise!$A$2:$A$4542,Übersicht!$C$7,Verweise!$B$2:$B$4542,B3960)=1,"Feiertag",IF(C3960="Samstag","",IF(C3960="Sonntag","",Übersicht!$C$8)))</f>
        <v>Feiertag</v>
      </c>
    </row>
    <row r="3961" spans="1:4" x14ac:dyDescent="0.25">
      <c r="A3961" t="s">
        <v>68</v>
      </c>
      <c r="B3961" s="48">
        <v>47477</v>
      </c>
      <c r="C3961" t="s">
        <v>56</v>
      </c>
      <c r="D3961" t="str">
        <f>IF(COUNTIFS(Verweise!$A$2:$A$4542,Übersicht!$C$7,Verweise!$B$2:$B$4542,B3961)=1,"Feiertag",IF(C3961="Samstag","",IF(C3961="Sonntag","",Übersicht!$C$8)))</f>
        <v>Feiertag</v>
      </c>
    </row>
    <row r="3962" spans="1:4" x14ac:dyDescent="0.25">
      <c r="A3962" t="s">
        <v>69</v>
      </c>
      <c r="B3962" s="48">
        <v>47118</v>
      </c>
      <c r="C3962" t="s">
        <v>43</v>
      </c>
      <c r="D3962" t="str">
        <f>IF(COUNTIFS(Verweise!$A$2:$A$4542,Übersicht!$C$7,Verweise!$B$2:$B$4542,B3962)=1,"Feiertag",IF(C3962="Samstag","",IF(C3962="Sonntag","",Übersicht!$C$8)))</f>
        <v>Feiertag</v>
      </c>
    </row>
    <row r="3963" spans="1:4" x14ac:dyDescent="0.25">
      <c r="A3963" t="s">
        <v>69</v>
      </c>
      <c r="B3963" s="48">
        <v>47222</v>
      </c>
      <c r="C3963" t="s">
        <v>45</v>
      </c>
      <c r="D3963" t="str">
        <f>IF(COUNTIFS(Verweise!$A$2:$A$4542,Übersicht!$C$7,Verweise!$B$2:$B$4542,B3963)=1,"Feiertag",IF(C3963="Samstag","",IF(C3963="Sonntag","",Übersicht!$C$8)))</f>
        <v>Feiertag</v>
      </c>
    </row>
    <row r="3964" spans="1:4" x14ac:dyDescent="0.25">
      <c r="A3964" t="s">
        <v>69</v>
      </c>
      <c r="B3964" s="48">
        <v>47224</v>
      </c>
      <c r="C3964" t="s">
        <v>46</v>
      </c>
      <c r="D3964" t="str">
        <f>IF(COUNTIFS(Verweise!$A$2:$A$4542,Übersicht!$C$7,Verweise!$B$2:$B$4542,B3964)=1,"Feiertag",IF(C3964="Samstag","",IF(C3964="Sonntag","",Übersicht!$C$8)))</f>
        <v>Feiertag</v>
      </c>
    </row>
    <row r="3965" spans="1:4" x14ac:dyDescent="0.25">
      <c r="A3965" t="s">
        <v>69</v>
      </c>
      <c r="B3965" s="48">
        <v>47225</v>
      </c>
      <c r="C3965" t="s">
        <v>47</v>
      </c>
      <c r="D3965" t="str">
        <f>IF(COUNTIFS(Verweise!$A$2:$A$4542,Übersicht!$C$7,Verweise!$B$2:$B$4542,B3965)=1,"Feiertag",IF(C3965="Samstag","",IF(C3965="Sonntag","",Übersicht!$C$8)))</f>
        <v>Feiertag</v>
      </c>
    </row>
    <row r="3966" spans="1:4" x14ac:dyDescent="0.25">
      <c r="A3966" t="s">
        <v>69</v>
      </c>
      <c r="B3966" s="48">
        <v>47238</v>
      </c>
      <c r="C3966" t="s">
        <v>48</v>
      </c>
      <c r="D3966" t="str">
        <f>IF(COUNTIFS(Verweise!$A$2:$A$4542,Übersicht!$C$7,Verweise!$B$2:$B$4542,B3966)=1,"Feiertag",IF(C3966="Samstag","",IF(C3966="Sonntag","",Übersicht!$C$8)))</f>
        <v>Feiertag</v>
      </c>
    </row>
    <row r="3967" spans="1:4" x14ac:dyDescent="0.25">
      <c r="A3967" t="s">
        <v>69</v>
      </c>
      <c r="B3967" s="48">
        <v>47263</v>
      </c>
      <c r="C3967" t="s">
        <v>49</v>
      </c>
      <c r="D3967" t="str">
        <f>IF(COUNTIFS(Verweise!$A$2:$A$4542,Übersicht!$C$7,Verweise!$B$2:$B$4542,B3967)=1,"Feiertag",IF(C3967="Samstag","",IF(C3967="Sonntag","",Übersicht!$C$8)))</f>
        <v>Feiertag</v>
      </c>
    </row>
    <row r="3968" spans="1:4" x14ac:dyDescent="0.25">
      <c r="A3968" t="s">
        <v>69</v>
      </c>
      <c r="B3968" s="48">
        <v>47273</v>
      </c>
      <c r="C3968" t="s">
        <v>50</v>
      </c>
      <c r="D3968" t="str">
        <f>IF(COUNTIFS(Verweise!$A$2:$A$4542,Übersicht!$C$7,Verweise!$B$2:$B$4542,B3968)=1,"Feiertag",IF(C3968="Samstag","",IF(C3968="Sonntag","",Übersicht!$C$8)))</f>
        <v>Feiertag</v>
      </c>
    </row>
    <row r="3969" spans="1:4" x14ac:dyDescent="0.25">
      <c r="A3969" t="s">
        <v>69</v>
      </c>
      <c r="B3969" s="48">
        <v>47274</v>
      </c>
      <c r="C3969" t="s">
        <v>51</v>
      </c>
      <c r="D3969" t="str">
        <f>IF(COUNTIFS(Verweise!$A$2:$A$4542,Übersicht!$C$7,Verweise!$B$2:$B$4542,B3969)=1,"Feiertag",IF(C3969="Samstag","",IF(C3969="Sonntag","",Übersicht!$C$8)))</f>
        <v>Feiertag</v>
      </c>
    </row>
    <row r="3970" spans="1:4" x14ac:dyDescent="0.25">
      <c r="A3970" t="s">
        <v>69</v>
      </c>
      <c r="B3970" s="48">
        <v>47284</v>
      </c>
      <c r="C3970" t="s">
        <v>52</v>
      </c>
      <c r="D3970" t="str">
        <f>IF(COUNTIFS(Verweise!$A$2:$A$4542,Übersicht!$C$7,Verweise!$B$2:$B$4542,B3970)=1,"Feiertag",IF(C3970="Samstag","",IF(C3970="Sonntag","",Übersicht!$C$8)))</f>
        <v>Feiertag</v>
      </c>
    </row>
    <row r="3971" spans="1:4" x14ac:dyDescent="0.25">
      <c r="A3971" t="s">
        <v>69</v>
      </c>
      <c r="B3971" s="48">
        <v>47393</v>
      </c>
      <c r="C3971" t="s">
        <v>53</v>
      </c>
      <c r="D3971" t="str">
        <f>IF(COUNTIFS(Verweise!$A$2:$A$4542,Übersicht!$C$7,Verweise!$B$2:$B$4542,B3971)=1,"Feiertag",IF(C3971="Samstag","",IF(C3971="Sonntag","",Übersicht!$C$8)))</f>
        <v>Feiertag</v>
      </c>
    </row>
    <row r="3972" spans="1:4" x14ac:dyDescent="0.25">
      <c r="A3972" t="s">
        <v>69</v>
      </c>
      <c r="B3972" s="48">
        <v>47422</v>
      </c>
      <c r="C3972" t="s">
        <v>54</v>
      </c>
      <c r="D3972" t="str">
        <f>IF(COUNTIFS(Verweise!$A$2:$A$4542,Übersicht!$C$7,Verweise!$B$2:$B$4542,B3972)=1,"Feiertag",IF(C3972="Samstag","",IF(C3972="Sonntag","",Übersicht!$C$8)))</f>
        <v>Feiertag</v>
      </c>
    </row>
    <row r="3973" spans="1:4" x14ac:dyDescent="0.25">
      <c r="A3973" t="s">
        <v>69</v>
      </c>
      <c r="B3973" s="48">
        <v>47476</v>
      </c>
      <c r="C3973" t="s">
        <v>55</v>
      </c>
      <c r="D3973" t="str">
        <f>IF(COUNTIFS(Verweise!$A$2:$A$4542,Übersicht!$C$7,Verweise!$B$2:$B$4542,B3973)=1,"Feiertag",IF(C3973="Samstag","",IF(C3973="Sonntag","",Übersicht!$C$8)))</f>
        <v>Feiertag</v>
      </c>
    </row>
    <row r="3974" spans="1:4" x14ac:dyDescent="0.25">
      <c r="A3974" t="s">
        <v>69</v>
      </c>
      <c r="B3974" s="48">
        <v>47477</v>
      </c>
      <c r="C3974" t="s">
        <v>56</v>
      </c>
      <c r="D3974" t="str">
        <f>IF(COUNTIFS(Verweise!$A$2:$A$4542,Übersicht!$C$7,Verweise!$B$2:$B$4542,B3974)=1,"Feiertag",IF(C3974="Samstag","",IF(C3974="Sonntag","",Übersicht!$C$8)))</f>
        <v>Feiertag</v>
      </c>
    </row>
    <row r="3975" spans="1:4" x14ac:dyDescent="0.25">
      <c r="A3975" t="s">
        <v>70</v>
      </c>
      <c r="B3975" s="48">
        <v>47118</v>
      </c>
      <c r="C3975" t="s">
        <v>43</v>
      </c>
      <c r="D3975" t="str">
        <f>IF(COUNTIFS(Verweise!$A$2:$A$4542,Übersicht!$C$7,Verweise!$B$2:$B$4542,B3975)=1,"Feiertag",IF(C3975="Samstag","",IF(C3975="Sonntag","",Übersicht!$C$8)))</f>
        <v>Feiertag</v>
      </c>
    </row>
    <row r="3976" spans="1:4" x14ac:dyDescent="0.25">
      <c r="A3976" t="s">
        <v>70</v>
      </c>
      <c r="B3976" s="48">
        <v>47222</v>
      </c>
      <c r="C3976" t="s">
        <v>45</v>
      </c>
      <c r="D3976" t="str">
        <f>IF(COUNTIFS(Verweise!$A$2:$A$4542,Übersicht!$C$7,Verweise!$B$2:$B$4542,B3976)=1,"Feiertag",IF(C3976="Samstag","",IF(C3976="Sonntag","",Übersicht!$C$8)))</f>
        <v>Feiertag</v>
      </c>
    </row>
    <row r="3977" spans="1:4" x14ac:dyDescent="0.25">
      <c r="A3977" t="s">
        <v>70</v>
      </c>
      <c r="B3977" s="48">
        <v>47224</v>
      </c>
      <c r="C3977" t="s">
        <v>46</v>
      </c>
      <c r="D3977" t="str">
        <f>IF(COUNTIFS(Verweise!$A$2:$A$4542,Übersicht!$C$7,Verweise!$B$2:$B$4542,B3977)=1,"Feiertag",IF(C3977="Samstag","",IF(C3977="Sonntag","",Übersicht!$C$8)))</f>
        <v>Feiertag</v>
      </c>
    </row>
    <row r="3978" spans="1:4" x14ac:dyDescent="0.25">
      <c r="A3978" t="s">
        <v>70</v>
      </c>
      <c r="B3978" s="48">
        <v>47225</v>
      </c>
      <c r="C3978" t="s">
        <v>47</v>
      </c>
      <c r="D3978" t="str">
        <f>IF(COUNTIFS(Verweise!$A$2:$A$4542,Übersicht!$C$7,Verweise!$B$2:$B$4542,B3978)=1,"Feiertag",IF(C3978="Samstag","",IF(C3978="Sonntag","",Übersicht!$C$8)))</f>
        <v>Feiertag</v>
      </c>
    </row>
    <row r="3979" spans="1:4" x14ac:dyDescent="0.25">
      <c r="A3979" t="s">
        <v>70</v>
      </c>
      <c r="B3979" s="48">
        <v>47238</v>
      </c>
      <c r="C3979" t="s">
        <v>48</v>
      </c>
      <c r="D3979" t="str">
        <f>IF(COUNTIFS(Verweise!$A$2:$A$4542,Übersicht!$C$7,Verweise!$B$2:$B$4542,B3979)=1,"Feiertag",IF(C3979="Samstag","",IF(C3979="Sonntag","",Übersicht!$C$8)))</f>
        <v>Feiertag</v>
      </c>
    </row>
    <row r="3980" spans="1:4" x14ac:dyDescent="0.25">
      <c r="A3980" t="s">
        <v>70</v>
      </c>
      <c r="B3980" s="48">
        <v>47263</v>
      </c>
      <c r="C3980" t="s">
        <v>49</v>
      </c>
      <c r="D3980" t="str">
        <f>IF(COUNTIFS(Verweise!$A$2:$A$4542,Übersicht!$C$7,Verweise!$B$2:$B$4542,B3980)=1,"Feiertag",IF(C3980="Samstag","",IF(C3980="Sonntag","",Übersicht!$C$8)))</f>
        <v>Feiertag</v>
      </c>
    </row>
    <row r="3981" spans="1:4" x14ac:dyDescent="0.25">
      <c r="A3981" t="s">
        <v>70</v>
      </c>
      <c r="B3981" s="48">
        <v>47273</v>
      </c>
      <c r="C3981" t="s">
        <v>50</v>
      </c>
      <c r="D3981" t="str">
        <f>IF(COUNTIFS(Verweise!$A$2:$A$4542,Übersicht!$C$7,Verweise!$B$2:$B$4542,B3981)=1,"Feiertag",IF(C3981="Samstag","",IF(C3981="Sonntag","",Übersicht!$C$8)))</f>
        <v>Feiertag</v>
      </c>
    </row>
    <row r="3982" spans="1:4" x14ac:dyDescent="0.25">
      <c r="A3982" t="s">
        <v>70</v>
      </c>
      <c r="B3982" s="48">
        <v>47274</v>
      </c>
      <c r="C3982" t="s">
        <v>51</v>
      </c>
      <c r="D3982" t="str">
        <f>IF(COUNTIFS(Verweise!$A$2:$A$4542,Übersicht!$C$7,Verweise!$B$2:$B$4542,B3982)=1,"Feiertag",IF(C3982="Samstag","",IF(C3982="Sonntag","",Übersicht!$C$8)))</f>
        <v>Feiertag</v>
      </c>
    </row>
    <row r="3983" spans="1:4" x14ac:dyDescent="0.25">
      <c r="A3983" t="s">
        <v>70</v>
      </c>
      <c r="B3983" s="48">
        <v>47284</v>
      </c>
      <c r="C3983" t="s">
        <v>52</v>
      </c>
      <c r="D3983" t="str">
        <f>IF(COUNTIFS(Verweise!$A$2:$A$4542,Übersicht!$C$7,Verweise!$B$2:$B$4542,B3983)=1,"Feiertag",IF(C3983="Samstag","",IF(C3983="Sonntag","",Übersicht!$C$8)))</f>
        <v>Feiertag</v>
      </c>
    </row>
    <row r="3984" spans="1:4" x14ac:dyDescent="0.25">
      <c r="A3984" t="s">
        <v>70</v>
      </c>
      <c r="B3984" s="48">
        <v>47344</v>
      </c>
      <c r="C3984" t="s">
        <v>59</v>
      </c>
      <c r="D3984" t="str">
        <f>IF(COUNTIFS(Verweise!$A$2:$A$4542,Übersicht!$C$7,Verweise!$B$2:$B$4542,B3984)=1,"Feiertag",IF(C3984="Samstag","",IF(C3984="Sonntag","",Übersicht!$C$8)))</f>
        <v>Büro</v>
      </c>
    </row>
    <row r="3985" spans="1:4" x14ac:dyDescent="0.25">
      <c r="A3985" t="s">
        <v>70</v>
      </c>
      <c r="B3985" s="48">
        <v>47393</v>
      </c>
      <c r="C3985" t="s">
        <v>53</v>
      </c>
      <c r="D3985" t="str">
        <f>IF(COUNTIFS(Verweise!$A$2:$A$4542,Übersicht!$C$7,Verweise!$B$2:$B$4542,B3985)=1,"Feiertag",IF(C3985="Samstag","",IF(C3985="Sonntag","",Übersicht!$C$8)))</f>
        <v>Feiertag</v>
      </c>
    </row>
    <row r="3986" spans="1:4" x14ac:dyDescent="0.25">
      <c r="A3986" t="s">
        <v>70</v>
      </c>
      <c r="B3986" s="48">
        <v>47422</v>
      </c>
      <c r="C3986" t="s">
        <v>54</v>
      </c>
      <c r="D3986" t="str">
        <f>IF(COUNTIFS(Verweise!$A$2:$A$4542,Übersicht!$C$7,Verweise!$B$2:$B$4542,B3986)=1,"Feiertag",IF(C3986="Samstag","",IF(C3986="Sonntag","",Übersicht!$C$8)))</f>
        <v>Feiertag</v>
      </c>
    </row>
    <row r="3987" spans="1:4" x14ac:dyDescent="0.25">
      <c r="A3987" t="s">
        <v>70</v>
      </c>
      <c r="B3987" s="48">
        <v>47476</v>
      </c>
      <c r="C3987" t="s">
        <v>55</v>
      </c>
      <c r="D3987" t="str">
        <f>IF(COUNTIFS(Verweise!$A$2:$A$4542,Übersicht!$C$7,Verweise!$B$2:$B$4542,B3987)=1,"Feiertag",IF(C3987="Samstag","",IF(C3987="Sonntag","",Übersicht!$C$8)))</f>
        <v>Feiertag</v>
      </c>
    </row>
    <row r="3988" spans="1:4" x14ac:dyDescent="0.25">
      <c r="A3988" t="s">
        <v>70</v>
      </c>
      <c r="B3988" s="48">
        <v>47477</v>
      </c>
      <c r="C3988" t="s">
        <v>56</v>
      </c>
      <c r="D3988" t="str">
        <f>IF(COUNTIFS(Verweise!$A$2:$A$4542,Übersicht!$C$7,Verweise!$B$2:$B$4542,B3988)=1,"Feiertag",IF(C3988="Samstag","",IF(C3988="Sonntag","",Übersicht!$C$8)))</f>
        <v>Feiertag</v>
      </c>
    </row>
    <row r="3989" spans="1:4" x14ac:dyDescent="0.25">
      <c r="A3989" t="s">
        <v>71</v>
      </c>
      <c r="B3989" s="48">
        <v>47118</v>
      </c>
      <c r="C3989" t="s">
        <v>43</v>
      </c>
      <c r="D3989" t="str">
        <f>IF(COUNTIFS(Verweise!$A$2:$A$4542,Übersicht!$C$7,Verweise!$B$2:$B$4542,B3989)=1,"Feiertag",IF(C3989="Samstag","",IF(C3989="Sonntag","",Übersicht!$C$8)))</f>
        <v>Feiertag</v>
      </c>
    </row>
    <row r="3990" spans="1:4" x14ac:dyDescent="0.25">
      <c r="A3990" t="s">
        <v>71</v>
      </c>
      <c r="B3990" s="48">
        <v>47222</v>
      </c>
      <c r="C3990" t="s">
        <v>45</v>
      </c>
      <c r="D3990" t="str">
        <f>IF(COUNTIFS(Verweise!$A$2:$A$4542,Übersicht!$C$7,Verweise!$B$2:$B$4542,B3990)=1,"Feiertag",IF(C3990="Samstag","",IF(C3990="Sonntag","",Übersicht!$C$8)))</f>
        <v>Feiertag</v>
      </c>
    </row>
    <row r="3991" spans="1:4" x14ac:dyDescent="0.25">
      <c r="A3991" t="s">
        <v>71</v>
      </c>
      <c r="B3991" s="48">
        <v>47224</v>
      </c>
      <c r="C3991" t="s">
        <v>46</v>
      </c>
      <c r="D3991" t="str">
        <f>IF(COUNTIFS(Verweise!$A$2:$A$4542,Übersicht!$C$7,Verweise!$B$2:$B$4542,B3991)=1,"Feiertag",IF(C3991="Samstag","",IF(C3991="Sonntag","",Übersicht!$C$8)))</f>
        <v>Feiertag</v>
      </c>
    </row>
    <row r="3992" spans="1:4" x14ac:dyDescent="0.25">
      <c r="A3992" t="s">
        <v>71</v>
      </c>
      <c r="B3992" s="48">
        <v>47225</v>
      </c>
      <c r="C3992" t="s">
        <v>47</v>
      </c>
      <c r="D3992" t="str">
        <f>IF(COUNTIFS(Verweise!$A$2:$A$4542,Übersicht!$C$7,Verweise!$B$2:$B$4542,B3992)=1,"Feiertag",IF(C3992="Samstag","",IF(C3992="Sonntag","",Übersicht!$C$8)))</f>
        <v>Feiertag</v>
      </c>
    </row>
    <row r="3993" spans="1:4" x14ac:dyDescent="0.25">
      <c r="A3993" t="s">
        <v>71</v>
      </c>
      <c r="B3993" s="48">
        <v>47238</v>
      </c>
      <c r="C3993" t="s">
        <v>48</v>
      </c>
      <c r="D3993" t="str">
        <f>IF(COUNTIFS(Verweise!$A$2:$A$4542,Übersicht!$C$7,Verweise!$B$2:$B$4542,B3993)=1,"Feiertag",IF(C3993="Samstag","",IF(C3993="Sonntag","",Übersicht!$C$8)))</f>
        <v>Feiertag</v>
      </c>
    </row>
    <row r="3994" spans="1:4" x14ac:dyDescent="0.25">
      <c r="A3994" t="s">
        <v>71</v>
      </c>
      <c r="B3994" s="48">
        <v>47263</v>
      </c>
      <c r="C3994" t="s">
        <v>49</v>
      </c>
      <c r="D3994" t="str">
        <f>IF(COUNTIFS(Verweise!$A$2:$A$4542,Übersicht!$C$7,Verweise!$B$2:$B$4542,B3994)=1,"Feiertag",IF(C3994="Samstag","",IF(C3994="Sonntag","",Übersicht!$C$8)))</f>
        <v>Feiertag</v>
      </c>
    </row>
    <row r="3995" spans="1:4" x14ac:dyDescent="0.25">
      <c r="A3995" t="s">
        <v>71</v>
      </c>
      <c r="B3995" s="48">
        <v>47273</v>
      </c>
      <c r="C3995" t="s">
        <v>50</v>
      </c>
      <c r="D3995" t="str">
        <f>IF(COUNTIFS(Verweise!$A$2:$A$4542,Übersicht!$C$7,Verweise!$B$2:$B$4542,B3995)=1,"Feiertag",IF(C3995="Samstag","",IF(C3995="Sonntag","",Übersicht!$C$8)))</f>
        <v>Feiertag</v>
      </c>
    </row>
    <row r="3996" spans="1:4" x14ac:dyDescent="0.25">
      <c r="A3996" t="s">
        <v>71</v>
      </c>
      <c r="B3996" s="48">
        <v>47274</v>
      </c>
      <c r="C3996" t="s">
        <v>51</v>
      </c>
      <c r="D3996" t="str">
        <f>IF(COUNTIFS(Verweise!$A$2:$A$4542,Übersicht!$C$7,Verweise!$B$2:$B$4542,B3996)=1,"Feiertag",IF(C3996="Samstag","",IF(C3996="Sonntag","",Übersicht!$C$8)))</f>
        <v>Feiertag</v>
      </c>
    </row>
    <row r="3997" spans="1:4" x14ac:dyDescent="0.25">
      <c r="A3997" t="s">
        <v>71</v>
      </c>
      <c r="B3997" s="48">
        <v>47393</v>
      </c>
      <c r="C3997" t="s">
        <v>53</v>
      </c>
      <c r="D3997" t="str">
        <f>IF(COUNTIFS(Verweise!$A$2:$A$4542,Übersicht!$C$7,Verweise!$B$2:$B$4542,B3997)=1,"Feiertag",IF(C3997="Samstag","",IF(C3997="Sonntag","",Übersicht!$C$8)))</f>
        <v>Feiertag</v>
      </c>
    </row>
    <row r="3998" spans="1:4" x14ac:dyDescent="0.25">
      <c r="A3998" t="s">
        <v>71</v>
      </c>
      <c r="B3998" s="48">
        <v>47421</v>
      </c>
      <c r="C3998" t="s">
        <v>62</v>
      </c>
      <c r="D3998" t="str">
        <f>IF(COUNTIFS(Verweise!$A$2:$A$4542,Übersicht!$C$7,Verweise!$B$2:$B$4542,B3998)=1,"Feiertag",IF(C3998="Samstag","",IF(C3998="Sonntag","",Übersicht!$C$8)))</f>
        <v>Büro</v>
      </c>
    </row>
    <row r="3999" spans="1:4" x14ac:dyDescent="0.25">
      <c r="A3999" t="s">
        <v>71</v>
      </c>
      <c r="B3999" s="48">
        <v>47437</v>
      </c>
      <c r="C3999" t="s">
        <v>72</v>
      </c>
      <c r="D3999" t="str">
        <f>IF(COUNTIFS(Verweise!$A$2:$A$4542,Übersicht!$C$7,Verweise!$B$2:$B$4542,B3999)=1,"Feiertag",IF(C3999="Samstag","",IF(C3999="Sonntag","",Übersicht!$C$8)))</f>
        <v>Büro</v>
      </c>
    </row>
    <row r="4000" spans="1:4" x14ac:dyDescent="0.25">
      <c r="A4000" t="s">
        <v>71</v>
      </c>
      <c r="B4000" s="48">
        <v>47476</v>
      </c>
      <c r="C4000" t="s">
        <v>55</v>
      </c>
      <c r="D4000" t="str">
        <f>IF(COUNTIFS(Verweise!$A$2:$A$4542,Übersicht!$C$7,Verweise!$B$2:$B$4542,B4000)=1,"Feiertag",IF(C4000="Samstag","",IF(C4000="Sonntag","",Übersicht!$C$8)))</f>
        <v>Feiertag</v>
      </c>
    </row>
    <row r="4001" spans="1:4" x14ac:dyDescent="0.25">
      <c r="A4001" t="s">
        <v>71</v>
      </c>
      <c r="B4001" s="48">
        <v>47477</v>
      </c>
      <c r="C4001" t="s">
        <v>56</v>
      </c>
      <c r="D4001" t="str">
        <f>IF(COUNTIFS(Verweise!$A$2:$A$4542,Übersicht!$C$7,Verweise!$B$2:$B$4542,B4001)=1,"Feiertag",IF(C4001="Samstag","",IF(C4001="Sonntag","",Übersicht!$C$8)))</f>
        <v>Feiertag</v>
      </c>
    </row>
    <row r="4002" spans="1:4" x14ac:dyDescent="0.25">
      <c r="A4002" t="s">
        <v>73</v>
      </c>
      <c r="B4002" s="48">
        <v>47118</v>
      </c>
      <c r="C4002" t="s">
        <v>43</v>
      </c>
      <c r="D4002" t="str">
        <f>IF(COUNTIFS(Verweise!$A$2:$A$4542,Übersicht!$C$7,Verweise!$B$2:$B$4542,B4002)=1,"Feiertag",IF(C4002="Samstag","",IF(C4002="Sonntag","",Übersicht!$C$8)))</f>
        <v>Feiertag</v>
      </c>
    </row>
    <row r="4003" spans="1:4" x14ac:dyDescent="0.25">
      <c r="A4003" t="s">
        <v>73</v>
      </c>
      <c r="B4003" s="48">
        <v>47222</v>
      </c>
      <c r="C4003" t="s">
        <v>45</v>
      </c>
      <c r="D4003" t="str">
        <f>IF(COUNTIFS(Verweise!$A$2:$A$4542,Übersicht!$C$7,Verweise!$B$2:$B$4542,B4003)=1,"Feiertag",IF(C4003="Samstag","",IF(C4003="Sonntag","",Übersicht!$C$8)))</f>
        <v>Feiertag</v>
      </c>
    </row>
    <row r="4004" spans="1:4" x14ac:dyDescent="0.25">
      <c r="A4004" t="s">
        <v>73</v>
      </c>
      <c r="B4004" s="48">
        <v>47224</v>
      </c>
      <c r="C4004" t="s">
        <v>46</v>
      </c>
      <c r="D4004" t="str">
        <f>IF(COUNTIFS(Verweise!$A$2:$A$4542,Übersicht!$C$7,Verweise!$B$2:$B$4542,B4004)=1,"Feiertag",IF(C4004="Samstag","",IF(C4004="Sonntag","",Übersicht!$C$8)))</f>
        <v>Feiertag</v>
      </c>
    </row>
    <row r="4005" spans="1:4" x14ac:dyDescent="0.25">
      <c r="A4005" t="s">
        <v>73</v>
      </c>
      <c r="B4005" s="48">
        <v>47225</v>
      </c>
      <c r="C4005" t="s">
        <v>47</v>
      </c>
      <c r="D4005" t="str">
        <f>IF(COUNTIFS(Verweise!$A$2:$A$4542,Übersicht!$C$7,Verweise!$B$2:$B$4542,B4005)=1,"Feiertag",IF(C4005="Samstag","",IF(C4005="Sonntag","",Übersicht!$C$8)))</f>
        <v>Feiertag</v>
      </c>
    </row>
    <row r="4006" spans="1:4" x14ac:dyDescent="0.25">
      <c r="A4006" t="s">
        <v>73</v>
      </c>
      <c r="B4006" s="48">
        <v>47238</v>
      </c>
      <c r="C4006" t="s">
        <v>48</v>
      </c>
      <c r="D4006" t="str">
        <f>IF(COUNTIFS(Verweise!$A$2:$A$4542,Übersicht!$C$7,Verweise!$B$2:$B$4542,B4006)=1,"Feiertag",IF(C4006="Samstag","",IF(C4006="Sonntag","",Übersicht!$C$8)))</f>
        <v>Feiertag</v>
      </c>
    </row>
    <row r="4007" spans="1:4" x14ac:dyDescent="0.25">
      <c r="A4007" t="s">
        <v>73</v>
      </c>
      <c r="B4007" s="48">
        <v>47263</v>
      </c>
      <c r="C4007" t="s">
        <v>49</v>
      </c>
      <c r="D4007" t="str">
        <f>IF(COUNTIFS(Verweise!$A$2:$A$4542,Übersicht!$C$7,Verweise!$B$2:$B$4542,B4007)=1,"Feiertag",IF(C4007="Samstag","",IF(C4007="Sonntag","",Übersicht!$C$8)))</f>
        <v>Feiertag</v>
      </c>
    </row>
    <row r="4008" spans="1:4" x14ac:dyDescent="0.25">
      <c r="A4008" t="s">
        <v>73</v>
      </c>
      <c r="B4008" s="48">
        <v>47273</v>
      </c>
      <c r="C4008" t="s">
        <v>50</v>
      </c>
      <c r="D4008" t="str">
        <f>IF(COUNTIFS(Verweise!$A$2:$A$4542,Übersicht!$C$7,Verweise!$B$2:$B$4542,B4008)=1,"Feiertag",IF(C4008="Samstag","",IF(C4008="Sonntag","",Übersicht!$C$8)))</f>
        <v>Feiertag</v>
      </c>
    </row>
    <row r="4009" spans="1:4" x14ac:dyDescent="0.25">
      <c r="A4009" t="s">
        <v>73</v>
      </c>
      <c r="B4009" s="48">
        <v>47274</v>
      </c>
      <c r="C4009" t="s">
        <v>51</v>
      </c>
      <c r="D4009" t="str">
        <f>IF(COUNTIFS(Verweise!$A$2:$A$4542,Übersicht!$C$7,Verweise!$B$2:$B$4542,B4009)=1,"Feiertag",IF(C4009="Samstag","",IF(C4009="Sonntag","",Übersicht!$C$8)))</f>
        <v>Feiertag</v>
      </c>
    </row>
    <row r="4010" spans="1:4" x14ac:dyDescent="0.25">
      <c r="A4010" t="s">
        <v>73</v>
      </c>
      <c r="B4010" s="48">
        <v>47284</v>
      </c>
      <c r="C4010" t="s">
        <v>52</v>
      </c>
      <c r="D4010" t="str">
        <f>IF(COUNTIFS(Verweise!$A$2:$A$4542,Übersicht!$C$7,Verweise!$B$2:$B$4542,B4010)=1,"Feiertag",IF(C4010="Samstag","",IF(C4010="Sonntag","",Übersicht!$C$8)))</f>
        <v>Feiertag</v>
      </c>
    </row>
    <row r="4011" spans="1:4" x14ac:dyDescent="0.25">
      <c r="A4011" t="s">
        <v>73</v>
      </c>
      <c r="B4011" s="48">
        <v>47393</v>
      </c>
      <c r="C4011" t="s">
        <v>53</v>
      </c>
      <c r="D4011" t="str">
        <f>IF(COUNTIFS(Verweise!$A$2:$A$4542,Übersicht!$C$7,Verweise!$B$2:$B$4542,B4011)=1,"Feiertag",IF(C4011="Samstag","",IF(C4011="Sonntag","",Übersicht!$C$8)))</f>
        <v>Feiertag</v>
      </c>
    </row>
    <row r="4012" spans="1:4" x14ac:dyDescent="0.25">
      <c r="A4012" t="s">
        <v>73</v>
      </c>
      <c r="B4012" s="48">
        <v>47421</v>
      </c>
      <c r="C4012" t="s">
        <v>62</v>
      </c>
      <c r="D4012" t="str">
        <f>IF(COUNTIFS(Verweise!$A$2:$A$4542,Übersicht!$C$7,Verweise!$B$2:$B$4542,B4012)=1,"Feiertag",IF(C4012="Samstag","",IF(C4012="Sonntag","",Übersicht!$C$8)))</f>
        <v>Büro</v>
      </c>
    </row>
    <row r="4013" spans="1:4" x14ac:dyDescent="0.25">
      <c r="A4013" t="s">
        <v>73</v>
      </c>
      <c r="B4013" s="48">
        <v>47437</v>
      </c>
      <c r="C4013" t="s">
        <v>72</v>
      </c>
      <c r="D4013" t="str">
        <f>IF(COUNTIFS(Verweise!$A$2:$A$4542,Übersicht!$C$7,Verweise!$B$2:$B$4542,B4013)=1,"Feiertag",IF(C4013="Samstag","",IF(C4013="Sonntag","",Übersicht!$C$8)))</f>
        <v>Büro</v>
      </c>
    </row>
    <row r="4014" spans="1:4" x14ac:dyDescent="0.25">
      <c r="A4014" t="s">
        <v>73</v>
      </c>
      <c r="B4014" s="48">
        <v>47476</v>
      </c>
      <c r="C4014" t="s">
        <v>55</v>
      </c>
      <c r="D4014" t="str">
        <f>IF(COUNTIFS(Verweise!$A$2:$A$4542,Übersicht!$C$7,Verweise!$B$2:$B$4542,B4014)=1,"Feiertag",IF(C4014="Samstag","",IF(C4014="Sonntag","",Übersicht!$C$8)))</f>
        <v>Feiertag</v>
      </c>
    </row>
    <row r="4015" spans="1:4" x14ac:dyDescent="0.25">
      <c r="A4015" t="s">
        <v>73</v>
      </c>
      <c r="B4015" s="48">
        <v>47477</v>
      </c>
      <c r="C4015" t="s">
        <v>56</v>
      </c>
      <c r="D4015" t="str">
        <f>IF(COUNTIFS(Verweise!$A$2:$A$4542,Übersicht!$C$7,Verweise!$B$2:$B$4542,B4015)=1,"Feiertag",IF(C4015="Samstag","",IF(C4015="Sonntag","",Übersicht!$C$8)))</f>
        <v>Feiertag</v>
      </c>
    </row>
    <row r="4016" spans="1:4" x14ac:dyDescent="0.25">
      <c r="A4016" t="s">
        <v>74</v>
      </c>
      <c r="B4016" s="48">
        <v>47118</v>
      </c>
      <c r="C4016" t="s">
        <v>43</v>
      </c>
      <c r="D4016" t="str">
        <f>IF(COUNTIFS(Verweise!$A$2:$A$4542,Übersicht!$C$7,Verweise!$B$2:$B$4542,B4016)=1,"Feiertag",IF(C4016="Samstag","",IF(C4016="Sonntag","",Übersicht!$C$8)))</f>
        <v>Feiertag</v>
      </c>
    </row>
    <row r="4017" spans="1:4" x14ac:dyDescent="0.25">
      <c r="A4017" t="s">
        <v>74</v>
      </c>
      <c r="B4017" s="48">
        <v>47123</v>
      </c>
      <c r="C4017" t="s">
        <v>44</v>
      </c>
      <c r="D4017" t="str">
        <f>IF(COUNTIFS(Verweise!$A$2:$A$4542,Übersicht!$C$7,Verweise!$B$2:$B$4542,B4017)=1,"Feiertag",IF(C4017="Samstag","",IF(C4017="Sonntag","",Übersicht!$C$8)))</f>
        <v>Büro</v>
      </c>
    </row>
    <row r="4018" spans="1:4" x14ac:dyDescent="0.25">
      <c r="A4018" t="s">
        <v>74</v>
      </c>
      <c r="B4018" s="48">
        <v>47222</v>
      </c>
      <c r="C4018" t="s">
        <v>45</v>
      </c>
      <c r="D4018" t="str">
        <f>IF(COUNTIFS(Verweise!$A$2:$A$4542,Übersicht!$C$7,Verweise!$B$2:$B$4542,B4018)=1,"Feiertag",IF(C4018="Samstag","",IF(C4018="Sonntag","",Übersicht!$C$8)))</f>
        <v>Feiertag</v>
      </c>
    </row>
    <row r="4019" spans="1:4" x14ac:dyDescent="0.25">
      <c r="A4019" t="s">
        <v>74</v>
      </c>
      <c r="B4019" s="48">
        <v>47224</v>
      </c>
      <c r="C4019" t="s">
        <v>46</v>
      </c>
      <c r="D4019" t="str">
        <f>IF(COUNTIFS(Verweise!$A$2:$A$4542,Übersicht!$C$7,Verweise!$B$2:$B$4542,B4019)=1,"Feiertag",IF(C4019="Samstag","",IF(C4019="Sonntag","",Übersicht!$C$8)))</f>
        <v>Feiertag</v>
      </c>
    </row>
    <row r="4020" spans="1:4" x14ac:dyDescent="0.25">
      <c r="A4020" t="s">
        <v>74</v>
      </c>
      <c r="B4020" s="48">
        <v>47225</v>
      </c>
      <c r="C4020" t="s">
        <v>47</v>
      </c>
      <c r="D4020" t="str">
        <f>IF(COUNTIFS(Verweise!$A$2:$A$4542,Übersicht!$C$7,Verweise!$B$2:$B$4542,B4020)=1,"Feiertag",IF(C4020="Samstag","",IF(C4020="Sonntag","",Übersicht!$C$8)))</f>
        <v>Feiertag</v>
      </c>
    </row>
    <row r="4021" spans="1:4" x14ac:dyDescent="0.25">
      <c r="A4021" t="s">
        <v>74</v>
      </c>
      <c r="B4021" s="48">
        <v>47238</v>
      </c>
      <c r="C4021" t="s">
        <v>48</v>
      </c>
      <c r="D4021" t="str">
        <f>IF(COUNTIFS(Verweise!$A$2:$A$4542,Übersicht!$C$7,Verweise!$B$2:$B$4542,B4021)=1,"Feiertag",IF(C4021="Samstag","",IF(C4021="Sonntag","",Übersicht!$C$8)))</f>
        <v>Feiertag</v>
      </c>
    </row>
    <row r="4022" spans="1:4" x14ac:dyDescent="0.25">
      <c r="A4022" t="s">
        <v>74</v>
      </c>
      <c r="B4022" s="48">
        <v>47263</v>
      </c>
      <c r="C4022" t="s">
        <v>49</v>
      </c>
      <c r="D4022" t="str">
        <f>IF(COUNTIFS(Verweise!$A$2:$A$4542,Übersicht!$C$7,Verweise!$B$2:$B$4542,B4022)=1,"Feiertag",IF(C4022="Samstag","",IF(C4022="Sonntag","",Übersicht!$C$8)))</f>
        <v>Feiertag</v>
      </c>
    </row>
    <row r="4023" spans="1:4" x14ac:dyDescent="0.25">
      <c r="A4023" t="s">
        <v>74</v>
      </c>
      <c r="B4023" s="48">
        <v>47273</v>
      </c>
      <c r="C4023" t="s">
        <v>50</v>
      </c>
      <c r="D4023" t="str">
        <f>IF(COUNTIFS(Verweise!$A$2:$A$4542,Übersicht!$C$7,Verweise!$B$2:$B$4542,B4023)=1,"Feiertag",IF(C4023="Samstag","",IF(C4023="Sonntag","",Übersicht!$C$8)))</f>
        <v>Feiertag</v>
      </c>
    </row>
    <row r="4024" spans="1:4" x14ac:dyDescent="0.25">
      <c r="A4024" t="s">
        <v>74</v>
      </c>
      <c r="B4024" s="48">
        <v>47274</v>
      </c>
      <c r="C4024" t="s">
        <v>51</v>
      </c>
      <c r="D4024" t="str">
        <f>IF(COUNTIFS(Verweise!$A$2:$A$4542,Übersicht!$C$7,Verweise!$B$2:$B$4542,B4024)=1,"Feiertag",IF(C4024="Samstag","",IF(C4024="Sonntag","",Übersicht!$C$8)))</f>
        <v>Feiertag</v>
      </c>
    </row>
    <row r="4025" spans="1:4" x14ac:dyDescent="0.25">
      <c r="A4025" t="s">
        <v>74</v>
      </c>
      <c r="B4025" s="48">
        <v>47393</v>
      </c>
      <c r="C4025" t="s">
        <v>53</v>
      </c>
      <c r="D4025" t="str">
        <f>IF(COUNTIFS(Verweise!$A$2:$A$4542,Übersicht!$C$7,Verweise!$B$2:$B$4542,B4025)=1,"Feiertag",IF(C4025="Samstag","",IF(C4025="Sonntag","",Übersicht!$C$8)))</f>
        <v>Feiertag</v>
      </c>
    </row>
    <row r="4026" spans="1:4" x14ac:dyDescent="0.25">
      <c r="A4026" t="s">
        <v>74</v>
      </c>
      <c r="B4026" s="48">
        <v>47421</v>
      </c>
      <c r="C4026" t="s">
        <v>62</v>
      </c>
      <c r="D4026" t="str">
        <f>IF(COUNTIFS(Verweise!$A$2:$A$4542,Übersicht!$C$7,Verweise!$B$2:$B$4542,B4026)=1,"Feiertag",IF(C4026="Samstag","",IF(C4026="Sonntag","",Übersicht!$C$8)))</f>
        <v>Büro</v>
      </c>
    </row>
    <row r="4027" spans="1:4" x14ac:dyDescent="0.25">
      <c r="A4027" t="s">
        <v>74</v>
      </c>
      <c r="B4027" s="48">
        <v>47476</v>
      </c>
      <c r="C4027" t="s">
        <v>55</v>
      </c>
      <c r="D4027" t="str">
        <f>IF(COUNTIFS(Verweise!$A$2:$A$4542,Übersicht!$C$7,Verweise!$B$2:$B$4542,B4027)=1,"Feiertag",IF(C4027="Samstag","",IF(C4027="Sonntag","",Übersicht!$C$8)))</f>
        <v>Feiertag</v>
      </c>
    </row>
    <row r="4028" spans="1:4" x14ac:dyDescent="0.25">
      <c r="A4028" t="s">
        <v>74</v>
      </c>
      <c r="B4028" s="48">
        <v>47477</v>
      </c>
      <c r="C4028" t="s">
        <v>56</v>
      </c>
      <c r="D4028" t="str">
        <f>IF(COUNTIFS(Verweise!$A$2:$A$4542,Übersicht!$C$7,Verweise!$B$2:$B$4542,B4028)=1,"Feiertag",IF(C4028="Samstag","",IF(C4028="Sonntag","",Übersicht!$C$8)))</f>
        <v>Feiertag</v>
      </c>
    </row>
    <row r="4029" spans="1:4" x14ac:dyDescent="0.25">
      <c r="A4029" t="s">
        <v>75</v>
      </c>
      <c r="B4029" s="48">
        <v>47118</v>
      </c>
      <c r="C4029" t="s">
        <v>43</v>
      </c>
      <c r="D4029" t="str">
        <f>IF(COUNTIFS(Verweise!$A$2:$A$4542,Übersicht!$C$7,Verweise!$B$2:$B$4542,B4029)=1,"Feiertag",IF(C4029="Samstag","",IF(C4029="Sonntag","",Übersicht!$C$8)))</f>
        <v>Feiertag</v>
      </c>
    </row>
    <row r="4030" spans="1:4" x14ac:dyDescent="0.25">
      <c r="A4030" t="s">
        <v>75</v>
      </c>
      <c r="B4030" s="48">
        <v>47222</v>
      </c>
      <c r="C4030" t="s">
        <v>45</v>
      </c>
      <c r="D4030" t="str">
        <f>IF(COUNTIFS(Verweise!$A$2:$A$4542,Übersicht!$C$7,Verweise!$B$2:$B$4542,B4030)=1,"Feiertag",IF(C4030="Samstag","",IF(C4030="Sonntag","",Übersicht!$C$8)))</f>
        <v>Feiertag</v>
      </c>
    </row>
    <row r="4031" spans="1:4" x14ac:dyDescent="0.25">
      <c r="A4031" t="s">
        <v>75</v>
      </c>
      <c r="B4031" s="48">
        <v>47224</v>
      </c>
      <c r="C4031" t="s">
        <v>46</v>
      </c>
      <c r="D4031" t="str">
        <f>IF(COUNTIFS(Verweise!$A$2:$A$4542,Übersicht!$C$7,Verweise!$B$2:$B$4542,B4031)=1,"Feiertag",IF(C4031="Samstag","",IF(C4031="Sonntag","",Übersicht!$C$8)))</f>
        <v>Feiertag</v>
      </c>
    </row>
    <row r="4032" spans="1:4" x14ac:dyDescent="0.25">
      <c r="A4032" t="s">
        <v>75</v>
      </c>
      <c r="B4032" s="48">
        <v>47225</v>
      </c>
      <c r="C4032" t="s">
        <v>47</v>
      </c>
      <c r="D4032" t="str">
        <f>IF(COUNTIFS(Verweise!$A$2:$A$4542,Übersicht!$C$7,Verweise!$B$2:$B$4542,B4032)=1,"Feiertag",IF(C4032="Samstag","",IF(C4032="Sonntag","",Übersicht!$C$8)))</f>
        <v>Feiertag</v>
      </c>
    </row>
    <row r="4033" spans="1:4" x14ac:dyDescent="0.25">
      <c r="A4033" t="s">
        <v>75</v>
      </c>
      <c r="B4033" s="48">
        <v>47238</v>
      </c>
      <c r="C4033" t="s">
        <v>48</v>
      </c>
      <c r="D4033" t="str">
        <f>IF(COUNTIFS(Verweise!$A$2:$A$4542,Übersicht!$C$7,Verweise!$B$2:$B$4542,B4033)=1,"Feiertag",IF(C4033="Samstag","",IF(C4033="Sonntag","",Übersicht!$C$8)))</f>
        <v>Feiertag</v>
      </c>
    </row>
    <row r="4034" spans="1:4" x14ac:dyDescent="0.25">
      <c r="A4034" t="s">
        <v>75</v>
      </c>
      <c r="B4034" s="48">
        <v>47263</v>
      </c>
      <c r="C4034" t="s">
        <v>49</v>
      </c>
      <c r="D4034" t="str">
        <f>IF(COUNTIFS(Verweise!$A$2:$A$4542,Übersicht!$C$7,Verweise!$B$2:$B$4542,B4034)=1,"Feiertag",IF(C4034="Samstag","",IF(C4034="Sonntag","",Übersicht!$C$8)))</f>
        <v>Feiertag</v>
      </c>
    </row>
    <row r="4035" spans="1:4" x14ac:dyDescent="0.25">
      <c r="A4035" t="s">
        <v>75</v>
      </c>
      <c r="B4035" s="48">
        <v>47273</v>
      </c>
      <c r="C4035" t="s">
        <v>50</v>
      </c>
      <c r="D4035" t="str">
        <f>IF(COUNTIFS(Verweise!$A$2:$A$4542,Übersicht!$C$7,Verweise!$B$2:$B$4542,B4035)=1,"Feiertag",IF(C4035="Samstag","",IF(C4035="Sonntag","",Übersicht!$C$8)))</f>
        <v>Feiertag</v>
      </c>
    </row>
    <row r="4036" spans="1:4" x14ac:dyDescent="0.25">
      <c r="A4036" t="s">
        <v>75</v>
      </c>
      <c r="B4036" s="48">
        <v>47274</v>
      </c>
      <c r="C4036" t="s">
        <v>51</v>
      </c>
      <c r="D4036" t="str">
        <f>IF(COUNTIFS(Verweise!$A$2:$A$4542,Übersicht!$C$7,Verweise!$B$2:$B$4542,B4036)=1,"Feiertag",IF(C4036="Samstag","",IF(C4036="Sonntag","",Übersicht!$C$8)))</f>
        <v>Feiertag</v>
      </c>
    </row>
    <row r="4037" spans="1:4" x14ac:dyDescent="0.25">
      <c r="A4037" t="s">
        <v>75</v>
      </c>
      <c r="B4037" s="48">
        <v>47393</v>
      </c>
      <c r="C4037" t="s">
        <v>53</v>
      </c>
      <c r="D4037" t="str">
        <f>IF(COUNTIFS(Verweise!$A$2:$A$4542,Übersicht!$C$7,Verweise!$B$2:$B$4542,B4037)=1,"Feiertag",IF(C4037="Samstag","",IF(C4037="Sonntag","",Übersicht!$C$8)))</f>
        <v>Feiertag</v>
      </c>
    </row>
    <row r="4038" spans="1:4" x14ac:dyDescent="0.25">
      <c r="A4038" t="s">
        <v>75</v>
      </c>
      <c r="B4038" s="48">
        <v>47476</v>
      </c>
      <c r="C4038" t="s">
        <v>55</v>
      </c>
      <c r="D4038" t="str">
        <f>IF(COUNTIFS(Verweise!$A$2:$A$4542,Übersicht!$C$7,Verweise!$B$2:$B$4542,B4038)=1,"Feiertag",IF(C4038="Samstag","",IF(C4038="Sonntag","",Übersicht!$C$8)))</f>
        <v>Feiertag</v>
      </c>
    </row>
    <row r="4039" spans="1:4" x14ac:dyDescent="0.25">
      <c r="A4039" t="s">
        <v>75</v>
      </c>
      <c r="B4039" s="48">
        <v>47477</v>
      </c>
      <c r="C4039" t="s">
        <v>56</v>
      </c>
      <c r="D4039" t="str">
        <f>IF(COUNTIFS(Verweise!$A$2:$A$4542,Übersicht!$C$7,Verweise!$B$2:$B$4542,B4039)=1,"Feiertag",IF(C4039="Samstag","",IF(C4039="Sonntag","",Übersicht!$C$8)))</f>
        <v>Feiertag</v>
      </c>
    </row>
    <row r="4040" spans="1:4" x14ac:dyDescent="0.25">
      <c r="A4040" t="s">
        <v>76</v>
      </c>
      <c r="B4040" s="48">
        <v>47118</v>
      </c>
      <c r="C4040" t="s">
        <v>43</v>
      </c>
      <c r="D4040" t="str">
        <f>IF(COUNTIFS(Verweise!$A$2:$A$4542,Übersicht!$C$7,Verweise!$B$2:$B$4542,B4040)=1,"Feiertag",IF(C4040="Samstag","",IF(C4040="Sonntag","",Übersicht!$C$8)))</f>
        <v>Feiertag</v>
      </c>
    </row>
    <row r="4041" spans="1:4" x14ac:dyDescent="0.25">
      <c r="A4041" t="s">
        <v>76</v>
      </c>
      <c r="B4041" s="48">
        <v>47222</v>
      </c>
      <c r="C4041" t="s">
        <v>45</v>
      </c>
      <c r="D4041" t="str">
        <f>IF(COUNTIFS(Verweise!$A$2:$A$4542,Übersicht!$C$7,Verweise!$B$2:$B$4542,B4041)=1,"Feiertag",IF(C4041="Samstag","",IF(C4041="Sonntag","",Übersicht!$C$8)))</f>
        <v>Feiertag</v>
      </c>
    </row>
    <row r="4042" spans="1:4" x14ac:dyDescent="0.25">
      <c r="A4042" t="s">
        <v>76</v>
      </c>
      <c r="B4042" s="48">
        <v>47224</v>
      </c>
      <c r="C4042" t="s">
        <v>46</v>
      </c>
      <c r="D4042" t="str">
        <f>IF(COUNTIFS(Verweise!$A$2:$A$4542,Übersicht!$C$7,Verweise!$B$2:$B$4542,B4042)=1,"Feiertag",IF(C4042="Samstag","",IF(C4042="Sonntag","",Übersicht!$C$8)))</f>
        <v>Feiertag</v>
      </c>
    </row>
    <row r="4043" spans="1:4" x14ac:dyDescent="0.25">
      <c r="A4043" t="s">
        <v>76</v>
      </c>
      <c r="B4043" s="48">
        <v>47225</v>
      </c>
      <c r="C4043" t="s">
        <v>47</v>
      </c>
      <c r="D4043" t="str">
        <f>IF(COUNTIFS(Verweise!$A$2:$A$4542,Übersicht!$C$7,Verweise!$B$2:$B$4542,B4043)=1,"Feiertag",IF(C4043="Samstag","",IF(C4043="Sonntag","",Übersicht!$C$8)))</f>
        <v>Feiertag</v>
      </c>
    </row>
    <row r="4044" spans="1:4" x14ac:dyDescent="0.25">
      <c r="A4044" t="s">
        <v>76</v>
      </c>
      <c r="B4044" s="48">
        <v>47238</v>
      </c>
      <c r="C4044" t="s">
        <v>48</v>
      </c>
      <c r="D4044" t="str">
        <f>IF(COUNTIFS(Verweise!$A$2:$A$4542,Übersicht!$C$7,Verweise!$B$2:$B$4542,B4044)=1,"Feiertag",IF(C4044="Samstag","",IF(C4044="Sonntag","",Übersicht!$C$8)))</f>
        <v>Feiertag</v>
      </c>
    </row>
    <row r="4045" spans="1:4" x14ac:dyDescent="0.25">
      <c r="A4045" t="s">
        <v>76</v>
      </c>
      <c r="B4045" s="48">
        <v>47263</v>
      </c>
      <c r="C4045" t="s">
        <v>49</v>
      </c>
      <c r="D4045" t="str">
        <f>IF(COUNTIFS(Verweise!$A$2:$A$4542,Übersicht!$C$7,Verweise!$B$2:$B$4542,B4045)=1,"Feiertag",IF(C4045="Samstag","",IF(C4045="Sonntag","",Übersicht!$C$8)))</f>
        <v>Feiertag</v>
      </c>
    </row>
    <row r="4046" spans="1:4" x14ac:dyDescent="0.25">
      <c r="A4046" t="s">
        <v>76</v>
      </c>
      <c r="B4046" s="48">
        <v>47273</v>
      </c>
      <c r="C4046" t="s">
        <v>50</v>
      </c>
      <c r="D4046" t="str">
        <f>IF(COUNTIFS(Verweise!$A$2:$A$4542,Übersicht!$C$7,Verweise!$B$2:$B$4542,B4046)=1,"Feiertag",IF(C4046="Samstag","",IF(C4046="Sonntag","",Übersicht!$C$8)))</f>
        <v>Feiertag</v>
      </c>
    </row>
    <row r="4047" spans="1:4" x14ac:dyDescent="0.25">
      <c r="A4047" t="s">
        <v>76</v>
      </c>
      <c r="B4047" s="48">
        <v>47274</v>
      </c>
      <c r="C4047" t="s">
        <v>51</v>
      </c>
      <c r="D4047" t="str">
        <f>IF(COUNTIFS(Verweise!$A$2:$A$4542,Übersicht!$C$7,Verweise!$B$2:$B$4542,B4047)=1,"Feiertag",IF(C4047="Samstag","",IF(C4047="Sonntag","",Übersicht!$C$8)))</f>
        <v>Feiertag</v>
      </c>
    </row>
    <row r="4048" spans="1:4" x14ac:dyDescent="0.25">
      <c r="A4048" t="s">
        <v>76</v>
      </c>
      <c r="B4048" s="48">
        <v>47393</v>
      </c>
      <c r="C4048" t="s">
        <v>53</v>
      </c>
      <c r="D4048" t="str">
        <f>IF(COUNTIFS(Verweise!$A$2:$A$4542,Übersicht!$C$7,Verweise!$B$2:$B$4542,B4048)=1,"Feiertag",IF(C4048="Samstag","",IF(C4048="Sonntag","",Übersicht!$C$8)))</f>
        <v>Feiertag</v>
      </c>
    </row>
    <row r="4049" spans="1:4" x14ac:dyDescent="0.25">
      <c r="A4049" t="s">
        <v>76</v>
      </c>
      <c r="B4049" s="48">
        <v>47421</v>
      </c>
      <c r="C4049" t="s">
        <v>62</v>
      </c>
      <c r="D4049" t="str">
        <f>IF(COUNTIFS(Verweise!$A$2:$A$4542,Übersicht!$C$7,Verweise!$B$2:$B$4542,B4049)=1,"Feiertag",IF(C4049="Samstag","",IF(C4049="Sonntag","",Übersicht!$C$8)))</f>
        <v>Büro</v>
      </c>
    </row>
    <row r="4050" spans="1:4" x14ac:dyDescent="0.25">
      <c r="A4050" t="s">
        <v>76</v>
      </c>
      <c r="B4050" s="48">
        <v>47476</v>
      </c>
      <c r="C4050" t="s">
        <v>55</v>
      </c>
      <c r="D4050" t="str">
        <f>IF(COUNTIFS(Verweise!$A$2:$A$4542,Übersicht!$C$7,Verweise!$B$2:$B$4542,B4050)=1,"Feiertag",IF(C4050="Samstag","",IF(C4050="Sonntag","",Übersicht!$C$8)))</f>
        <v>Feiertag</v>
      </c>
    </row>
    <row r="4051" spans="1:4" x14ac:dyDescent="0.25">
      <c r="A4051" t="s">
        <v>76</v>
      </c>
      <c r="B4051" s="48">
        <v>47477</v>
      </c>
      <c r="C4051" t="s">
        <v>56</v>
      </c>
      <c r="D4051" t="str">
        <f>IF(COUNTIFS(Verweise!$A$2:$A$4542,Übersicht!$C$7,Verweise!$B$2:$B$4542,B4051)=1,"Feiertag",IF(C4051="Samstag","",IF(C4051="Sonntag","",Übersicht!$C$8)))</f>
        <v>Feiertag</v>
      </c>
    </row>
    <row r="4052" spans="1:4" x14ac:dyDescent="0.25">
      <c r="A4052" t="s">
        <v>77</v>
      </c>
      <c r="B4052" s="48">
        <v>47118</v>
      </c>
      <c r="C4052" t="s">
        <v>43</v>
      </c>
      <c r="D4052" t="str">
        <f>IF(COUNTIFS(Verweise!$A$2:$A$4542,Übersicht!$C$7,Verweise!$B$2:$B$4542,B4052)=1,"Feiertag",IF(C4052="Samstag","",IF(C4052="Sonntag","",Übersicht!$C$8)))</f>
        <v>Feiertag</v>
      </c>
    </row>
    <row r="4053" spans="1:4" x14ac:dyDescent="0.25">
      <c r="A4053" t="s">
        <v>77</v>
      </c>
      <c r="B4053" s="48">
        <v>47222</v>
      </c>
      <c r="C4053" t="s">
        <v>45</v>
      </c>
      <c r="D4053" t="str">
        <f>IF(COUNTIFS(Verweise!$A$2:$A$4542,Übersicht!$C$7,Verweise!$B$2:$B$4542,B4053)=1,"Feiertag",IF(C4053="Samstag","",IF(C4053="Sonntag","",Übersicht!$C$8)))</f>
        <v>Feiertag</v>
      </c>
    </row>
    <row r="4054" spans="1:4" x14ac:dyDescent="0.25">
      <c r="A4054" t="s">
        <v>77</v>
      </c>
      <c r="B4054" s="48">
        <v>47224</v>
      </c>
      <c r="C4054" t="s">
        <v>46</v>
      </c>
      <c r="D4054" t="str">
        <f>IF(COUNTIFS(Verweise!$A$2:$A$4542,Übersicht!$C$7,Verweise!$B$2:$B$4542,B4054)=1,"Feiertag",IF(C4054="Samstag","",IF(C4054="Sonntag","",Übersicht!$C$8)))</f>
        <v>Feiertag</v>
      </c>
    </row>
    <row r="4055" spans="1:4" x14ac:dyDescent="0.25">
      <c r="A4055" t="s">
        <v>77</v>
      </c>
      <c r="B4055" s="48">
        <v>47225</v>
      </c>
      <c r="C4055" t="s">
        <v>47</v>
      </c>
      <c r="D4055" t="str">
        <f>IF(COUNTIFS(Verweise!$A$2:$A$4542,Übersicht!$C$7,Verweise!$B$2:$B$4542,B4055)=1,"Feiertag",IF(C4055="Samstag","",IF(C4055="Sonntag","",Übersicht!$C$8)))</f>
        <v>Feiertag</v>
      </c>
    </row>
    <row r="4056" spans="1:4" x14ac:dyDescent="0.25">
      <c r="A4056" t="s">
        <v>77</v>
      </c>
      <c r="B4056" s="48">
        <v>47238</v>
      </c>
      <c r="C4056" t="s">
        <v>48</v>
      </c>
      <c r="D4056" t="str">
        <f>IF(COUNTIFS(Verweise!$A$2:$A$4542,Übersicht!$C$7,Verweise!$B$2:$B$4542,B4056)=1,"Feiertag",IF(C4056="Samstag","",IF(C4056="Sonntag","",Übersicht!$C$8)))</f>
        <v>Feiertag</v>
      </c>
    </row>
    <row r="4057" spans="1:4" x14ac:dyDescent="0.25">
      <c r="A4057" t="s">
        <v>77</v>
      </c>
      <c r="B4057" s="48">
        <v>47263</v>
      </c>
      <c r="C4057" t="s">
        <v>49</v>
      </c>
      <c r="D4057" t="str">
        <f>IF(COUNTIFS(Verweise!$A$2:$A$4542,Übersicht!$C$7,Verweise!$B$2:$B$4542,B4057)=1,"Feiertag",IF(C4057="Samstag","",IF(C4057="Sonntag","",Übersicht!$C$8)))</f>
        <v>Feiertag</v>
      </c>
    </row>
    <row r="4058" spans="1:4" x14ac:dyDescent="0.25">
      <c r="A4058" t="s">
        <v>77</v>
      </c>
      <c r="B4058" s="48">
        <v>47273</v>
      </c>
      <c r="C4058" t="s">
        <v>50</v>
      </c>
      <c r="D4058" t="str">
        <f>IF(COUNTIFS(Verweise!$A$2:$A$4542,Übersicht!$C$7,Verweise!$B$2:$B$4542,B4058)=1,"Feiertag",IF(C4058="Samstag","",IF(C4058="Sonntag","",Übersicht!$C$8)))</f>
        <v>Feiertag</v>
      </c>
    </row>
    <row r="4059" spans="1:4" x14ac:dyDescent="0.25">
      <c r="A4059" t="s">
        <v>77</v>
      </c>
      <c r="B4059" s="48">
        <v>47274</v>
      </c>
      <c r="C4059" t="s">
        <v>51</v>
      </c>
      <c r="D4059" t="str">
        <f>IF(COUNTIFS(Verweise!$A$2:$A$4542,Übersicht!$C$7,Verweise!$B$2:$B$4542,B4059)=1,"Feiertag",IF(C4059="Samstag","",IF(C4059="Sonntag","",Übersicht!$C$8)))</f>
        <v>Feiertag</v>
      </c>
    </row>
    <row r="4060" spans="1:4" x14ac:dyDescent="0.25">
      <c r="A4060" t="s">
        <v>77</v>
      </c>
      <c r="B4060" s="48">
        <v>47284</v>
      </c>
      <c r="C4060" t="s">
        <v>52</v>
      </c>
      <c r="D4060" t="str">
        <f>IF(COUNTIFS(Verweise!$A$2:$A$4542,Übersicht!$C$7,Verweise!$B$2:$B$4542,B4060)=1,"Feiertag",IF(C4060="Samstag","",IF(C4060="Sonntag","",Übersicht!$C$8)))</f>
        <v>Feiertag</v>
      </c>
    </row>
    <row r="4061" spans="1:4" x14ac:dyDescent="0.25">
      <c r="A4061" t="s">
        <v>77</v>
      </c>
      <c r="B4061" s="48">
        <v>47393</v>
      </c>
      <c r="C4061" t="s">
        <v>53</v>
      </c>
      <c r="D4061" t="str">
        <f>IF(COUNTIFS(Verweise!$A$2:$A$4542,Übersicht!$C$7,Verweise!$B$2:$B$4542,B4061)=1,"Feiertag",IF(C4061="Samstag","",IF(C4061="Sonntag","",Übersicht!$C$8)))</f>
        <v>Feiertag</v>
      </c>
    </row>
    <row r="4062" spans="1:4" x14ac:dyDescent="0.25">
      <c r="A4062" t="s">
        <v>77</v>
      </c>
      <c r="B4062" s="48">
        <v>47421</v>
      </c>
      <c r="C4062" t="s">
        <v>62</v>
      </c>
      <c r="D4062" t="str">
        <f>IF(COUNTIFS(Verweise!$A$2:$A$4542,Übersicht!$C$7,Verweise!$B$2:$B$4542,B4062)=1,"Feiertag",IF(C4062="Samstag","",IF(C4062="Sonntag","",Übersicht!$C$8)))</f>
        <v>Büro</v>
      </c>
    </row>
    <row r="4063" spans="1:4" x14ac:dyDescent="0.25">
      <c r="A4063" t="s">
        <v>77</v>
      </c>
      <c r="B4063" s="48">
        <v>47476</v>
      </c>
      <c r="C4063" t="s">
        <v>55</v>
      </c>
      <c r="D4063" t="str">
        <f>IF(COUNTIFS(Verweise!$A$2:$A$4542,Übersicht!$C$7,Verweise!$B$2:$B$4542,B4063)=1,"Feiertag",IF(C4063="Samstag","",IF(C4063="Sonntag","",Übersicht!$C$8)))</f>
        <v>Feiertag</v>
      </c>
    </row>
    <row r="4064" spans="1:4" x14ac:dyDescent="0.25">
      <c r="A4064" t="s">
        <v>77</v>
      </c>
      <c r="B4064" s="48">
        <v>47477</v>
      </c>
      <c r="C4064" t="s">
        <v>56</v>
      </c>
      <c r="D4064" t="str">
        <f>IF(COUNTIFS(Verweise!$A$2:$A$4542,Übersicht!$C$7,Verweise!$B$2:$B$4542,B4064)=1,"Feiertag",IF(C4064="Samstag","",IF(C4064="Sonntag","",Übersicht!$C$8)))</f>
        <v>Feiertag</v>
      </c>
    </row>
    <row r="4065" spans="1:4" x14ac:dyDescent="0.25">
      <c r="A4065" t="s">
        <v>42</v>
      </c>
      <c r="B4065" s="48">
        <v>47483</v>
      </c>
      <c r="C4065" t="s">
        <v>43</v>
      </c>
      <c r="D4065" t="str">
        <f>IF(COUNTIFS(Verweise!$A$2:$A$4542,Übersicht!$C$7,Verweise!$B$2:$B$4542,B4065)=1,"Feiertag",IF(C4065="Samstag","",IF(C4065="Sonntag","",Übersicht!$C$8)))</f>
        <v>Feiertag</v>
      </c>
    </row>
    <row r="4066" spans="1:4" x14ac:dyDescent="0.25">
      <c r="A4066" t="s">
        <v>42</v>
      </c>
      <c r="B4066" s="48">
        <v>47488</v>
      </c>
      <c r="C4066" t="s">
        <v>44</v>
      </c>
      <c r="D4066" t="str">
        <f>IF(COUNTIFS(Verweise!$A$2:$A$4542,Übersicht!$C$7,Verweise!$B$2:$B$4542,B4066)=1,"Feiertag",IF(C4066="Samstag","",IF(C4066="Sonntag","",Übersicht!$C$8)))</f>
        <v>Büro</v>
      </c>
    </row>
    <row r="4067" spans="1:4" x14ac:dyDescent="0.25">
      <c r="A4067" t="s">
        <v>42</v>
      </c>
      <c r="B4067" s="48">
        <v>47579</v>
      </c>
      <c r="C4067" t="s">
        <v>45</v>
      </c>
      <c r="D4067" t="str">
        <f>IF(COUNTIFS(Verweise!$A$2:$A$4542,Übersicht!$C$7,Verweise!$B$2:$B$4542,B4067)=1,"Feiertag",IF(C4067="Samstag","",IF(C4067="Sonntag","",Übersicht!$C$8)))</f>
        <v>Feiertag</v>
      </c>
    </row>
    <row r="4068" spans="1:4" x14ac:dyDescent="0.25">
      <c r="A4068" t="s">
        <v>42</v>
      </c>
      <c r="B4068" s="48">
        <v>47581</v>
      </c>
      <c r="C4068" t="s">
        <v>46</v>
      </c>
      <c r="D4068" t="str">
        <f>IF(COUNTIFS(Verweise!$A$2:$A$4542,Übersicht!$C$7,Verweise!$B$2:$B$4542,B4068)=1,"Feiertag",IF(C4068="Samstag","",IF(C4068="Sonntag","",Übersicht!$C$8)))</f>
        <v>Feiertag</v>
      </c>
    </row>
    <row r="4069" spans="1:4" x14ac:dyDescent="0.25">
      <c r="A4069" t="s">
        <v>42</v>
      </c>
      <c r="B4069" s="48">
        <v>47582</v>
      </c>
      <c r="C4069" t="s">
        <v>47</v>
      </c>
      <c r="D4069" t="str">
        <f>IF(COUNTIFS(Verweise!$A$2:$A$4542,Übersicht!$C$7,Verweise!$B$2:$B$4542,B4069)=1,"Feiertag",IF(C4069="Samstag","",IF(C4069="Sonntag","",Übersicht!$C$8)))</f>
        <v>Feiertag</v>
      </c>
    </row>
    <row r="4070" spans="1:4" x14ac:dyDescent="0.25">
      <c r="A4070" t="s">
        <v>42</v>
      </c>
      <c r="B4070" s="48">
        <v>47603</v>
      </c>
      <c r="C4070" t="s">
        <v>48</v>
      </c>
      <c r="D4070" t="str">
        <f>IF(COUNTIFS(Verweise!$A$2:$A$4542,Übersicht!$C$7,Verweise!$B$2:$B$4542,B4070)=1,"Feiertag",IF(C4070="Samstag","",IF(C4070="Sonntag","",Übersicht!$C$8)))</f>
        <v>Feiertag</v>
      </c>
    </row>
    <row r="4071" spans="1:4" x14ac:dyDescent="0.25">
      <c r="A4071" t="s">
        <v>42</v>
      </c>
      <c r="B4071" s="48">
        <v>47620</v>
      </c>
      <c r="C4071" t="s">
        <v>49</v>
      </c>
      <c r="D4071" t="str">
        <f>IF(COUNTIFS(Verweise!$A$2:$A$4542,Übersicht!$C$7,Verweise!$B$2:$B$4542,B4071)=1,"Feiertag",IF(C4071="Samstag","",IF(C4071="Sonntag","",Übersicht!$C$8)))</f>
        <v>Feiertag</v>
      </c>
    </row>
    <row r="4072" spans="1:4" x14ac:dyDescent="0.25">
      <c r="A4072" t="s">
        <v>42</v>
      </c>
      <c r="B4072" s="48">
        <v>47630</v>
      </c>
      <c r="C4072" t="s">
        <v>50</v>
      </c>
      <c r="D4072" t="str">
        <f>IF(COUNTIFS(Verweise!$A$2:$A$4542,Übersicht!$C$7,Verweise!$B$2:$B$4542,B4072)=1,"Feiertag",IF(C4072="Samstag","",IF(C4072="Sonntag","",Übersicht!$C$8)))</f>
        <v>Feiertag</v>
      </c>
    </row>
    <row r="4073" spans="1:4" x14ac:dyDescent="0.25">
      <c r="A4073" t="s">
        <v>42</v>
      </c>
      <c r="B4073" s="48">
        <v>47631</v>
      </c>
      <c r="C4073" t="s">
        <v>51</v>
      </c>
      <c r="D4073" t="str">
        <f>IF(COUNTIFS(Verweise!$A$2:$A$4542,Übersicht!$C$7,Verweise!$B$2:$B$4542,B4073)=1,"Feiertag",IF(C4073="Samstag","",IF(C4073="Sonntag","",Übersicht!$C$8)))</f>
        <v>Feiertag</v>
      </c>
    </row>
    <row r="4074" spans="1:4" x14ac:dyDescent="0.25">
      <c r="A4074" t="s">
        <v>42</v>
      </c>
      <c r="B4074" s="48">
        <v>47641</v>
      </c>
      <c r="C4074" t="s">
        <v>52</v>
      </c>
      <c r="D4074" t="str">
        <f>IF(COUNTIFS(Verweise!$A$2:$A$4542,Übersicht!$C$7,Verweise!$B$2:$B$4542,B4074)=1,"Feiertag",IF(C4074="Samstag","",IF(C4074="Sonntag","",Übersicht!$C$8)))</f>
        <v>Feiertag</v>
      </c>
    </row>
    <row r="4075" spans="1:4" x14ac:dyDescent="0.25">
      <c r="A4075" t="s">
        <v>42</v>
      </c>
      <c r="B4075" s="48">
        <v>47758</v>
      </c>
      <c r="C4075" t="s">
        <v>53</v>
      </c>
      <c r="D4075" t="str">
        <f>IF(COUNTIFS(Verweise!$A$2:$A$4542,Übersicht!$C$7,Verweise!$B$2:$B$4542,B4075)=1,"Feiertag",IF(C4075="Samstag","",IF(C4075="Sonntag","",Übersicht!$C$8)))</f>
        <v>Feiertag</v>
      </c>
    </row>
    <row r="4076" spans="1:4" x14ac:dyDescent="0.25">
      <c r="A4076" t="s">
        <v>42</v>
      </c>
      <c r="B4076" s="48">
        <v>47787</v>
      </c>
      <c r="C4076" t="s">
        <v>54</v>
      </c>
      <c r="D4076" t="str">
        <f>IF(COUNTIFS(Verweise!$A$2:$A$4542,Übersicht!$C$7,Verweise!$B$2:$B$4542,B4076)=1,"Feiertag",IF(C4076="Samstag","",IF(C4076="Sonntag","",Übersicht!$C$8)))</f>
        <v>Feiertag</v>
      </c>
    </row>
    <row r="4077" spans="1:4" x14ac:dyDescent="0.25">
      <c r="A4077" t="s">
        <v>42</v>
      </c>
      <c r="B4077" s="48">
        <v>47841</v>
      </c>
      <c r="C4077" t="s">
        <v>55</v>
      </c>
      <c r="D4077" t="str">
        <f>IF(COUNTIFS(Verweise!$A$2:$A$4542,Übersicht!$C$7,Verweise!$B$2:$B$4542,B4077)=1,"Feiertag",IF(C4077="Samstag","",IF(C4077="Sonntag","",Übersicht!$C$8)))</f>
        <v>Feiertag</v>
      </c>
    </row>
    <row r="4078" spans="1:4" x14ac:dyDescent="0.25">
      <c r="A4078" t="s">
        <v>42</v>
      </c>
      <c r="B4078" s="48">
        <v>47842</v>
      </c>
      <c r="C4078" t="s">
        <v>56</v>
      </c>
      <c r="D4078" t="str">
        <f>IF(COUNTIFS(Verweise!$A$2:$A$4542,Übersicht!$C$7,Verweise!$B$2:$B$4542,B4078)=1,"Feiertag",IF(C4078="Samstag","",IF(C4078="Sonntag","",Übersicht!$C$8)))</f>
        <v>Feiertag</v>
      </c>
    </row>
    <row r="4079" spans="1:4" x14ac:dyDescent="0.25">
      <c r="A4079" t="s">
        <v>57</v>
      </c>
      <c r="B4079" s="48">
        <v>47483</v>
      </c>
      <c r="C4079" t="s">
        <v>43</v>
      </c>
      <c r="D4079" t="str">
        <f>IF(COUNTIFS(Verweise!$A$2:$A$4542,Übersicht!$C$7,Verweise!$B$2:$B$4542,B4079)=1,"Feiertag",IF(C4079="Samstag","",IF(C4079="Sonntag","",Übersicht!$C$8)))</f>
        <v>Feiertag</v>
      </c>
    </row>
    <row r="4080" spans="1:4" x14ac:dyDescent="0.25">
      <c r="A4080" t="s">
        <v>57</v>
      </c>
      <c r="B4080" s="48">
        <v>47488</v>
      </c>
      <c r="C4080" t="s">
        <v>44</v>
      </c>
      <c r="D4080" t="str">
        <f>IF(COUNTIFS(Verweise!$A$2:$A$4542,Übersicht!$C$7,Verweise!$B$2:$B$4542,B4080)=1,"Feiertag",IF(C4080="Samstag","",IF(C4080="Sonntag","",Übersicht!$C$8)))</f>
        <v>Büro</v>
      </c>
    </row>
    <row r="4081" spans="1:4" x14ac:dyDescent="0.25">
      <c r="A4081" t="s">
        <v>57</v>
      </c>
      <c r="B4081" s="48">
        <v>47579</v>
      </c>
      <c r="C4081" t="s">
        <v>45</v>
      </c>
      <c r="D4081" t="str">
        <f>IF(COUNTIFS(Verweise!$A$2:$A$4542,Übersicht!$C$7,Verweise!$B$2:$B$4542,B4081)=1,"Feiertag",IF(C4081="Samstag","",IF(C4081="Sonntag","",Übersicht!$C$8)))</f>
        <v>Feiertag</v>
      </c>
    </row>
    <row r="4082" spans="1:4" x14ac:dyDescent="0.25">
      <c r="A4082" t="s">
        <v>57</v>
      </c>
      <c r="B4082" s="48">
        <v>47581</v>
      </c>
      <c r="C4082" t="s">
        <v>46</v>
      </c>
      <c r="D4082" t="str">
        <f>IF(COUNTIFS(Verweise!$A$2:$A$4542,Übersicht!$C$7,Verweise!$B$2:$B$4542,B4082)=1,"Feiertag",IF(C4082="Samstag","",IF(C4082="Sonntag","",Übersicht!$C$8)))</f>
        <v>Feiertag</v>
      </c>
    </row>
    <row r="4083" spans="1:4" x14ac:dyDescent="0.25">
      <c r="A4083" t="s">
        <v>57</v>
      </c>
      <c r="B4083" s="48">
        <v>47582</v>
      </c>
      <c r="C4083" t="s">
        <v>47</v>
      </c>
      <c r="D4083" t="str">
        <f>IF(COUNTIFS(Verweise!$A$2:$A$4542,Übersicht!$C$7,Verweise!$B$2:$B$4542,B4083)=1,"Feiertag",IF(C4083="Samstag","",IF(C4083="Sonntag","",Übersicht!$C$8)))</f>
        <v>Feiertag</v>
      </c>
    </row>
    <row r="4084" spans="1:4" x14ac:dyDescent="0.25">
      <c r="A4084" t="s">
        <v>57</v>
      </c>
      <c r="B4084" s="48">
        <v>47603</v>
      </c>
      <c r="C4084" t="s">
        <v>48</v>
      </c>
      <c r="D4084" t="str">
        <f>IF(COUNTIFS(Verweise!$A$2:$A$4542,Übersicht!$C$7,Verweise!$B$2:$B$4542,B4084)=1,"Feiertag",IF(C4084="Samstag","",IF(C4084="Sonntag","",Übersicht!$C$8)))</f>
        <v>Feiertag</v>
      </c>
    </row>
    <row r="4085" spans="1:4" x14ac:dyDescent="0.25">
      <c r="A4085" t="s">
        <v>57</v>
      </c>
      <c r="B4085" s="48">
        <v>47620</v>
      </c>
      <c r="C4085" t="s">
        <v>49</v>
      </c>
      <c r="D4085" t="str">
        <f>IF(COUNTIFS(Verweise!$A$2:$A$4542,Übersicht!$C$7,Verweise!$B$2:$B$4542,B4085)=1,"Feiertag",IF(C4085="Samstag","",IF(C4085="Sonntag","",Übersicht!$C$8)))</f>
        <v>Feiertag</v>
      </c>
    </row>
    <row r="4086" spans="1:4" x14ac:dyDescent="0.25">
      <c r="A4086" t="s">
        <v>57</v>
      </c>
      <c r="B4086" s="48">
        <v>47630</v>
      </c>
      <c r="C4086" t="s">
        <v>50</v>
      </c>
      <c r="D4086" t="str">
        <f>IF(COUNTIFS(Verweise!$A$2:$A$4542,Übersicht!$C$7,Verweise!$B$2:$B$4542,B4086)=1,"Feiertag",IF(C4086="Samstag","",IF(C4086="Sonntag","",Übersicht!$C$8)))</f>
        <v>Feiertag</v>
      </c>
    </row>
    <row r="4087" spans="1:4" x14ac:dyDescent="0.25">
      <c r="A4087" t="s">
        <v>57</v>
      </c>
      <c r="B4087" s="48">
        <v>47631</v>
      </c>
      <c r="C4087" t="s">
        <v>51</v>
      </c>
      <c r="D4087" t="str">
        <f>IF(COUNTIFS(Verweise!$A$2:$A$4542,Übersicht!$C$7,Verweise!$B$2:$B$4542,B4087)=1,"Feiertag",IF(C4087="Samstag","",IF(C4087="Sonntag","",Übersicht!$C$8)))</f>
        <v>Feiertag</v>
      </c>
    </row>
    <row r="4088" spans="1:4" x14ac:dyDescent="0.25">
      <c r="A4088" t="s">
        <v>57</v>
      </c>
      <c r="B4088" s="48">
        <v>47641</v>
      </c>
      <c r="C4088" t="s">
        <v>52</v>
      </c>
      <c r="D4088" t="str">
        <f>IF(COUNTIFS(Verweise!$A$2:$A$4542,Übersicht!$C$7,Verweise!$B$2:$B$4542,B4088)=1,"Feiertag",IF(C4088="Samstag","",IF(C4088="Sonntag","",Übersicht!$C$8)))</f>
        <v>Feiertag</v>
      </c>
    </row>
    <row r="4089" spans="1:4" x14ac:dyDescent="0.25">
      <c r="A4089" t="s">
        <v>57</v>
      </c>
      <c r="B4089" s="48">
        <v>47758</v>
      </c>
      <c r="C4089" t="s">
        <v>53</v>
      </c>
      <c r="D4089" t="str">
        <f>IF(COUNTIFS(Verweise!$A$2:$A$4542,Übersicht!$C$7,Verweise!$B$2:$B$4542,B4089)=1,"Feiertag",IF(C4089="Samstag","",IF(C4089="Sonntag","",Übersicht!$C$8)))</f>
        <v>Feiertag</v>
      </c>
    </row>
    <row r="4090" spans="1:4" x14ac:dyDescent="0.25">
      <c r="A4090" t="s">
        <v>57</v>
      </c>
      <c r="B4090" s="48">
        <v>47787</v>
      </c>
      <c r="C4090" t="s">
        <v>54</v>
      </c>
      <c r="D4090" t="str">
        <f>IF(COUNTIFS(Verweise!$A$2:$A$4542,Übersicht!$C$7,Verweise!$B$2:$B$4542,B4090)=1,"Feiertag",IF(C4090="Samstag","",IF(C4090="Sonntag","",Übersicht!$C$8)))</f>
        <v>Feiertag</v>
      </c>
    </row>
    <row r="4091" spans="1:4" x14ac:dyDescent="0.25">
      <c r="A4091" t="s">
        <v>57</v>
      </c>
      <c r="B4091" s="48">
        <v>47841</v>
      </c>
      <c r="C4091" t="s">
        <v>55</v>
      </c>
      <c r="D4091" t="str">
        <f>IF(COUNTIFS(Verweise!$A$2:$A$4542,Übersicht!$C$7,Verweise!$B$2:$B$4542,B4091)=1,"Feiertag",IF(C4091="Samstag","",IF(C4091="Sonntag","",Übersicht!$C$8)))</f>
        <v>Feiertag</v>
      </c>
    </row>
    <row r="4092" spans="1:4" x14ac:dyDescent="0.25">
      <c r="A4092" t="s">
        <v>57</v>
      </c>
      <c r="B4092" s="48">
        <v>47842</v>
      </c>
      <c r="C4092" t="s">
        <v>56</v>
      </c>
      <c r="D4092" t="str">
        <f>IF(COUNTIFS(Verweise!$A$2:$A$4542,Übersicht!$C$7,Verweise!$B$2:$B$4542,B4092)=1,"Feiertag",IF(C4092="Samstag","",IF(C4092="Sonntag","",Übersicht!$C$8)))</f>
        <v>Feiertag</v>
      </c>
    </row>
    <row r="4093" spans="1:4" x14ac:dyDescent="0.25">
      <c r="A4093" t="s">
        <v>58</v>
      </c>
      <c r="B4093" s="48">
        <v>47483</v>
      </c>
      <c r="C4093" t="s">
        <v>43</v>
      </c>
      <c r="D4093" t="str">
        <f>IF(COUNTIFS(Verweise!$A$2:$A$4542,Übersicht!$C$7,Verweise!$B$2:$B$4542,B4093)=1,"Feiertag",IF(C4093="Samstag","",IF(C4093="Sonntag","",Übersicht!$C$8)))</f>
        <v>Feiertag</v>
      </c>
    </row>
    <row r="4094" spans="1:4" x14ac:dyDescent="0.25">
      <c r="A4094" t="s">
        <v>58</v>
      </c>
      <c r="B4094" s="48">
        <v>47488</v>
      </c>
      <c r="C4094" t="s">
        <v>44</v>
      </c>
      <c r="D4094" t="str">
        <f>IF(COUNTIFS(Verweise!$A$2:$A$4542,Übersicht!$C$7,Verweise!$B$2:$B$4542,B4094)=1,"Feiertag",IF(C4094="Samstag","",IF(C4094="Sonntag","",Übersicht!$C$8)))</f>
        <v>Büro</v>
      </c>
    </row>
    <row r="4095" spans="1:4" x14ac:dyDescent="0.25">
      <c r="A4095" t="s">
        <v>58</v>
      </c>
      <c r="B4095" s="48">
        <v>47579</v>
      </c>
      <c r="C4095" t="s">
        <v>45</v>
      </c>
      <c r="D4095" t="str">
        <f>IF(COUNTIFS(Verweise!$A$2:$A$4542,Übersicht!$C$7,Verweise!$B$2:$B$4542,B4095)=1,"Feiertag",IF(C4095="Samstag","",IF(C4095="Sonntag","",Übersicht!$C$8)))</f>
        <v>Feiertag</v>
      </c>
    </row>
    <row r="4096" spans="1:4" x14ac:dyDescent="0.25">
      <c r="A4096" t="s">
        <v>58</v>
      </c>
      <c r="B4096" s="48">
        <v>47581</v>
      </c>
      <c r="C4096" t="s">
        <v>46</v>
      </c>
      <c r="D4096" t="str">
        <f>IF(COUNTIFS(Verweise!$A$2:$A$4542,Übersicht!$C$7,Verweise!$B$2:$B$4542,B4096)=1,"Feiertag",IF(C4096="Samstag","",IF(C4096="Sonntag","",Übersicht!$C$8)))</f>
        <v>Feiertag</v>
      </c>
    </row>
    <row r="4097" spans="1:4" x14ac:dyDescent="0.25">
      <c r="A4097" t="s">
        <v>58</v>
      </c>
      <c r="B4097" s="48">
        <v>47582</v>
      </c>
      <c r="C4097" t="s">
        <v>47</v>
      </c>
      <c r="D4097" t="str">
        <f>IF(COUNTIFS(Verweise!$A$2:$A$4542,Übersicht!$C$7,Verweise!$B$2:$B$4542,B4097)=1,"Feiertag",IF(C4097="Samstag","",IF(C4097="Sonntag","",Übersicht!$C$8)))</f>
        <v>Feiertag</v>
      </c>
    </row>
    <row r="4098" spans="1:4" x14ac:dyDescent="0.25">
      <c r="A4098" t="s">
        <v>58</v>
      </c>
      <c r="B4098" s="48">
        <v>47603</v>
      </c>
      <c r="C4098" t="s">
        <v>48</v>
      </c>
      <c r="D4098" t="str">
        <f>IF(COUNTIFS(Verweise!$A$2:$A$4542,Übersicht!$C$7,Verweise!$B$2:$B$4542,B4098)=1,"Feiertag",IF(C4098="Samstag","",IF(C4098="Sonntag","",Übersicht!$C$8)))</f>
        <v>Feiertag</v>
      </c>
    </row>
    <row r="4099" spans="1:4" x14ac:dyDescent="0.25">
      <c r="A4099" t="s">
        <v>58</v>
      </c>
      <c r="B4099" s="48">
        <v>47620</v>
      </c>
      <c r="C4099" t="s">
        <v>49</v>
      </c>
      <c r="D4099" t="str">
        <f>IF(COUNTIFS(Verweise!$A$2:$A$4542,Übersicht!$C$7,Verweise!$B$2:$B$4542,B4099)=1,"Feiertag",IF(C4099="Samstag","",IF(C4099="Sonntag","",Übersicht!$C$8)))</f>
        <v>Feiertag</v>
      </c>
    </row>
    <row r="4100" spans="1:4" x14ac:dyDescent="0.25">
      <c r="A4100" t="s">
        <v>58</v>
      </c>
      <c r="B4100" s="48">
        <v>47630</v>
      </c>
      <c r="C4100" t="s">
        <v>50</v>
      </c>
      <c r="D4100" t="str">
        <f>IF(COUNTIFS(Verweise!$A$2:$A$4542,Übersicht!$C$7,Verweise!$B$2:$B$4542,B4100)=1,"Feiertag",IF(C4100="Samstag","",IF(C4100="Sonntag","",Übersicht!$C$8)))</f>
        <v>Feiertag</v>
      </c>
    </row>
    <row r="4101" spans="1:4" x14ac:dyDescent="0.25">
      <c r="A4101" t="s">
        <v>58</v>
      </c>
      <c r="B4101" s="48">
        <v>47631</v>
      </c>
      <c r="C4101" t="s">
        <v>51</v>
      </c>
      <c r="D4101" t="str">
        <f>IF(COUNTIFS(Verweise!$A$2:$A$4542,Übersicht!$C$7,Verweise!$B$2:$B$4542,B4101)=1,"Feiertag",IF(C4101="Samstag","",IF(C4101="Sonntag","",Übersicht!$C$8)))</f>
        <v>Feiertag</v>
      </c>
    </row>
    <row r="4102" spans="1:4" x14ac:dyDescent="0.25">
      <c r="A4102" t="s">
        <v>58</v>
      </c>
      <c r="B4102" s="48">
        <v>47641</v>
      </c>
      <c r="C4102" t="s">
        <v>52</v>
      </c>
      <c r="D4102" t="str">
        <f>IF(COUNTIFS(Verweise!$A$2:$A$4542,Übersicht!$C$7,Verweise!$B$2:$B$4542,B4102)=1,"Feiertag",IF(C4102="Samstag","",IF(C4102="Sonntag","",Übersicht!$C$8)))</f>
        <v>Feiertag</v>
      </c>
    </row>
    <row r="4103" spans="1:4" x14ac:dyDescent="0.25">
      <c r="A4103" t="s">
        <v>58</v>
      </c>
      <c r="B4103" s="48">
        <v>47709</v>
      </c>
      <c r="C4103" t="s">
        <v>59</v>
      </c>
      <c r="D4103" t="str">
        <f>IF(COUNTIFS(Verweise!$A$2:$A$4542,Übersicht!$C$7,Verweise!$B$2:$B$4542,B4103)=1,"Feiertag",IF(C4103="Samstag","",IF(C4103="Sonntag","",Übersicht!$C$8)))</f>
        <v>Büro</v>
      </c>
    </row>
    <row r="4104" spans="1:4" x14ac:dyDescent="0.25">
      <c r="A4104" t="s">
        <v>58</v>
      </c>
      <c r="B4104" s="48">
        <v>47758</v>
      </c>
      <c r="C4104" t="s">
        <v>53</v>
      </c>
      <c r="D4104" t="str">
        <f>IF(COUNTIFS(Verweise!$A$2:$A$4542,Übersicht!$C$7,Verweise!$B$2:$B$4542,B4104)=1,"Feiertag",IF(C4104="Samstag","",IF(C4104="Sonntag","",Übersicht!$C$8)))</f>
        <v>Feiertag</v>
      </c>
    </row>
    <row r="4105" spans="1:4" x14ac:dyDescent="0.25">
      <c r="A4105" t="s">
        <v>58</v>
      </c>
      <c r="B4105" s="48">
        <v>47787</v>
      </c>
      <c r="C4105" t="s">
        <v>54</v>
      </c>
      <c r="D4105" t="str">
        <f>IF(COUNTIFS(Verweise!$A$2:$A$4542,Übersicht!$C$7,Verweise!$B$2:$B$4542,B4105)=1,"Feiertag",IF(C4105="Samstag","",IF(C4105="Sonntag","",Übersicht!$C$8)))</f>
        <v>Feiertag</v>
      </c>
    </row>
    <row r="4106" spans="1:4" x14ac:dyDescent="0.25">
      <c r="A4106" t="s">
        <v>58</v>
      </c>
      <c r="B4106" s="48">
        <v>47841</v>
      </c>
      <c r="C4106" t="s">
        <v>55</v>
      </c>
      <c r="D4106" t="str">
        <f>IF(COUNTIFS(Verweise!$A$2:$A$4542,Übersicht!$C$7,Verweise!$B$2:$B$4542,B4106)=1,"Feiertag",IF(C4106="Samstag","",IF(C4106="Sonntag","",Übersicht!$C$8)))</f>
        <v>Feiertag</v>
      </c>
    </row>
    <row r="4107" spans="1:4" x14ac:dyDescent="0.25">
      <c r="A4107" t="s">
        <v>58</v>
      </c>
      <c r="B4107" s="48">
        <v>47842</v>
      </c>
      <c r="C4107" t="s">
        <v>56</v>
      </c>
      <c r="D4107" t="str">
        <f>IF(COUNTIFS(Verweise!$A$2:$A$4542,Übersicht!$C$7,Verweise!$B$2:$B$4542,B4107)=1,"Feiertag",IF(C4107="Samstag","",IF(C4107="Sonntag","",Übersicht!$C$8)))</f>
        <v>Feiertag</v>
      </c>
    </row>
    <row r="4108" spans="1:4" x14ac:dyDescent="0.25">
      <c r="A4108" t="s">
        <v>60</v>
      </c>
      <c r="B4108" s="48">
        <v>47483</v>
      </c>
      <c r="C4108" t="s">
        <v>43</v>
      </c>
      <c r="D4108" t="str">
        <f>IF(COUNTIFS(Verweise!$A$2:$A$4542,Übersicht!$C$7,Verweise!$B$2:$B$4542,B4108)=1,"Feiertag",IF(C4108="Samstag","",IF(C4108="Sonntag","",Übersicht!$C$8)))</f>
        <v>Feiertag</v>
      </c>
    </row>
    <row r="4109" spans="1:4" x14ac:dyDescent="0.25">
      <c r="A4109" t="s">
        <v>60</v>
      </c>
      <c r="B4109" s="48">
        <v>47579</v>
      </c>
      <c r="C4109" t="s">
        <v>45</v>
      </c>
      <c r="D4109" t="str">
        <f>IF(COUNTIFS(Verweise!$A$2:$A$4542,Übersicht!$C$7,Verweise!$B$2:$B$4542,B4109)=1,"Feiertag",IF(C4109="Samstag","",IF(C4109="Sonntag","",Übersicht!$C$8)))</f>
        <v>Feiertag</v>
      </c>
    </row>
    <row r="4110" spans="1:4" x14ac:dyDescent="0.25">
      <c r="A4110" t="s">
        <v>60</v>
      </c>
      <c r="B4110" s="48">
        <v>47581</v>
      </c>
      <c r="C4110" t="s">
        <v>46</v>
      </c>
      <c r="D4110" t="str">
        <f>IF(COUNTIFS(Verweise!$A$2:$A$4542,Übersicht!$C$7,Verweise!$B$2:$B$4542,B4110)=1,"Feiertag",IF(C4110="Samstag","",IF(C4110="Sonntag","",Übersicht!$C$8)))</f>
        <v>Feiertag</v>
      </c>
    </row>
    <row r="4111" spans="1:4" x14ac:dyDescent="0.25">
      <c r="A4111" t="s">
        <v>60</v>
      </c>
      <c r="B4111" s="48">
        <v>47582</v>
      </c>
      <c r="C4111" t="s">
        <v>47</v>
      </c>
      <c r="D4111" t="str">
        <f>IF(COUNTIFS(Verweise!$A$2:$A$4542,Übersicht!$C$7,Verweise!$B$2:$B$4542,B4111)=1,"Feiertag",IF(C4111="Samstag","",IF(C4111="Sonntag","",Übersicht!$C$8)))</f>
        <v>Feiertag</v>
      </c>
    </row>
    <row r="4112" spans="1:4" x14ac:dyDescent="0.25">
      <c r="A4112" t="s">
        <v>60</v>
      </c>
      <c r="B4112" s="48">
        <v>47603</v>
      </c>
      <c r="C4112" t="s">
        <v>48</v>
      </c>
      <c r="D4112" t="str">
        <f>IF(COUNTIFS(Verweise!$A$2:$A$4542,Übersicht!$C$7,Verweise!$B$2:$B$4542,B4112)=1,"Feiertag",IF(C4112="Samstag","",IF(C4112="Sonntag","",Übersicht!$C$8)))</f>
        <v>Feiertag</v>
      </c>
    </row>
    <row r="4113" spans="1:4" x14ac:dyDescent="0.25">
      <c r="A4113" t="s">
        <v>60</v>
      </c>
      <c r="B4113" s="48">
        <v>47620</v>
      </c>
      <c r="C4113" t="s">
        <v>49</v>
      </c>
      <c r="D4113" t="str">
        <f>IF(COUNTIFS(Verweise!$A$2:$A$4542,Übersicht!$C$7,Verweise!$B$2:$B$4542,B4113)=1,"Feiertag",IF(C4113="Samstag","",IF(C4113="Sonntag","",Übersicht!$C$8)))</f>
        <v>Feiertag</v>
      </c>
    </row>
    <row r="4114" spans="1:4" x14ac:dyDescent="0.25">
      <c r="A4114" t="s">
        <v>60</v>
      </c>
      <c r="B4114" s="48">
        <v>47630</v>
      </c>
      <c r="C4114" t="s">
        <v>50</v>
      </c>
      <c r="D4114" t="str">
        <f>IF(COUNTIFS(Verweise!$A$2:$A$4542,Übersicht!$C$7,Verweise!$B$2:$B$4542,B4114)=1,"Feiertag",IF(C4114="Samstag","",IF(C4114="Sonntag","",Übersicht!$C$8)))</f>
        <v>Feiertag</v>
      </c>
    </row>
    <row r="4115" spans="1:4" x14ac:dyDescent="0.25">
      <c r="A4115" t="s">
        <v>60</v>
      </c>
      <c r="B4115" s="48">
        <v>47631</v>
      </c>
      <c r="C4115" t="s">
        <v>51</v>
      </c>
      <c r="D4115" t="str">
        <f>IF(COUNTIFS(Verweise!$A$2:$A$4542,Übersicht!$C$7,Verweise!$B$2:$B$4542,B4115)=1,"Feiertag",IF(C4115="Samstag","",IF(C4115="Sonntag","",Übersicht!$C$8)))</f>
        <v>Feiertag</v>
      </c>
    </row>
    <row r="4116" spans="1:4" x14ac:dyDescent="0.25">
      <c r="A4116" t="s">
        <v>60</v>
      </c>
      <c r="B4116" s="48">
        <v>47758</v>
      </c>
      <c r="C4116" t="s">
        <v>53</v>
      </c>
      <c r="D4116" t="str">
        <f>IF(COUNTIFS(Verweise!$A$2:$A$4542,Übersicht!$C$7,Verweise!$B$2:$B$4542,B4116)=1,"Feiertag",IF(C4116="Samstag","",IF(C4116="Sonntag","",Übersicht!$C$8)))</f>
        <v>Feiertag</v>
      </c>
    </row>
    <row r="4117" spans="1:4" x14ac:dyDescent="0.25">
      <c r="A4117" t="s">
        <v>60</v>
      </c>
      <c r="B4117" s="48">
        <v>47841</v>
      </c>
      <c r="C4117" t="s">
        <v>55</v>
      </c>
      <c r="D4117" t="str">
        <f>IF(COUNTIFS(Verweise!$A$2:$A$4542,Übersicht!$C$7,Verweise!$B$2:$B$4542,B4117)=1,"Feiertag",IF(C4117="Samstag","",IF(C4117="Sonntag","",Übersicht!$C$8)))</f>
        <v>Feiertag</v>
      </c>
    </row>
    <row r="4118" spans="1:4" x14ac:dyDescent="0.25">
      <c r="A4118" t="s">
        <v>60</v>
      </c>
      <c r="B4118" s="48">
        <v>47842</v>
      </c>
      <c r="C4118" t="s">
        <v>56</v>
      </c>
      <c r="D4118" t="str">
        <f>IF(COUNTIFS(Verweise!$A$2:$A$4542,Übersicht!$C$7,Verweise!$B$2:$B$4542,B4118)=1,"Feiertag",IF(C4118="Samstag","",IF(C4118="Sonntag","",Übersicht!$C$8)))</f>
        <v>Feiertag</v>
      </c>
    </row>
    <row r="4119" spans="1:4" x14ac:dyDescent="0.25">
      <c r="A4119" t="s">
        <v>61</v>
      </c>
      <c r="B4119" s="48">
        <v>47483</v>
      </c>
      <c r="C4119" t="s">
        <v>43</v>
      </c>
      <c r="D4119" t="str">
        <f>IF(COUNTIFS(Verweise!$A$2:$A$4542,Übersicht!$C$7,Verweise!$B$2:$B$4542,B4119)=1,"Feiertag",IF(C4119="Samstag","",IF(C4119="Sonntag","",Übersicht!$C$8)))</f>
        <v>Feiertag</v>
      </c>
    </row>
    <row r="4120" spans="1:4" x14ac:dyDescent="0.25">
      <c r="A4120" t="s">
        <v>61</v>
      </c>
      <c r="B4120" s="48">
        <v>47579</v>
      </c>
      <c r="C4120" t="s">
        <v>45</v>
      </c>
      <c r="D4120" t="str">
        <f>IF(COUNTIFS(Verweise!$A$2:$A$4542,Übersicht!$C$7,Verweise!$B$2:$B$4542,B4120)=1,"Feiertag",IF(C4120="Samstag","",IF(C4120="Sonntag","",Übersicht!$C$8)))</f>
        <v>Feiertag</v>
      </c>
    </row>
    <row r="4121" spans="1:4" x14ac:dyDescent="0.25">
      <c r="A4121" t="s">
        <v>61</v>
      </c>
      <c r="B4121" s="48">
        <v>47581</v>
      </c>
      <c r="C4121" t="s">
        <v>46</v>
      </c>
      <c r="D4121" t="str">
        <f>IF(COUNTIFS(Verweise!$A$2:$A$4542,Übersicht!$C$7,Verweise!$B$2:$B$4542,B4121)=1,"Feiertag",IF(C4121="Samstag","",IF(C4121="Sonntag","",Übersicht!$C$8)))</f>
        <v>Feiertag</v>
      </c>
    </row>
    <row r="4122" spans="1:4" x14ac:dyDescent="0.25">
      <c r="A4122" t="s">
        <v>61</v>
      </c>
      <c r="B4122" s="48">
        <v>47582</v>
      </c>
      <c r="C4122" t="s">
        <v>47</v>
      </c>
      <c r="D4122" t="str">
        <f>IF(COUNTIFS(Verweise!$A$2:$A$4542,Übersicht!$C$7,Verweise!$B$2:$B$4542,B4122)=1,"Feiertag",IF(C4122="Samstag","",IF(C4122="Sonntag","",Übersicht!$C$8)))</f>
        <v>Feiertag</v>
      </c>
    </row>
    <row r="4123" spans="1:4" x14ac:dyDescent="0.25">
      <c r="A4123" t="s">
        <v>61</v>
      </c>
      <c r="B4123" s="48">
        <v>47603</v>
      </c>
      <c r="C4123" t="s">
        <v>48</v>
      </c>
      <c r="D4123" t="str">
        <f>IF(COUNTIFS(Verweise!$A$2:$A$4542,Übersicht!$C$7,Verweise!$B$2:$B$4542,B4123)=1,"Feiertag",IF(C4123="Samstag","",IF(C4123="Sonntag","",Übersicht!$C$8)))</f>
        <v>Feiertag</v>
      </c>
    </row>
    <row r="4124" spans="1:4" x14ac:dyDescent="0.25">
      <c r="A4124" t="s">
        <v>61</v>
      </c>
      <c r="B4124" s="48">
        <v>47620</v>
      </c>
      <c r="C4124" t="s">
        <v>49</v>
      </c>
      <c r="D4124" t="str">
        <f>IF(COUNTIFS(Verweise!$A$2:$A$4542,Übersicht!$C$7,Verweise!$B$2:$B$4542,B4124)=1,"Feiertag",IF(C4124="Samstag","",IF(C4124="Sonntag","",Übersicht!$C$8)))</f>
        <v>Feiertag</v>
      </c>
    </row>
    <row r="4125" spans="1:4" x14ac:dyDescent="0.25">
      <c r="A4125" t="s">
        <v>61</v>
      </c>
      <c r="B4125" s="48">
        <v>47630</v>
      </c>
      <c r="C4125" t="s">
        <v>50</v>
      </c>
      <c r="D4125" t="str">
        <f>IF(COUNTIFS(Verweise!$A$2:$A$4542,Übersicht!$C$7,Verweise!$B$2:$B$4542,B4125)=1,"Feiertag",IF(C4125="Samstag","",IF(C4125="Sonntag","",Übersicht!$C$8)))</f>
        <v>Feiertag</v>
      </c>
    </row>
    <row r="4126" spans="1:4" x14ac:dyDescent="0.25">
      <c r="A4126" t="s">
        <v>61</v>
      </c>
      <c r="B4126" s="48">
        <v>47631</v>
      </c>
      <c r="C4126" t="s">
        <v>51</v>
      </c>
      <c r="D4126" t="str">
        <f>IF(COUNTIFS(Verweise!$A$2:$A$4542,Übersicht!$C$7,Verweise!$B$2:$B$4542,B4126)=1,"Feiertag",IF(C4126="Samstag","",IF(C4126="Sonntag","",Übersicht!$C$8)))</f>
        <v>Feiertag</v>
      </c>
    </row>
    <row r="4127" spans="1:4" x14ac:dyDescent="0.25">
      <c r="A4127" t="s">
        <v>61</v>
      </c>
      <c r="B4127" s="48">
        <v>47758</v>
      </c>
      <c r="C4127" t="s">
        <v>53</v>
      </c>
      <c r="D4127" t="str">
        <f>IF(COUNTIFS(Verweise!$A$2:$A$4542,Übersicht!$C$7,Verweise!$B$2:$B$4542,B4127)=1,"Feiertag",IF(C4127="Samstag","",IF(C4127="Sonntag","",Übersicht!$C$8)))</f>
        <v>Feiertag</v>
      </c>
    </row>
    <row r="4128" spans="1:4" x14ac:dyDescent="0.25">
      <c r="A4128" t="s">
        <v>61</v>
      </c>
      <c r="B4128" s="48">
        <v>47786</v>
      </c>
      <c r="C4128" t="s">
        <v>62</v>
      </c>
      <c r="D4128" t="str">
        <f>IF(COUNTIFS(Verweise!$A$2:$A$4542,Übersicht!$C$7,Verweise!$B$2:$B$4542,B4128)=1,"Feiertag",IF(C4128="Samstag","",IF(C4128="Sonntag","",Übersicht!$C$8)))</f>
        <v>Büro</v>
      </c>
    </row>
    <row r="4129" spans="1:4" x14ac:dyDescent="0.25">
      <c r="A4129" t="s">
        <v>61</v>
      </c>
      <c r="B4129" s="48">
        <v>47841</v>
      </c>
      <c r="C4129" t="s">
        <v>55</v>
      </c>
      <c r="D4129" t="str">
        <f>IF(COUNTIFS(Verweise!$A$2:$A$4542,Übersicht!$C$7,Verweise!$B$2:$B$4542,B4129)=1,"Feiertag",IF(C4129="Samstag","",IF(C4129="Sonntag","",Übersicht!$C$8)))</f>
        <v>Feiertag</v>
      </c>
    </row>
    <row r="4130" spans="1:4" x14ac:dyDescent="0.25">
      <c r="A4130" t="s">
        <v>61</v>
      </c>
      <c r="B4130" s="48">
        <v>47842</v>
      </c>
      <c r="C4130" t="s">
        <v>56</v>
      </c>
      <c r="D4130" t="str">
        <f>IF(COUNTIFS(Verweise!$A$2:$A$4542,Übersicht!$C$7,Verweise!$B$2:$B$4542,B4130)=1,"Feiertag",IF(C4130="Samstag","",IF(C4130="Sonntag","",Übersicht!$C$8)))</f>
        <v>Feiertag</v>
      </c>
    </row>
    <row r="4131" spans="1:4" x14ac:dyDescent="0.25">
      <c r="A4131" t="s">
        <v>63</v>
      </c>
      <c r="B4131" s="48">
        <v>47483</v>
      </c>
      <c r="C4131" t="s">
        <v>43</v>
      </c>
      <c r="D4131" t="str">
        <f>IF(COUNTIFS(Verweise!$A$2:$A$4542,Übersicht!$C$7,Verweise!$B$2:$B$4542,B4131)=1,"Feiertag",IF(C4131="Samstag","",IF(C4131="Sonntag","",Übersicht!$C$8)))</f>
        <v>Feiertag</v>
      </c>
    </row>
    <row r="4132" spans="1:4" x14ac:dyDescent="0.25">
      <c r="A4132" t="s">
        <v>63</v>
      </c>
      <c r="B4132" s="48">
        <v>47579</v>
      </c>
      <c r="C4132" t="s">
        <v>45</v>
      </c>
      <c r="D4132" t="str">
        <f>IF(COUNTIFS(Verweise!$A$2:$A$4542,Übersicht!$C$7,Verweise!$B$2:$B$4542,B4132)=1,"Feiertag",IF(C4132="Samstag","",IF(C4132="Sonntag","",Übersicht!$C$8)))</f>
        <v>Feiertag</v>
      </c>
    </row>
    <row r="4133" spans="1:4" x14ac:dyDescent="0.25">
      <c r="A4133" t="s">
        <v>63</v>
      </c>
      <c r="B4133" s="48">
        <v>47581</v>
      </c>
      <c r="C4133" t="s">
        <v>46</v>
      </c>
      <c r="D4133" t="str">
        <f>IF(COUNTIFS(Verweise!$A$2:$A$4542,Übersicht!$C$7,Verweise!$B$2:$B$4542,B4133)=1,"Feiertag",IF(C4133="Samstag","",IF(C4133="Sonntag","",Übersicht!$C$8)))</f>
        <v>Feiertag</v>
      </c>
    </row>
    <row r="4134" spans="1:4" x14ac:dyDescent="0.25">
      <c r="A4134" t="s">
        <v>63</v>
      </c>
      <c r="B4134" s="48">
        <v>47582</v>
      </c>
      <c r="C4134" t="s">
        <v>47</v>
      </c>
      <c r="D4134" t="str">
        <f>IF(COUNTIFS(Verweise!$A$2:$A$4542,Übersicht!$C$7,Verweise!$B$2:$B$4542,B4134)=1,"Feiertag",IF(C4134="Samstag","",IF(C4134="Sonntag","",Übersicht!$C$8)))</f>
        <v>Feiertag</v>
      </c>
    </row>
    <row r="4135" spans="1:4" x14ac:dyDescent="0.25">
      <c r="A4135" t="s">
        <v>63</v>
      </c>
      <c r="B4135" s="48">
        <v>47603</v>
      </c>
      <c r="C4135" t="s">
        <v>48</v>
      </c>
      <c r="D4135" t="str">
        <f>IF(COUNTIFS(Verweise!$A$2:$A$4542,Übersicht!$C$7,Verweise!$B$2:$B$4542,B4135)=1,"Feiertag",IF(C4135="Samstag","",IF(C4135="Sonntag","",Übersicht!$C$8)))</f>
        <v>Feiertag</v>
      </c>
    </row>
    <row r="4136" spans="1:4" x14ac:dyDescent="0.25">
      <c r="A4136" t="s">
        <v>63</v>
      </c>
      <c r="B4136" s="48">
        <v>47620</v>
      </c>
      <c r="C4136" t="s">
        <v>49</v>
      </c>
      <c r="D4136" t="str">
        <f>IF(COUNTIFS(Verweise!$A$2:$A$4542,Übersicht!$C$7,Verweise!$B$2:$B$4542,B4136)=1,"Feiertag",IF(C4136="Samstag","",IF(C4136="Sonntag","",Übersicht!$C$8)))</f>
        <v>Feiertag</v>
      </c>
    </row>
    <row r="4137" spans="1:4" x14ac:dyDescent="0.25">
      <c r="A4137" t="s">
        <v>63</v>
      </c>
      <c r="B4137" s="48">
        <v>47630</v>
      </c>
      <c r="C4137" t="s">
        <v>50</v>
      </c>
      <c r="D4137" t="str">
        <f>IF(COUNTIFS(Verweise!$A$2:$A$4542,Übersicht!$C$7,Verweise!$B$2:$B$4542,B4137)=1,"Feiertag",IF(C4137="Samstag","",IF(C4137="Sonntag","",Übersicht!$C$8)))</f>
        <v>Feiertag</v>
      </c>
    </row>
    <row r="4138" spans="1:4" x14ac:dyDescent="0.25">
      <c r="A4138" t="s">
        <v>63</v>
      </c>
      <c r="B4138" s="48">
        <v>47631</v>
      </c>
      <c r="C4138" t="s">
        <v>51</v>
      </c>
      <c r="D4138" t="str">
        <f>IF(COUNTIFS(Verweise!$A$2:$A$4542,Übersicht!$C$7,Verweise!$B$2:$B$4542,B4138)=1,"Feiertag",IF(C4138="Samstag","",IF(C4138="Sonntag","",Übersicht!$C$8)))</f>
        <v>Feiertag</v>
      </c>
    </row>
    <row r="4139" spans="1:4" x14ac:dyDescent="0.25">
      <c r="A4139" t="s">
        <v>63</v>
      </c>
      <c r="B4139" s="48">
        <v>47758</v>
      </c>
      <c r="C4139" t="s">
        <v>53</v>
      </c>
      <c r="D4139" t="str">
        <f>IF(COUNTIFS(Verweise!$A$2:$A$4542,Übersicht!$C$7,Verweise!$B$2:$B$4542,B4139)=1,"Feiertag",IF(C4139="Samstag","",IF(C4139="Sonntag","",Übersicht!$C$8)))</f>
        <v>Feiertag</v>
      </c>
    </row>
    <row r="4140" spans="1:4" x14ac:dyDescent="0.25">
      <c r="A4140" t="s">
        <v>63</v>
      </c>
      <c r="B4140" s="48">
        <v>47841</v>
      </c>
      <c r="C4140" t="s">
        <v>55</v>
      </c>
      <c r="D4140" t="str">
        <f>IF(COUNTIFS(Verweise!$A$2:$A$4542,Übersicht!$C$7,Verweise!$B$2:$B$4542,B4140)=1,"Feiertag",IF(C4140="Samstag","",IF(C4140="Sonntag","",Übersicht!$C$8)))</f>
        <v>Feiertag</v>
      </c>
    </row>
    <row r="4141" spans="1:4" x14ac:dyDescent="0.25">
      <c r="A4141" t="s">
        <v>63</v>
      </c>
      <c r="B4141" s="48">
        <v>47842</v>
      </c>
      <c r="C4141" t="s">
        <v>56</v>
      </c>
      <c r="D4141" t="str">
        <f>IF(COUNTIFS(Verweise!$A$2:$A$4542,Übersicht!$C$7,Verweise!$B$2:$B$4542,B4141)=1,"Feiertag",IF(C4141="Samstag","",IF(C4141="Sonntag","",Übersicht!$C$8)))</f>
        <v>Feiertag</v>
      </c>
    </row>
    <row r="4142" spans="1:4" x14ac:dyDescent="0.25">
      <c r="A4142" t="s">
        <v>64</v>
      </c>
      <c r="B4142" s="48">
        <v>47483</v>
      </c>
      <c r="C4142" t="s">
        <v>43</v>
      </c>
      <c r="D4142" t="str">
        <f>IF(COUNTIFS(Verweise!$A$2:$A$4542,Übersicht!$C$7,Verweise!$B$2:$B$4542,B4142)=1,"Feiertag",IF(C4142="Samstag","",IF(C4142="Sonntag","",Übersicht!$C$8)))</f>
        <v>Feiertag</v>
      </c>
    </row>
    <row r="4143" spans="1:4" x14ac:dyDescent="0.25">
      <c r="A4143" t="s">
        <v>64</v>
      </c>
      <c r="B4143" s="48">
        <v>47579</v>
      </c>
      <c r="C4143" t="s">
        <v>45</v>
      </c>
      <c r="D4143" t="str">
        <f>IF(COUNTIFS(Verweise!$A$2:$A$4542,Übersicht!$C$7,Verweise!$B$2:$B$4542,B4143)=1,"Feiertag",IF(C4143="Samstag","",IF(C4143="Sonntag","",Übersicht!$C$8)))</f>
        <v>Feiertag</v>
      </c>
    </row>
    <row r="4144" spans="1:4" x14ac:dyDescent="0.25">
      <c r="A4144" t="s">
        <v>64</v>
      </c>
      <c r="B4144" s="48">
        <v>47581</v>
      </c>
      <c r="C4144" t="s">
        <v>46</v>
      </c>
      <c r="D4144" t="str">
        <f>IF(COUNTIFS(Verweise!$A$2:$A$4542,Übersicht!$C$7,Verweise!$B$2:$B$4542,B4144)=1,"Feiertag",IF(C4144="Samstag","",IF(C4144="Sonntag","",Übersicht!$C$8)))</f>
        <v>Feiertag</v>
      </c>
    </row>
    <row r="4145" spans="1:4" x14ac:dyDescent="0.25">
      <c r="A4145" t="s">
        <v>64</v>
      </c>
      <c r="B4145" s="48">
        <v>47582</v>
      </c>
      <c r="C4145" t="s">
        <v>47</v>
      </c>
      <c r="D4145" t="str">
        <f>IF(COUNTIFS(Verweise!$A$2:$A$4542,Übersicht!$C$7,Verweise!$B$2:$B$4542,B4145)=1,"Feiertag",IF(C4145="Samstag","",IF(C4145="Sonntag","",Übersicht!$C$8)))</f>
        <v>Feiertag</v>
      </c>
    </row>
    <row r="4146" spans="1:4" x14ac:dyDescent="0.25">
      <c r="A4146" t="s">
        <v>64</v>
      </c>
      <c r="B4146" s="48">
        <v>47603</v>
      </c>
      <c r="C4146" t="s">
        <v>48</v>
      </c>
      <c r="D4146" t="str">
        <f>IF(COUNTIFS(Verweise!$A$2:$A$4542,Übersicht!$C$7,Verweise!$B$2:$B$4542,B4146)=1,"Feiertag",IF(C4146="Samstag","",IF(C4146="Sonntag","",Übersicht!$C$8)))</f>
        <v>Feiertag</v>
      </c>
    </row>
    <row r="4147" spans="1:4" x14ac:dyDescent="0.25">
      <c r="A4147" t="s">
        <v>64</v>
      </c>
      <c r="B4147" s="48">
        <v>47620</v>
      </c>
      <c r="C4147" t="s">
        <v>49</v>
      </c>
      <c r="D4147" t="str">
        <f>IF(COUNTIFS(Verweise!$A$2:$A$4542,Übersicht!$C$7,Verweise!$B$2:$B$4542,B4147)=1,"Feiertag",IF(C4147="Samstag","",IF(C4147="Sonntag","",Übersicht!$C$8)))</f>
        <v>Feiertag</v>
      </c>
    </row>
    <row r="4148" spans="1:4" x14ac:dyDescent="0.25">
      <c r="A4148" t="s">
        <v>64</v>
      </c>
      <c r="B4148" s="48">
        <v>47630</v>
      </c>
      <c r="C4148" t="s">
        <v>50</v>
      </c>
      <c r="D4148" t="str">
        <f>IF(COUNTIFS(Verweise!$A$2:$A$4542,Übersicht!$C$7,Verweise!$B$2:$B$4542,B4148)=1,"Feiertag",IF(C4148="Samstag","",IF(C4148="Sonntag","",Übersicht!$C$8)))</f>
        <v>Feiertag</v>
      </c>
    </row>
    <row r="4149" spans="1:4" x14ac:dyDescent="0.25">
      <c r="A4149" t="s">
        <v>64</v>
      </c>
      <c r="B4149" s="48">
        <v>47631</v>
      </c>
      <c r="C4149" t="s">
        <v>51</v>
      </c>
      <c r="D4149" t="str">
        <f>IF(COUNTIFS(Verweise!$A$2:$A$4542,Übersicht!$C$7,Verweise!$B$2:$B$4542,B4149)=1,"Feiertag",IF(C4149="Samstag","",IF(C4149="Sonntag","",Übersicht!$C$8)))</f>
        <v>Feiertag</v>
      </c>
    </row>
    <row r="4150" spans="1:4" x14ac:dyDescent="0.25">
      <c r="A4150" t="s">
        <v>64</v>
      </c>
      <c r="B4150" s="48">
        <v>47758</v>
      </c>
      <c r="C4150" t="s">
        <v>53</v>
      </c>
      <c r="D4150" t="str">
        <f>IF(COUNTIFS(Verweise!$A$2:$A$4542,Übersicht!$C$7,Verweise!$B$2:$B$4542,B4150)=1,"Feiertag",IF(C4150="Samstag","",IF(C4150="Sonntag","",Übersicht!$C$8)))</f>
        <v>Feiertag</v>
      </c>
    </row>
    <row r="4151" spans="1:4" x14ac:dyDescent="0.25">
      <c r="A4151" t="s">
        <v>64</v>
      </c>
      <c r="B4151" s="48">
        <v>47841</v>
      </c>
      <c r="C4151" t="s">
        <v>55</v>
      </c>
      <c r="D4151" t="str">
        <f>IF(COUNTIFS(Verweise!$A$2:$A$4542,Übersicht!$C$7,Verweise!$B$2:$B$4542,B4151)=1,"Feiertag",IF(C4151="Samstag","",IF(C4151="Sonntag","",Übersicht!$C$8)))</f>
        <v>Feiertag</v>
      </c>
    </row>
    <row r="4152" spans="1:4" x14ac:dyDescent="0.25">
      <c r="A4152" t="s">
        <v>64</v>
      </c>
      <c r="B4152" s="48">
        <v>47842</v>
      </c>
      <c r="C4152" t="s">
        <v>56</v>
      </c>
      <c r="D4152" t="str">
        <f>IF(COUNTIFS(Verweise!$A$2:$A$4542,Übersicht!$C$7,Verweise!$B$2:$B$4542,B4152)=1,"Feiertag",IF(C4152="Samstag","",IF(C4152="Sonntag","",Übersicht!$C$8)))</f>
        <v>Feiertag</v>
      </c>
    </row>
    <row r="4153" spans="1:4" x14ac:dyDescent="0.25">
      <c r="A4153" t="s">
        <v>65</v>
      </c>
      <c r="B4153" s="48">
        <v>47483</v>
      </c>
      <c r="C4153" t="s">
        <v>43</v>
      </c>
      <c r="D4153" t="str">
        <f>IF(COUNTIFS(Verweise!$A$2:$A$4542,Übersicht!$C$7,Verweise!$B$2:$B$4542,B4153)=1,"Feiertag",IF(C4153="Samstag","",IF(C4153="Sonntag","",Übersicht!$C$8)))</f>
        <v>Feiertag</v>
      </c>
    </row>
    <row r="4154" spans="1:4" x14ac:dyDescent="0.25">
      <c r="A4154" t="s">
        <v>65</v>
      </c>
      <c r="B4154" s="48">
        <v>47579</v>
      </c>
      <c r="C4154" t="s">
        <v>45</v>
      </c>
      <c r="D4154" t="str">
        <f>IF(COUNTIFS(Verweise!$A$2:$A$4542,Übersicht!$C$7,Verweise!$B$2:$B$4542,B4154)=1,"Feiertag",IF(C4154="Samstag","",IF(C4154="Sonntag","",Übersicht!$C$8)))</f>
        <v>Feiertag</v>
      </c>
    </row>
    <row r="4155" spans="1:4" x14ac:dyDescent="0.25">
      <c r="A4155" t="s">
        <v>65</v>
      </c>
      <c r="B4155" s="48">
        <v>47581</v>
      </c>
      <c r="C4155" t="s">
        <v>46</v>
      </c>
      <c r="D4155" t="str">
        <f>IF(COUNTIFS(Verweise!$A$2:$A$4542,Übersicht!$C$7,Verweise!$B$2:$B$4542,B4155)=1,"Feiertag",IF(C4155="Samstag","",IF(C4155="Sonntag","",Übersicht!$C$8)))</f>
        <v>Feiertag</v>
      </c>
    </row>
    <row r="4156" spans="1:4" x14ac:dyDescent="0.25">
      <c r="A4156" t="s">
        <v>65</v>
      </c>
      <c r="B4156" s="48">
        <v>47582</v>
      </c>
      <c r="C4156" t="s">
        <v>47</v>
      </c>
      <c r="D4156" t="str">
        <f>IF(COUNTIFS(Verweise!$A$2:$A$4542,Übersicht!$C$7,Verweise!$B$2:$B$4542,B4156)=1,"Feiertag",IF(C4156="Samstag","",IF(C4156="Sonntag","",Übersicht!$C$8)))</f>
        <v>Feiertag</v>
      </c>
    </row>
    <row r="4157" spans="1:4" x14ac:dyDescent="0.25">
      <c r="A4157" t="s">
        <v>65</v>
      </c>
      <c r="B4157" s="48">
        <v>47603</v>
      </c>
      <c r="C4157" t="s">
        <v>48</v>
      </c>
      <c r="D4157" t="str">
        <f>IF(COUNTIFS(Verweise!$A$2:$A$4542,Übersicht!$C$7,Verweise!$B$2:$B$4542,B4157)=1,"Feiertag",IF(C4157="Samstag","",IF(C4157="Sonntag","",Übersicht!$C$8)))</f>
        <v>Feiertag</v>
      </c>
    </row>
    <row r="4158" spans="1:4" x14ac:dyDescent="0.25">
      <c r="A4158" t="s">
        <v>65</v>
      </c>
      <c r="B4158" s="48">
        <v>47620</v>
      </c>
      <c r="C4158" t="s">
        <v>49</v>
      </c>
      <c r="D4158" t="str">
        <f>IF(COUNTIFS(Verweise!$A$2:$A$4542,Übersicht!$C$7,Verweise!$B$2:$B$4542,B4158)=1,"Feiertag",IF(C4158="Samstag","",IF(C4158="Sonntag","",Übersicht!$C$8)))</f>
        <v>Feiertag</v>
      </c>
    </row>
    <row r="4159" spans="1:4" x14ac:dyDescent="0.25">
      <c r="A4159" t="s">
        <v>65</v>
      </c>
      <c r="B4159" s="48">
        <v>47630</v>
      </c>
      <c r="C4159" t="s">
        <v>50</v>
      </c>
      <c r="D4159" t="str">
        <f>IF(COUNTIFS(Verweise!$A$2:$A$4542,Übersicht!$C$7,Verweise!$B$2:$B$4542,B4159)=1,"Feiertag",IF(C4159="Samstag","",IF(C4159="Sonntag","",Übersicht!$C$8)))</f>
        <v>Feiertag</v>
      </c>
    </row>
    <row r="4160" spans="1:4" x14ac:dyDescent="0.25">
      <c r="A4160" t="s">
        <v>65</v>
      </c>
      <c r="B4160" s="48">
        <v>47631</v>
      </c>
      <c r="C4160" t="s">
        <v>51</v>
      </c>
      <c r="D4160" t="str">
        <f>IF(COUNTIFS(Verweise!$A$2:$A$4542,Übersicht!$C$7,Verweise!$B$2:$B$4542,B4160)=1,"Feiertag",IF(C4160="Samstag","",IF(C4160="Sonntag","",Übersicht!$C$8)))</f>
        <v>Feiertag</v>
      </c>
    </row>
    <row r="4161" spans="1:4" x14ac:dyDescent="0.25">
      <c r="A4161" t="s">
        <v>65</v>
      </c>
      <c r="B4161" s="48">
        <v>47641</v>
      </c>
      <c r="C4161" t="s">
        <v>52</v>
      </c>
      <c r="D4161" t="str">
        <f>IF(COUNTIFS(Verweise!$A$2:$A$4542,Übersicht!$C$7,Verweise!$B$2:$B$4542,B4161)=1,"Feiertag",IF(C4161="Samstag","",IF(C4161="Sonntag","",Übersicht!$C$8)))</f>
        <v>Feiertag</v>
      </c>
    </row>
    <row r="4162" spans="1:4" x14ac:dyDescent="0.25">
      <c r="A4162" t="s">
        <v>65</v>
      </c>
      <c r="B4162" s="48">
        <v>47758</v>
      </c>
      <c r="C4162" t="s">
        <v>53</v>
      </c>
      <c r="D4162" t="str">
        <f>IF(COUNTIFS(Verweise!$A$2:$A$4542,Übersicht!$C$7,Verweise!$B$2:$B$4542,B4162)=1,"Feiertag",IF(C4162="Samstag","",IF(C4162="Sonntag","",Übersicht!$C$8)))</f>
        <v>Feiertag</v>
      </c>
    </row>
    <row r="4163" spans="1:4" x14ac:dyDescent="0.25">
      <c r="A4163" t="s">
        <v>65</v>
      </c>
      <c r="B4163" s="48">
        <v>47841</v>
      </c>
      <c r="C4163" t="s">
        <v>55</v>
      </c>
      <c r="D4163" t="str">
        <f>IF(COUNTIFS(Verweise!$A$2:$A$4542,Übersicht!$C$7,Verweise!$B$2:$B$4542,B4163)=1,"Feiertag",IF(C4163="Samstag","",IF(C4163="Sonntag","",Übersicht!$C$8)))</f>
        <v>Feiertag</v>
      </c>
    </row>
    <row r="4164" spans="1:4" x14ac:dyDescent="0.25">
      <c r="A4164" t="s">
        <v>65</v>
      </c>
      <c r="B4164" s="48">
        <v>47842</v>
      </c>
      <c r="C4164" t="s">
        <v>56</v>
      </c>
      <c r="D4164" t="str">
        <f>IF(COUNTIFS(Verweise!$A$2:$A$4542,Übersicht!$C$7,Verweise!$B$2:$B$4542,B4164)=1,"Feiertag",IF(C4164="Samstag","",IF(C4164="Sonntag","",Übersicht!$C$8)))</f>
        <v>Feiertag</v>
      </c>
    </row>
    <row r="4165" spans="1:4" x14ac:dyDescent="0.25">
      <c r="A4165" t="s">
        <v>66</v>
      </c>
      <c r="B4165" s="48">
        <v>47483</v>
      </c>
      <c r="C4165" t="s">
        <v>43</v>
      </c>
      <c r="D4165" t="str">
        <f>IF(COUNTIFS(Verweise!$A$2:$A$4542,Übersicht!$C$7,Verweise!$B$2:$B$4542,B4165)=1,"Feiertag",IF(C4165="Samstag","",IF(C4165="Sonntag","",Übersicht!$C$8)))</f>
        <v>Feiertag</v>
      </c>
    </row>
    <row r="4166" spans="1:4" x14ac:dyDescent="0.25">
      <c r="A4166" t="s">
        <v>66</v>
      </c>
      <c r="B4166" s="48">
        <v>47579</v>
      </c>
      <c r="C4166" t="s">
        <v>45</v>
      </c>
      <c r="D4166" t="str">
        <f>IF(COUNTIFS(Verweise!$A$2:$A$4542,Übersicht!$C$7,Verweise!$B$2:$B$4542,B4166)=1,"Feiertag",IF(C4166="Samstag","",IF(C4166="Sonntag","",Übersicht!$C$8)))</f>
        <v>Feiertag</v>
      </c>
    </row>
    <row r="4167" spans="1:4" x14ac:dyDescent="0.25">
      <c r="A4167" t="s">
        <v>66</v>
      </c>
      <c r="B4167" s="48">
        <v>47581</v>
      </c>
      <c r="C4167" t="s">
        <v>46</v>
      </c>
      <c r="D4167" t="str">
        <f>IF(COUNTIFS(Verweise!$A$2:$A$4542,Übersicht!$C$7,Verweise!$B$2:$B$4542,B4167)=1,"Feiertag",IF(C4167="Samstag","",IF(C4167="Sonntag","",Übersicht!$C$8)))</f>
        <v>Feiertag</v>
      </c>
    </row>
    <row r="4168" spans="1:4" x14ac:dyDescent="0.25">
      <c r="A4168" t="s">
        <v>66</v>
      </c>
      <c r="B4168" s="48">
        <v>47582</v>
      </c>
      <c r="C4168" t="s">
        <v>47</v>
      </c>
      <c r="D4168" t="str">
        <f>IF(COUNTIFS(Verweise!$A$2:$A$4542,Übersicht!$C$7,Verweise!$B$2:$B$4542,B4168)=1,"Feiertag",IF(C4168="Samstag","",IF(C4168="Sonntag","",Übersicht!$C$8)))</f>
        <v>Feiertag</v>
      </c>
    </row>
    <row r="4169" spans="1:4" x14ac:dyDescent="0.25">
      <c r="A4169" t="s">
        <v>66</v>
      </c>
      <c r="B4169" s="48">
        <v>47603</v>
      </c>
      <c r="C4169" t="s">
        <v>48</v>
      </c>
      <c r="D4169" t="str">
        <f>IF(COUNTIFS(Verweise!$A$2:$A$4542,Übersicht!$C$7,Verweise!$B$2:$B$4542,B4169)=1,"Feiertag",IF(C4169="Samstag","",IF(C4169="Sonntag","",Übersicht!$C$8)))</f>
        <v>Feiertag</v>
      </c>
    </row>
    <row r="4170" spans="1:4" x14ac:dyDescent="0.25">
      <c r="A4170" t="s">
        <v>66</v>
      </c>
      <c r="B4170" s="48">
        <v>47620</v>
      </c>
      <c r="C4170" t="s">
        <v>49</v>
      </c>
      <c r="D4170" t="str">
        <f>IF(COUNTIFS(Verweise!$A$2:$A$4542,Übersicht!$C$7,Verweise!$B$2:$B$4542,B4170)=1,"Feiertag",IF(C4170="Samstag","",IF(C4170="Sonntag","",Übersicht!$C$8)))</f>
        <v>Feiertag</v>
      </c>
    </row>
    <row r="4171" spans="1:4" x14ac:dyDescent="0.25">
      <c r="A4171" t="s">
        <v>66</v>
      </c>
      <c r="B4171" s="48">
        <v>47630</v>
      </c>
      <c r="C4171" t="s">
        <v>50</v>
      </c>
      <c r="D4171" t="str">
        <f>IF(COUNTIFS(Verweise!$A$2:$A$4542,Übersicht!$C$7,Verweise!$B$2:$B$4542,B4171)=1,"Feiertag",IF(C4171="Samstag","",IF(C4171="Sonntag","",Übersicht!$C$8)))</f>
        <v>Feiertag</v>
      </c>
    </row>
    <row r="4172" spans="1:4" x14ac:dyDescent="0.25">
      <c r="A4172" t="s">
        <v>66</v>
      </c>
      <c r="B4172" s="48">
        <v>47631</v>
      </c>
      <c r="C4172" t="s">
        <v>51</v>
      </c>
      <c r="D4172" t="str">
        <f>IF(COUNTIFS(Verweise!$A$2:$A$4542,Übersicht!$C$7,Verweise!$B$2:$B$4542,B4172)=1,"Feiertag",IF(C4172="Samstag","",IF(C4172="Sonntag","",Übersicht!$C$8)))</f>
        <v>Feiertag</v>
      </c>
    </row>
    <row r="4173" spans="1:4" x14ac:dyDescent="0.25">
      <c r="A4173" t="s">
        <v>66</v>
      </c>
      <c r="B4173" s="48">
        <v>47758</v>
      </c>
      <c r="C4173" t="s">
        <v>53</v>
      </c>
      <c r="D4173" t="str">
        <f>IF(COUNTIFS(Verweise!$A$2:$A$4542,Übersicht!$C$7,Verweise!$B$2:$B$4542,B4173)=1,"Feiertag",IF(C4173="Samstag","",IF(C4173="Sonntag","",Übersicht!$C$8)))</f>
        <v>Feiertag</v>
      </c>
    </row>
    <row r="4174" spans="1:4" x14ac:dyDescent="0.25">
      <c r="A4174" t="s">
        <v>66</v>
      </c>
      <c r="B4174" s="48">
        <v>47786</v>
      </c>
      <c r="C4174" t="s">
        <v>62</v>
      </c>
      <c r="D4174" t="str">
        <f>IF(COUNTIFS(Verweise!$A$2:$A$4542,Übersicht!$C$7,Verweise!$B$2:$B$4542,B4174)=1,"Feiertag",IF(C4174="Samstag","",IF(C4174="Sonntag","",Übersicht!$C$8)))</f>
        <v>Büro</v>
      </c>
    </row>
    <row r="4175" spans="1:4" x14ac:dyDescent="0.25">
      <c r="A4175" t="s">
        <v>66</v>
      </c>
      <c r="B4175" s="48">
        <v>47841</v>
      </c>
      <c r="C4175" t="s">
        <v>55</v>
      </c>
      <c r="D4175" t="str">
        <f>IF(COUNTIFS(Verweise!$A$2:$A$4542,Übersicht!$C$7,Verweise!$B$2:$B$4542,B4175)=1,"Feiertag",IF(C4175="Samstag","",IF(C4175="Sonntag","",Übersicht!$C$8)))</f>
        <v>Feiertag</v>
      </c>
    </row>
    <row r="4176" spans="1:4" x14ac:dyDescent="0.25">
      <c r="A4176" t="s">
        <v>66</v>
      </c>
      <c r="B4176" s="48">
        <v>47842</v>
      </c>
      <c r="C4176" t="s">
        <v>56</v>
      </c>
      <c r="D4176" t="str">
        <f>IF(COUNTIFS(Verweise!$A$2:$A$4542,Übersicht!$C$7,Verweise!$B$2:$B$4542,B4176)=1,"Feiertag",IF(C4176="Samstag","",IF(C4176="Sonntag","",Übersicht!$C$8)))</f>
        <v>Feiertag</v>
      </c>
    </row>
    <row r="4177" spans="1:4" x14ac:dyDescent="0.25">
      <c r="A4177" t="s">
        <v>67</v>
      </c>
      <c r="B4177" s="48">
        <v>47483</v>
      </c>
      <c r="C4177" t="s">
        <v>43</v>
      </c>
      <c r="D4177" t="str">
        <f>IF(COUNTIFS(Verweise!$A$2:$A$4542,Übersicht!$C$7,Verweise!$B$2:$B$4542,B4177)=1,"Feiertag",IF(C4177="Samstag","",IF(C4177="Sonntag","",Übersicht!$C$8)))</f>
        <v>Feiertag</v>
      </c>
    </row>
    <row r="4178" spans="1:4" x14ac:dyDescent="0.25">
      <c r="A4178" t="s">
        <v>67</v>
      </c>
      <c r="B4178" s="48">
        <v>47579</v>
      </c>
      <c r="C4178" t="s">
        <v>45</v>
      </c>
      <c r="D4178" t="str">
        <f>IF(COUNTIFS(Verweise!$A$2:$A$4542,Übersicht!$C$7,Verweise!$B$2:$B$4542,B4178)=1,"Feiertag",IF(C4178="Samstag","",IF(C4178="Sonntag","",Übersicht!$C$8)))</f>
        <v>Feiertag</v>
      </c>
    </row>
    <row r="4179" spans="1:4" x14ac:dyDescent="0.25">
      <c r="A4179" t="s">
        <v>67</v>
      </c>
      <c r="B4179" s="48">
        <v>47581</v>
      </c>
      <c r="C4179" t="s">
        <v>46</v>
      </c>
      <c r="D4179" t="str">
        <f>IF(COUNTIFS(Verweise!$A$2:$A$4542,Übersicht!$C$7,Verweise!$B$2:$B$4542,B4179)=1,"Feiertag",IF(C4179="Samstag","",IF(C4179="Sonntag","",Übersicht!$C$8)))</f>
        <v>Feiertag</v>
      </c>
    </row>
    <row r="4180" spans="1:4" x14ac:dyDescent="0.25">
      <c r="A4180" t="s">
        <v>67</v>
      </c>
      <c r="B4180" s="48">
        <v>47582</v>
      </c>
      <c r="C4180" t="s">
        <v>47</v>
      </c>
      <c r="D4180" t="str">
        <f>IF(COUNTIFS(Verweise!$A$2:$A$4542,Übersicht!$C$7,Verweise!$B$2:$B$4542,B4180)=1,"Feiertag",IF(C4180="Samstag","",IF(C4180="Sonntag","",Übersicht!$C$8)))</f>
        <v>Feiertag</v>
      </c>
    </row>
    <row r="4181" spans="1:4" x14ac:dyDescent="0.25">
      <c r="A4181" t="s">
        <v>67</v>
      </c>
      <c r="B4181" s="48">
        <v>47603</v>
      </c>
      <c r="C4181" t="s">
        <v>48</v>
      </c>
      <c r="D4181" t="str">
        <f>IF(COUNTIFS(Verweise!$A$2:$A$4542,Übersicht!$C$7,Verweise!$B$2:$B$4542,B4181)=1,"Feiertag",IF(C4181="Samstag","",IF(C4181="Sonntag","",Übersicht!$C$8)))</f>
        <v>Feiertag</v>
      </c>
    </row>
    <row r="4182" spans="1:4" x14ac:dyDescent="0.25">
      <c r="A4182" t="s">
        <v>67</v>
      </c>
      <c r="B4182" s="48">
        <v>47620</v>
      </c>
      <c r="C4182" t="s">
        <v>49</v>
      </c>
      <c r="D4182" t="str">
        <f>IF(COUNTIFS(Verweise!$A$2:$A$4542,Übersicht!$C$7,Verweise!$B$2:$B$4542,B4182)=1,"Feiertag",IF(C4182="Samstag","",IF(C4182="Sonntag","",Übersicht!$C$8)))</f>
        <v>Feiertag</v>
      </c>
    </row>
    <row r="4183" spans="1:4" x14ac:dyDescent="0.25">
      <c r="A4183" t="s">
        <v>67</v>
      </c>
      <c r="B4183" s="48">
        <v>47630</v>
      </c>
      <c r="C4183" t="s">
        <v>50</v>
      </c>
      <c r="D4183" t="str">
        <f>IF(COUNTIFS(Verweise!$A$2:$A$4542,Übersicht!$C$7,Verweise!$B$2:$B$4542,B4183)=1,"Feiertag",IF(C4183="Samstag","",IF(C4183="Sonntag","",Übersicht!$C$8)))</f>
        <v>Feiertag</v>
      </c>
    </row>
    <row r="4184" spans="1:4" x14ac:dyDescent="0.25">
      <c r="A4184" t="s">
        <v>67</v>
      </c>
      <c r="B4184" s="48">
        <v>47631</v>
      </c>
      <c r="C4184" t="s">
        <v>51</v>
      </c>
      <c r="D4184" t="str">
        <f>IF(COUNTIFS(Verweise!$A$2:$A$4542,Übersicht!$C$7,Verweise!$B$2:$B$4542,B4184)=1,"Feiertag",IF(C4184="Samstag","",IF(C4184="Sonntag","",Übersicht!$C$8)))</f>
        <v>Feiertag</v>
      </c>
    </row>
    <row r="4185" spans="1:4" x14ac:dyDescent="0.25">
      <c r="A4185" t="s">
        <v>67</v>
      </c>
      <c r="B4185" s="48">
        <v>47758</v>
      </c>
      <c r="C4185" t="s">
        <v>53</v>
      </c>
      <c r="D4185" t="str">
        <f>IF(COUNTIFS(Verweise!$A$2:$A$4542,Übersicht!$C$7,Verweise!$B$2:$B$4542,B4185)=1,"Feiertag",IF(C4185="Samstag","",IF(C4185="Sonntag","",Übersicht!$C$8)))</f>
        <v>Feiertag</v>
      </c>
    </row>
    <row r="4186" spans="1:4" x14ac:dyDescent="0.25">
      <c r="A4186" t="s">
        <v>67</v>
      </c>
      <c r="B4186" s="48">
        <v>47841</v>
      </c>
      <c r="C4186" t="s">
        <v>55</v>
      </c>
      <c r="D4186" t="str">
        <f>IF(COUNTIFS(Verweise!$A$2:$A$4542,Übersicht!$C$7,Verweise!$B$2:$B$4542,B4186)=1,"Feiertag",IF(C4186="Samstag","",IF(C4186="Sonntag","",Übersicht!$C$8)))</f>
        <v>Feiertag</v>
      </c>
    </row>
    <row r="4187" spans="1:4" x14ac:dyDescent="0.25">
      <c r="A4187" t="s">
        <v>67</v>
      </c>
      <c r="B4187" s="48">
        <v>47842</v>
      </c>
      <c r="C4187" t="s">
        <v>56</v>
      </c>
      <c r="D4187" t="str">
        <f>IF(COUNTIFS(Verweise!$A$2:$A$4542,Übersicht!$C$7,Verweise!$B$2:$B$4542,B4187)=1,"Feiertag",IF(C4187="Samstag","",IF(C4187="Sonntag","",Übersicht!$C$8)))</f>
        <v>Feiertag</v>
      </c>
    </row>
    <row r="4188" spans="1:4" x14ac:dyDescent="0.25">
      <c r="A4188" t="s">
        <v>68</v>
      </c>
      <c r="B4188" s="48">
        <v>47483</v>
      </c>
      <c r="C4188" t="s">
        <v>43</v>
      </c>
      <c r="D4188" t="str">
        <f>IF(COUNTIFS(Verweise!$A$2:$A$4542,Übersicht!$C$7,Verweise!$B$2:$B$4542,B4188)=1,"Feiertag",IF(C4188="Samstag","",IF(C4188="Sonntag","",Übersicht!$C$8)))</f>
        <v>Feiertag</v>
      </c>
    </row>
    <row r="4189" spans="1:4" x14ac:dyDescent="0.25">
      <c r="A4189" t="s">
        <v>68</v>
      </c>
      <c r="B4189" s="48">
        <v>47579</v>
      </c>
      <c r="C4189" t="s">
        <v>45</v>
      </c>
      <c r="D4189" t="str">
        <f>IF(COUNTIFS(Verweise!$A$2:$A$4542,Übersicht!$C$7,Verweise!$B$2:$B$4542,B4189)=1,"Feiertag",IF(C4189="Samstag","",IF(C4189="Sonntag","",Übersicht!$C$8)))</f>
        <v>Feiertag</v>
      </c>
    </row>
    <row r="4190" spans="1:4" x14ac:dyDescent="0.25">
      <c r="A4190" t="s">
        <v>68</v>
      </c>
      <c r="B4190" s="48">
        <v>47581</v>
      </c>
      <c r="C4190" t="s">
        <v>46</v>
      </c>
      <c r="D4190" t="str">
        <f>IF(COUNTIFS(Verweise!$A$2:$A$4542,Übersicht!$C$7,Verweise!$B$2:$B$4542,B4190)=1,"Feiertag",IF(C4190="Samstag","",IF(C4190="Sonntag","",Übersicht!$C$8)))</f>
        <v>Feiertag</v>
      </c>
    </row>
    <row r="4191" spans="1:4" x14ac:dyDescent="0.25">
      <c r="A4191" t="s">
        <v>68</v>
      </c>
      <c r="B4191" s="48">
        <v>47582</v>
      </c>
      <c r="C4191" t="s">
        <v>47</v>
      </c>
      <c r="D4191" t="str">
        <f>IF(COUNTIFS(Verweise!$A$2:$A$4542,Übersicht!$C$7,Verweise!$B$2:$B$4542,B4191)=1,"Feiertag",IF(C4191="Samstag","",IF(C4191="Sonntag","",Übersicht!$C$8)))</f>
        <v>Feiertag</v>
      </c>
    </row>
    <row r="4192" spans="1:4" x14ac:dyDescent="0.25">
      <c r="A4192" t="s">
        <v>68</v>
      </c>
      <c r="B4192" s="48">
        <v>47603</v>
      </c>
      <c r="C4192" t="s">
        <v>48</v>
      </c>
      <c r="D4192" t="str">
        <f>IF(COUNTIFS(Verweise!$A$2:$A$4542,Übersicht!$C$7,Verweise!$B$2:$B$4542,B4192)=1,"Feiertag",IF(C4192="Samstag","",IF(C4192="Sonntag","",Übersicht!$C$8)))</f>
        <v>Feiertag</v>
      </c>
    </row>
    <row r="4193" spans="1:4" x14ac:dyDescent="0.25">
      <c r="A4193" t="s">
        <v>68</v>
      </c>
      <c r="B4193" s="48">
        <v>47620</v>
      </c>
      <c r="C4193" t="s">
        <v>49</v>
      </c>
      <c r="D4193" t="str">
        <f>IF(COUNTIFS(Verweise!$A$2:$A$4542,Übersicht!$C$7,Verweise!$B$2:$B$4542,B4193)=1,"Feiertag",IF(C4193="Samstag","",IF(C4193="Sonntag","",Übersicht!$C$8)))</f>
        <v>Feiertag</v>
      </c>
    </row>
    <row r="4194" spans="1:4" x14ac:dyDescent="0.25">
      <c r="A4194" t="s">
        <v>68</v>
      </c>
      <c r="B4194" s="48">
        <v>47630</v>
      </c>
      <c r="C4194" t="s">
        <v>50</v>
      </c>
      <c r="D4194" t="str">
        <f>IF(COUNTIFS(Verweise!$A$2:$A$4542,Übersicht!$C$7,Verweise!$B$2:$B$4542,B4194)=1,"Feiertag",IF(C4194="Samstag","",IF(C4194="Sonntag","",Übersicht!$C$8)))</f>
        <v>Feiertag</v>
      </c>
    </row>
    <row r="4195" spans="1:4" x14ac:dyDescent="0.25">
      <c r="A4195" t="s">
        <v>68</v>
      </c>
      <c r="B4195" s="48">
        <v>47631</v>
      </c>
      <c r="C4195" t="s">
        <v>51</v>
      </c>
      <c r="D4195" t="str">
        <f>IF(COUNTIFS(Verweise!$A$2:$A$4542,Übersicht!$C$7,Verweise!$B$2:$B$4542,B4195)=1,"Feiertag",IF(C4195="Samstag","",IF(C4195="Sonntag","",Übersicht!$C$8)))</f>
        <v>Feiertag</v>
      </c>
    </row>
    <row r="4196" spans="1:4" x14ac:dyDescent="0.25">
      <c r="A4196" t="s">
        <v>68</v>
      </c>
      <c r="B4196" s="48">
        <v>47641</v>
      </c>
      <c r="C4196" t="s">
        <v>52</v>
      </c>
      <c r="D4196" t="str">
        <f>IF(COUNTIFS(Verweise!$A$2:$A$4542,Übersicht!$C$7,Verweise!$B$2:$B$4542,B4196)=1,"Feiertag",IF(C4196="Samstag","",IF(C4196="Sonntag","",Übersicht!$C$8)))</f>
        <v>Feiertag</v>
      </c>
    </row>
    <row r="4197" spans="1:4" x14ac:dyDescent="0.25">
      <c r="A4197" t="s">
        <v>68</v>
      </c>
      <c r="B4197" s="48">
        <v>47758</v>
      </c>
      <c r="C4197" t="s">
        <v>53</v>
      </c>
      <c r="D4197" t="str">
        <f>IF(COUNTIFS(Verweise!$A$2:$A$4542,Übersicht!$C$7,Verweise!$B$2:$B$4542,B4197)=1,"Feiertag",IF(C4197="Samstag","",IF(C4197="Sonntag","",Übersicht!$C$8)))</f>
        <v>Feiertag</v>
      </c>
    </row>
    <row r="4198" spans="1:4" x14ac:dyDescent="0.25">
      <c r="A4198" t="s">
        <v>68</v>
      </c>
      <c r="B4198" s="48">
        <v>47787</v>
      </c>
      <c r="C4198" t="s">
        <v>54</v>
      </c>
      <c r="D4198" t="str">
        <f>IF(COUNTIFS(Verweise!$A$2:$A$4542,Übersicht!$C$7,Verweise!$B$2:$B$4542,B4198)=1,"Feiertag",IF(C4198="Samstag","",IF(C4198="Sonntag","",Übersicht!$C$8)))</f>
        <v>Feiertag</v>
      </c>
    </row>
    <row r="4199" spans="1:4" x14ac:dyDescent="0.25">
      <c r="A4199" t="s">
        <v>68</v>
      </c>
      <c r="B4199" s="48">
        <v>47841</v>
      </c>
      <c r="C4199" t="s">
        <v>55</v>
      </c>
      <c r="D4199" t="str">
        <f>IF(COUNTIFS(Verweise!$A$2:$A$4542,Übersicht!$C$7,Verweise!$B$2:$B$4542,B4199)=1,"Feiertag",IF(C4199="Samstag","",IF(C4199="Sonntag","",Übersicht!$C$8)))</f>
        <v>Feiertag</v>
      </c>
    </row>
    <row r="4200" spans="1:4" x14ac:dyDescent="0.25">
      <c r="A4200" t="s">
        <v>68</v>
      </c>
      <c r="B4200" s="48">
        <v>47842</v>
      </c>
      <c r="C4200" t="s">
        <v>56</v>
      </c>
      <c r="D4200" t="str">
        <f>IF(COUNTIFS(Verweise!$A$2:$A$4542,Übersicht!$C$7,Verweise!$B$2:$B$4542,B4200)=1,"Feiertag",IF(C4200="Samstag","",IF(C4200="Sonntag","",Übersicht!$C$8)))</f>
        <v>Feiertag</v>
      </c>
    </row>
    <row r="4201" spans="1:4" x14ac:dyDescent="0.25">
      <c r="A4201" t="s">
        <v>69</v>
      </c>
      <c r="B4201" s="48">
        <v>47483</v>
      </c>
      <c r="C4201" t="s">
        <v>43</v>
      </c>
      <c r="D4201" t="str">
        <f>IF(COUNTIFS(Verweise!$A$2:$A$4542,Übersicht!$C$7,Verweise!$B$2:$B$4542,B4201)=1,"Feiertag",IF(C4201="Samstag","",IF(C4201="Sonntag","",Übersicht!$C$8)))</f>
        <v>Feiertag</v>
      </c>
    </row>
    <row r="4202" spans="1:4" x14ac:dyDescent="0.25">
      <c r="A4202" t="s">
        <v>69</v>
      </c>
      <c r="B4202" s="48">
        <v>47579</v>
      </c>
      <c r="C4202" t="s">
        <v>45</v>
      </c>
      <c r="D4202" t="str">
        <f>IF(COUNTIFS(Verweise!$A$2:$A$4542,Übersicht!$C$7,Verweise!$B$2:$B$4542,B4202)=1,"Feiertag",IF(C4202="Samstag","",IF(C4202="Sonntag","",Übersicht!$C$8)))</f>
        <v>Feiertag</v>
      </c>
    </row>
    <row r="4203" spans="1:4" x14ac:dyDescent="0.25">
      <c r="A4203" t="s">
        <v>69</v>
      </c>
      <c r="B4203" s="48">
        <v>47581</v>
      </c>
      <c r="C4203" t="s">
        <v>46</v>
      </c>
      <c r="D4203" t="str">
        <f>IF(COUNTIFS(Verweise!$A$2:$A$4542,Übersicht!$C$7,Verweise!$B$2:$B$4542,B4203)=1,"Feiertag",IF(C4203="Samstag","",IF(C4203="Sonntag","",Übersicht!$C$8)))</f>
        <v>Feiertag</v>
      </c>
    </row>
    <row r="4204" spans="1:4" x14ac:dyDescent="0.25">
      <c r="A4204" t="s">
        <v>69</v>
      </c>
      <c r="B4204" s="48">
        <v>47582</v>
      </c>
      <c r="C4204" t="s">
        <v>47</v>
      </c>
      <c r="D4204" t="str">
        <f>IF(COUNTIFS(Verweise!$A$2:$A$4542,Übersicht!$C$7,Verweise!$B$2:$B$4542,B4204)=1,"Feiertag",IF(C4204="Samstag","",IF(C4204="Sonntag","",Übersicht!$C$8)))</f>
        <v>Feiertag</v>
      </c>
    </row>
    <row r="4205" spans="1:4" x14ac:dyDescent="0.25">
      <c r="A4205" t="s">
        <v>69</v>
      </c>
      <c r="B4205" s="48">
        <v>47603</v>
      </c>
      <c r="C4205" t="s">
        <v>48</v>
      </c>
      <c r="D4205" t="str">
        <f>IF(COUNTIFS(Verweise!$A$2:$A$4542,Übersicht!$C$7,Verweise!$B$2:$B$4542,B4205)=1,"Feiertag",IF(C4205="Samstag","",IF(C4205="Sonntag","",Übersicht!$C$8)))</f>
        <v>Feiertag</v>
      </c>
    </row>
    <row r="4206" spans="1:4" x14ac:dyDescent="0.25">
      <c r="A4206" t="s">
        <v>69</v>
      </c>
      <c r="B4206" s="48">
        <v>47620</v>
      </c>
      <c r="C4206" t="s">
        <v>49</v>
      </c>
      <c r="D4206" t="str">
        <f>IF(COUNTIFS(Verweise!$A$2:$A$4542,Übersicht!$C$7,Verweise!$B$2:$B$4542,B4206)=1,"Feiertag",IF(C4206="Samstag","",IF(C4206="Sonntag","",Übersicht!$C$8)))</f>
        <v>Feiertag</v>
      </c>
    </row>
    <row r="4207" spans="1:4" x14ac:dyDescent="0.25">
      <c r="A4207" t="s">
        <v>69</v>
      </c>
      <c r="B4207" s="48">
        <v>47630</v>
      </c>
      <c r="C4207" t="s">
        <v>50</v>
      </c>
      <c r="D4207" t="str">
        <f>IF(COUNTIFS(Verweise!$A$2:$A$4542,Übersicht!$C$7,Verweise!$B$2:$B$4542,B4207)=1,"Feiertag",IF(C4207="Samstag","",IF(C4207="Sonntag","",Übersicht!$C$8)))</f>
        <v>Feiertag</v>
      </c>
    </row>
    <row r="4208" spans="1:4" x14ac:dyDescent="0.25">
      <c r="A4208" t="s">
        <v>69</v>
      </c>
      <c r="B4208" s="48">
        <v>47631</v>
      </c>
      <c r="C4208" t="s">
        <v>51</v>
      </c>
      <c r="D4208" t="str">
        <f>IF(COUNTIFS(Verweise!$A$2:$A$4542,Übersicht!$C$7,Verweise!$B$2:$B$4542,B4208)=1,"Feiertag",IF(C4208="Samstag","",IF(C4208="Sonntag","",Übersicht!$C$8)))</f>
        <v>Feiertag</v>
      </c>
    </row>
    <row r="4209" spans="1:4" x14ac:dyDescent="0.25">
      <c r="A4209" t="s">
        <v>69</v>
      </c>
      <c r="B4209" s="48">
        <v>47641</v>
      </c>
      <c r="C4209" t="s">
        <v>52</v>
      </c>
      <c r="D4209" t="str">
        <f>IF(COUNTIFS(Verweise!$A$2:$A$4542,Übersicht!$C$7,Verweise!$B$2:$B$4542,B4209)=1,"Feiertag",IF(C4209="Samstag","",IF(C4209="Sonntag","",Übersicht!$C$8)))</f>
        <v>Feiertag</v>
      </c>
    </row>
    <row r="4210" spans="1:4" x14ac:dyDescent="0.25">
      <c r="A4210" t="s">
        <v>69</v>
      </c>
      <c r="B4210" s="48">
        <v>47758</v>
      </c>
      <c r="C4210" t="s">
        <v>53</v>
      </c>
      <c r="D4210" t="str">
        <f>IF(COUNTIFS(Verweise!$A$2:$A$4542,Übersicht!$C$7,Verweise!$B$2:$B$4542,B4210)=1,"Feiertag",IF(C4210="Samstag","",IF(C4210="Sonntag","",Übersicht!$C$8)))</f>
        <v>Feiertag</v>
      </c>
    </row>
    <row r="4211" spans="1:4" x14ac:dyDescent="0.25">
      <c r="A4211" t="s">
        <v>69</v>
      </c>
      <c r="B4211" s="48">
        <v>47787</v>
      </c>
      <c r="C4211" t="s">
        <v>54</v>
      </c>
      <c r="D4211" t="str">
        <f>IF(COUNTIFS(Verweise!$A$2:$A$4542,Übersicht!$C$7,Verweise!$B$2:$B$4542,B4211)=1,"Feiertag",IF(C4211="Samstag","",IF(C4211="Sonntag","",Übersicht!$C$8)))</f>
        <v>Feiertag</v>
      </c>
    </row>
    <row r="4212" spans="1:4" x14ac:dyDescent="0.25">
      <c r="A4212" t="s">
        <v>69</v>
      </c>
      <c r="B4212" s="48">
        <v>47841</v>
      </c>
      <c r="C4212" t="s">
        <v>55</v>
      </c>
      <c r="D4212" t="str">
        <f>IF(COUNTIFS(Verweise!$A$2:$A$4542,Übersicht!$C$7,Verweise!$B$2:$B$4542,B4212)=1,"Feiertag",IF(C4212="Samstag","",IF(C4212="Sonntag","",Übersicht!$C$8)))</f>
        <v>Feiertag</v>
      </c>
    </row>
    <row r="4213" spans="1:4" x14ac:dyDescent="0.25">
      <c r="A4213" t="s">
        <v>69</v>
      </c>
      <c r="B4213" s="48">
        <v>47842</v>
      </c>
      <c r="C4213" t="s">
        <v>56</v>
      </c>
      <c r="D4213" t="str">
        <f>IF(COUNTIFS(Verweise!$A$2:$A$4542,Übersicht!$C$7,Verweise!$B$2:$B$4542,B4213)=1,"Feiertag",IF(C4213="Samstag","",IF(C4213="Sonntag","",Übersicht!$C$8)))</f>
        <v>Feiertag</v>
      </c>
    </row>
    <row r="4214" spans="1:4" x14ac:dyDescent="0.25">
      <c r="A4214" t="s">
        <v>70</v>
      </c>
      <c r="B4214" s="48">
        <v>47483</v>
      </c>
      <c r="C4214" t="s">
        <v>43</v>
      </c>
      <c r="D4214" t="str">
        <f>IF(COUNTIFS(Verweise!$A$2:$A$4542,Übersicht!$C$7,Verweise!$B$2:$B$4542,B4214)=1,"Feiertag",IF(C4214="Samstag","",IF(C4214="Sonntag","",Übersicht!$C$8)))</f>
        <v>Feiertag</v>
      </c>
    </row>
    <row r="4215" spans="1:4" x14ac:dyDescent="0.25">
      <c r="A4215" t="s">
        <v>70</v>
      </c>
      <c r="B4215" s="48">
        <v>47579</v>
      </c>
      <c r="C4215" t="s">
        <v>45</v>
      </c>
      <c r="D4215" t="str">
        <f>IF(COUNTIFS(Verweise!$A$2:$A$4542,Übersicht!$C$7,Verweise!$B$2:$B$4542,B4215)=1,"Feiertag",IF(C4215="Samstag","",IF(C4215="Sonntag","",Übersicht!$C$8)))</f>
        <v>Feiertag</v>
      </c>
    </row>
    <row r="4216" spans="1:4" x14ac:dyDescent="0.25">
      <c r="A4216" t="s">
        <v>70</v>
      </c>
      <c r="B4216" s="48">
        <v>47581</v>
      </c>
      <c r="C4216" t="s">
        <v>46</v>
      </c>
      <c r="D4216" t="str">
        <f>IF(COUNTIFS(Verweise!$A$2:$A$4542,Übersicht!$C$7,Verweise!$B$2:$B$4542,B4216)=1,"Feiertag",IF(C4216="Samstag","",IF(C4216="Sonntag","",Übersicht!$C$8)))</f>
        <v>Feiertag</v>
      </c>
    </row>
    <row r="4217" spans="1:4" x14ac:dyDescent="0.25">
      <c r="A4217" t="s">
        <v>70</v>
      </c>
      <c r="B4217" s="48">
        <v>47582</v>
      </c>
      <c r="C4217" t="s">
        <v>47</v>
      </c>
      <c r="D4217" t="str">
        <f>IF(COUNTIFS(Verweise!$A$2:$A$4542,Übersicht!$C$7,Verweise!$B$2:$B$4542,B4217)=1,"Feiertag",IF(C4217="Samstag","",IF(C4217="Sonntag","",Übersicht!$C$8)))</f>
        <v>Feiertag</v>
      </c>
    </row>
    <row r="4218" spans="1:4" x14ac:dyDescent="0.25">
      <c r="A4218" t="s">
        <v>70</v>
      </c>
      <c r="B4218" s="48">
        <v>47603</v>
      </c>
      <c r="C4218" t="s">
        <v>48</v>
      </c>
      <c r="D4218" t="str">
        <f>IF(COUNTIFS(Verweise!$A$2:$A$4542,Übersicht!$C$7,Verweise!$B$2:$B$4542,B4218)=1,"Feiertag",IF(C4218="Samstag","",IF(C4218="Sonntag","",Übersicht!$C$8)))</f>
        <v>Feiertag</v>
      </c>
    </row>
    <row r="4219" spans="1:4" x14ac:dyDescent="0.25">
      <c r="A4219" t="s">
        <v>70</v>
      </c>
      <c r="B4219" s="48">
        <v>47620</v>
      </c>
      <c r="C4219" t="s">
        <v>49</v>
      </c>
      <c r="D4219" t="str">
        <f>IF(COUNTIFS(Verweise!$A$2:$A$4542,Übersicht!$C$7,Verweise!$B$2:$B$4542,B4219)=1,"Feiertag",IF(C4219="Samstag","",IF(C4219="Sonntag","",Übersicht!$C$8)))</f>
        <v>Feiertag</v>
      </c>
    </row>
    <row r="4220" spans="1:4" x14ac:dyDescent="0.25">
      <c r="A4220" t="s">
        <v>70</v>
      </c>
      <c r="B4220" s="48">
        <v>47630</v>
      </c>
      <c r="C4220" t="s">
        <v>50</v>
      </c>
      <c r="D4220" t="str">
        <f>IF(COUNTIFS(Verweise!$A$2:$A$4542,Übersicht!$C$7,Verweise!$B$2:$B$4542,B4220)=1,"Feiertag",IF(C4220="Samstag","",IF(C4220="Sonntag","",Übersicht!$C$8)))</f>
        <v>Feiertag</v>
      </c>
    </row>
    <row r="4221" spans="1:4" x14ac:dyDescent="0.25">
      <c r="A4221" t="s">
        <v>70</v>
      </c>
      <c r="B4221" s="48">
        <v>47631</v>
      </c>
      <c r="C4221" t="s">
        <v>51</v>
      </c>
      <c r="D4221" t="str">
        <f>IF(COUNTIFS(Verweise!$A$2:$A$4542,Übersicht!$C$7,Verweise!$B$2:$B$4542,B4221)=1,"Feiertag",IF(C4221="Samstag","",IF(C4221="Sonntag","",Übersicht!$C$8)))</f>
        <v>Feiertag</v>
      </c>
    </row>
    <row r="4222" spans="1:4" x14ac:dyDescent="0.25">
      <c r="A4222" t="s">
        <v>70</v>
      </c>
      <c r="B4222" s="48">
        <v>47641</v>
      </c>
      <c r="C4222" t="s">
        <v>52</v>
      </c>
      <c r="D4222" t="str">
        <f>IF(COUNTIFS(Verweise!$A$2:$A$4542,Übersicht!$C$7,Verweise!$B$2:$B$4542,B4222)=1,"Feiertag",IF(C4222="Samstag","",IF(C4222="Sonntag","",Übersicht!$C$8)))</f>
        <v>Feiertag</v>
      </c>
    </row>
    <row r="4223" spans="1:4" x14ac:dyDescent="0.25">
      <c r="A4223" t="s">
        <v>70</v>
      </c>
      <c r="B4223" s="48">
        <v>47709</v>
      </c>
      <c r="C4223" t="s">
        <v>59</v>
      </c>
      <c r="D4223" t="str">
        <f>IF(COUNTIFS(Verweise!$A$2:$A$4542,Übersicht!$C$7,Verweise!$B$2:$B$4542,B4223)=1,"Feiertag",IF(C4223="Samstag","",IF(C4223="Sonntag","",Übersicht!$C$8)))</f>
        <v>Büro</v>
      </c>
    </row>
    <row r="4224" spans="1:4" x14ac:dyDescent="0.25">
      <c r="A4224" t="s">
        <v>70</v>
      </c>
      <c r="B4224" s="48">
        <v>47758</v>
      </c>
      <c r="C4224" t="s">
        <v>53</v>
      </c>
      <c r="D4224" t="str">
        <f>IF(COUNTIFS(Verweise!$A$2:$A$4542,Übersicht!$C$7,Verweise!$B$2:$B$4542,B4224)=1,"Feiertag",IF(C4224="Samstag","",IF(C4224="Sonntag","",Übersicht!$C$8)))</f>
        <v>Feiertag</v>
      </c>
    </row>
    <row r="4225" spans="1:4" x14ac:dyDescent="0.25">
      <c r="A4225" t="s">
        <v>70</v>
      </c>
      <c r="B4225" s="48">
        <v>47787</v>
      </c>
      <c r="C4225" t="s">
        <v>54</v>
      </c>
      <c r="D4225" t="str">
        <f>IF(COUNTIFS(Verweise!$A$2:$A$4542,Übersicht!$C$7,Verweise!$B$2:$B$4542,B4225)=1,"Feiertag",IF(C4225="Samstag","",IF(C4225="Sonntag","",Übersicht!$C$8)))</f>
        <v>Feiertag</v>
      </c>
    </row>
    <row r="4226" spans="1:4" x14ac:dyDescent="0.25">
      <c r="A4226" t="s">
        <v>70</v>
      </c>
      <c r="B4226" s="48">
        <v>47841</v>
      </c>
      <c r="C4226" t="s">
        <v>55</v>
      </c>
      <c r="D4226" t="str">
        <f>IF(COUNTIFS(Verweise!$A$2:$A$4542,Übersicht!$C$7,Verweise!$B$2:$B$4542,B4226)=1,"Feiertag",IF(C4226="Samstag","",IF(C4226="Sonntag","",Übersicht!$C$8)))</f>
        <v>Feiertag</v>
      </c>
    </row>
    <row r="4227" spans="1:4" x14ac:dyDescent="0.25">
      <c r="A4227" t="s">
        <v>70</v>
      </c>
      <c r="B4227" s="48">
        <v>47842</v>
      </c>
      <c r="C4227" t="s">
        <v>56</v>
      </c>
      <c r="D4227" t="str">
        <f>IF(COUNTIFS(Verweise!$A$2:$A$4542,Übersicht!$C$7,Verweise!$B$2:$B$4542,B4227)=1,"Feiertag",IF(C4227="Samstag","",IF(C4227="Sonntag","",Übersicht!$C$8)))</f>
        <v>Feiertag</v>
      </c>
    </row>
    <row r="4228" spans="1:4" x14ac:dyDescent="0.25">
      <c r="A4228" t="s">
        <v>71</v>
      </c>
      <c r="B4228" s="48">
        <v>47483</v>
      </c>
      <c r="C4228" t="s">
        <v>43</v>
      </c>
      <c r="D4228" t="str">
        <f>IF(COUNTIFS(Verweise!$A$2:$A$4542,Übersicht!$C$7,Verweise!$B$2:$B$4542,B4228)=1,"Feiertag",IF(C4228="Samstag","",IF(C4228="Sonntag","",Übersicht!$C$8)))</f>
        <v>Feiertag</v>
      </c>
    </row>
    <row r="4229" spans="1:4" x14ac:dyDescent="0.25">
      <c r="A4229" t="s">
        <v>71</v>
      </c>
      <c r="B4229" s="48">
        <v>47579</v>
      </c>
      <c r="C4229" t="s">
        <v>45</v>
      </c>
      <c r="D4229" t="str">
        <f>IF(COUNTIFS(Verweise!$A$2:$A$4542,Übersicht!$C$7,Verweise!$B$2:$B$4542,B4229)=1,"Feiertag",IF(C4229="Samstag","",IF(C4229="Sonntag","",Übersicht!$C$8)))</f>
        <v>Feiertag</v>
      </c>
    </row>
    <row r="4230" spans="1:4" x14ac:dyDescent="0.25">
      <c r="A4230" t="s">
        <v>71</v>
      </c>
      <c r="B4230" s="48">
        <v>47581</v>
      </c>
      <c r="C4230" t="s">
        <v>46</v>
      </c>
      <c r="D4230" t="str">
        <f>IF(COUNTIFS(Verweise!$A$2:$A$4542,Übersicht!$C$7,Verweise!$B$2:$B$4542,B4230)=1,"Feiertag",IF(C4230="Samstag","",IF(C4230="Sonntag","",Übersicht!$C$8)))</f>
        <v>Feiertag</v>
      </c>
    </row>
    <row r="4231" spans="1:4" x14ac:dyDescent="0.25">
      <c r="A4231" t="s">
        <v>71</v>
      </c>
      <c r="B4231" s="48">
        <v>47582</v>
      </c>
      <c r="C4231" t="s">
        <v>47</v>
      </c>
      <c r="D4231" t="str">
        <f>IF(COUNTIFS(Verweise!$A$2:$A$4542,Übersicht!$C$7,Verweise!$B$2:$B$4542,B4231)=1,"Feiertag",IF(C4231="Samstag","",IF(C4231="Sonntag","",Übersicht!$C$8)))</f>
        <v>Feiertag</v>
      </c>
    </row>
    <row r="4232" spans="1:4" x14ac:dyDescent="0.25">
      <c r="A4232" t="s">
        <v>71</v>
      </c>
      <c r="B4232" s="48">
        <v>47603</v>
      </c>
      <c r="C4232" t="s">
        <v>48</v>
      </c>
      <c r="D4232" t="str">
        <f>IF(COUNTIFS(Verweise!$A$2:$A$4542,Übersicht!$C$7,Verweise!$B$2:$B$4542,B4232)=1,"Feiertag",IF(C4232="Samstag","",IF(C4232="Sonntag","",Übersicht!$C$8)))</f>
        <v>Feiertag</v>
      </c>
    </row>
    <row r="4233" spans="1:4" x14ac:dyDescent="0.25">
      <c r="A4233" t="s">
        <v>71</v>
      </c>
      <c r="B4233" s="48">
        <v>47620</v>
      </c>
      <c r="C4233" t="s">
        <v>49</v>
      </c>
      <c r="D4233" t="str">
        <f>IF(COUNTIFS(Verweise!$A$2:$A$4542,Übersicht!$C$7,Verweise!$B$2:$B$4542,B4233)=1,"Feiertag",IF(C4233="Samstag","",IF(C4233="Sonntag","",Übersicht!$C$8)))</f>
        <v>Feiertag</v>
      </c>
    </row>
    <row r="4234" spans="1:4" x14ac:dyDescent="0.25">
      <c r="A4234" t="s">
        <v>71</v>
      </c>
      <c r="B4234" s="48">
        <v>47630</v>
      </c>
      <c r="C4234" t="s">
        <v>50</v>
      </c>
      <c r="D4234" t="str">
        <f>IF(COUNTIFS(Verweise!$A$2:$A$4542,Übersicht!$C$7,Verweise!$B$2:$B$4542,B4234)=1,"Feiertag",IF(C4234="Samstag","",IF(C4234="Sonntag","",Übersicht!$C$8)))</f>
        <v>Feiertag</v>
      </c>
    </row>
    <row r="4235" spans="1:4" x14ac:dyDescent="0.25">
      <c r="A4235" t="s">
        <v>71</v>
      </c>
      <c r="B4235" s="48">
        <v>47631</v>
      </c>
      <c r="C4235" t="s">
        <v>51</v>
      </c>
      <c r="D4235" t="str">
        <f>IF(COUNTIFS(Verweise!$A$2:$A$4542,Übersicht!$C$7,Verweise!$B$2:$B$4542,B4235)=1,"Feiertag",IF(C4235="Samstag","",IF(C4235="Sonntag","",Übersicht!$C$8)))</f>
        <v>Feiertag</v>
      </c>
    </row>
    <row r="4236" spans="1:4" x14ac:dyDescent="0.25">
      <c r="A4236" t="s">
        <v>71</v>
      </c>
      <c r="B4236" s="48">
        <v>47758</v>
      </c>
      <c r="C4236" t="s">
        <v>53</v>
      </c>
      <c r="D4236" t="str">
        <f>IF(COUNTIFS(Verweise!$A$2:$A$4542,Übersicht!$C$7,Verweise!$B$2:$B$4542,B4236)=1,"Feiertag",IF(C4236="Samstag","",IF(C4236="Sonntag","",Übersicht!$C$8)))</f>
        <v>Feiertag</v>
      </c>
    </row>
    <row r="4237" spans="1:4" x14ac:dyDescent="0.25">
      <c r="A4237" t="s">
        <v>71</v>
      </c>
      <c r="B4237" s="48">
        <v>47786</v>
      </c>
      <c r="C4237" t="s">
        <v>62</v>
      </c>
      <c r="D4237" t="str">
        <f>IF(COUNTIFS(Verweise!$A$2:$A$4542,Übersicht!$C$7,Verweise!$B$2:$B$4542,B4237)=1,"Feiertag",IF(C4237="Samstag","",IF(C4237="Sonntag","",Übersicht!$C$8)))</f>
        <v>Büro</v>
      </c>
    </row>
    <row r="4238" spans="1:4" x14ac:dyDescent="0.25">
      <c r="A4238" t="s">
        <v>71</v>
      </c>
      <c r="B4238" s="48">
        <v>47808</v>
      </c>
      <c r="C4238" t="s">
        <v>72</v>
      </c>
      <c r="D4238" t="str">
        <f>IF(COUNTIFS(Verweise!$A$2:$A$4542,Übersicht!$C$7,Verweise!$B$2:$B$4542,B4238)=1,"Feiertag",IF(C4238="Samstag","",IF(C4238="Sonntag","",Übersicht!$C$8)))</f>
        <v>Büro</v>
      </c>
    </row>
    <row r="4239" spans="1:4" x14ac:dyDescent="0.25">
      <c r="A4239" t="s">
        <v>71</v>
      </c>
      <c r="B4239" s="48">
        <v>47841</v>
      </c>
      <c r="C4239" t="s">
        <v>55</v>
      </c>
      <c r="D4239" t="str">
        <f>IF(COUNTIFS(Verweise!$A$2:$A$4542,Übersicht!$C$7,Verweise!$B$2:$B$4542,B4239)=1,"Feiertag",IF(C4239="Samstag","",IF(C4239="Sonntag","",Übersicht!$C$8)))</f>
        <v>Feiertag</v>
      </c>
    </row>
    <row r="4240" spans="1:4" x14ac:dyDescent="0.25">
      <c r="A4240" t="s">
        <v>71</v>
      </c>
      <c r="B4240" s="48">
        <v>47842</v>
      </c>
      <c r="C4240" t="s">
        <v>56</v>
      </c>
      <c r="D4240" t="str">
        <f>IF(COUNTIFS(Verweise!$A$2:$A$4542,Übersicht!$C$7,Verweise!$B$2:$B$4542,B4240)=1,"Feiertag",IF(C4240="Samstag","",IF(C4240="Sonntag","",Übersicht!$C$8)))</f>
        <v>Feiertag</v>
      </c>
    </row>
    <row r="4241" spans="1:4" x14ac:dyDescent="0.25">
      <c r="A4241" t="s">
        <v>73</v>
      </c>
      <c r="B4241" s="48">
        <v>47483</v>
      </c>
      <c r="C4241" t="s">
        <v>43</v>
      </c>
      <c r="D4241" t="str">
        <f>IF(COUNTIFS(Verweise!$A$2:$A$4542,Übersicht!$C$7,Verweise!$B$2:$B$4542,B4241)=1,"Feiertag",IF(C4241="Samstag","",IF(C4241="Sonntag","",Übersicht!$C$8)))</f>
        <v>Feiertag</v>
      </c>
    </row>
    <row r="4242" spans="1:4" x14ac:dyDescent="0.25">
      <c r="A4242" t="s">
        <v>73</v>
      </c>
      <c r="B4242" s="48">
        <v>47579</v>
      </c>
      <c r="C4242" t="s">
        <v>45</v>
      </c>
      <c r="D4242" t="str">
        <f>IF(COUNTIFS(Verweise!$A$2:$A$4542,Übersicht!$C$7,Verweise!$B$2:$B$4542,B4242)=1,"Feiertag",IF(C4242="Samstag","",IF(C4242="Sonntag","",Übersicht!$C$8)))</f>
        <v>Feiertag</v>
      </c>
    </row>
    <row r="4243" spans="1:4" x14ac:dyDescent="0.25">
      <c r="A4243" t="s">
        <v>73</v>
      </c>
      <c r="B4243" s="48">
        <v>47581</v>
      </c>
      <c r="C4243" t="s">
        <v>46</v>
      </c>
      <c r="D4243" t="str">
        <f>IF(COUNTIFS(Verweise!$A$2:$A$4542,Übersicht!$C$7,Verweise!$B$2:$B$4542,B4243)=1,"Feiertag",IF(C4243="Samstag","",IF(C4243="Sonntag","",Übersicht!$C$8)))</f>
        <v>Feiertag</v>
      </c>
    </row>
    <row r="4244" spans="1:4" x14ac:dyDescent="0.25">
      <c r="A4244" t="s">
        <v>73</v>
      </c>
      <c r="B4244" s="48">
        <v>47582</v>
      </c>
      <c r="C4244" t="s">
        <v>47</v>
      </c>
      <c r="D4244" t="str">
        <f>IF(COUNTIFS(Verweise!$A$2:$A$4542,Übersicht!$C$7,Verweise!$B$2:$B$4542,B4244)=1,"Feiertag",IF(C4244="Samstag","",IF(C4244="Sonntag","",Übersicht!$C$8)))</f>
        <v>Feiertag</v>
      </c>
    </row>
    <row r="4245" spans="1:4" x14ac:dyDescent="0.25">
      <c r="A4245" t="s">
        <v>73</v>
      </c>
      <c r="B4245" s="48">
        <v>47603</v>
      </c>
      <c r="C4245" t="s">
        <v>48</v>
      </c>
      <c r="D4245" t="str">
        <f>IF(COUNTIFS(Verweise!$A$2:$A$4542,Übersicht!$C$7,Verweise!$B$2:$B$4542,B4245)=1,"Feiertag",IF(C4245="Samstag","",IF(C4245="Sonntag","",Übersicht!$C$8)))</f>
        <v>Feiertag</v>
      </c>
    </row>
    <row r="4246" spans="1:4" x14ac:dyDescent="0.25">
      <c r="A4246" t="s">
        <v>73</v>
      </c>
      <c r="B4246" s="48">
        <v>47620</v>
      </c>
      <c r="C4246" t="s">
        <v>49</v>
      </c>
      <c r="D4246" t="str">
        <f>IF(COUNTIFS(Verweise!$A$2:$A$4542,Übersicht!$C$7,Verweise!$B$2:$B$4542,B4246)=1,"Feiertag",IF(C4246="Samstag","",IF(C4246="Sonntag","",Übersicht!$C$8)))</f>
        <v>Feiertag</v>
      </c>
    </row>
    <row r="4247" spans="1:4" x14ac:dyDescent="0.25">
      <c r="A4247" t="s">
        <v>73</v>
      </c>
      <c r="B4247" s="48">
        <v>47630</v>
      </c>
      <c r="C4247" t="s">
        <v>50</v>
      </c>
      <c r="D4247" t="str">
        <f>IF(COUNTIFS(Verweise!$A$2:$A$4542,Übersicht!$C$7,Verweise!$B$2:$B$4542,B4247)=1,"Feiertag",IF(C4247="Samstag","",IF(C4247="Sonntag","",Übersicht!$C$8)))</f>
        <v>Feiertag</v>
      </c>
    </row>
    <row r="4248" spans="1:4" x14ac:dyDescent="0.25">
      <c r="A4248" t="s">
        <v>73</v>
      </c>
      <c r="B4248" s="48">
        <v>47631</v>
      </c>
      <c r="C4248" t="s">
        <v>51</v>
      </c>
      <c r="D4248" t="str">
        <f>IF(COUNTIFS(Verweise!$A$2:$A$4542,Übersicht!$C$7,Verweise!$B$2:$B$4542,B4248)=1,"Feiertag",IF(C4248="Samstag","",IF(C4248="Sonntag","",Übersicht!$C$8)))</f>
        <v>Feiertag</v>
      </c>
    </row>
    <row r="4249" spans="1:4" x14ac:dyDescent="0.25">
      <c r="A4249" t="s">
        <v>73</v>
      </c>
      <c r="B4249" s="48">
        <v>47641</v>
      </c>
      <c r="C4249" t="s">
        <v>52</v>
      </c>
      <c r="D4249" t="str">
        <f>IF(COUNTIFS(Verweise!$A$2:$A$4542,Übersicht!$C$7,Verweise!$B$2:$B$4542,B4249)=1,"Feiertag",IF(C4249="Samstag","",IF(C4249="Sonntag","",Übersicht!$C$8)))</f>
        <v>Feiertag</v>
      </c>
    </row>
    <row r="4250" spans="1:4" x14ac:dyDescent="0.25">
      <c r="A4250" t="s">
        <v>73</v>
      </c>
      <c r="B4250" s="48">
        <v>47758</v>
      </c>
      <c r="C4250" t="s">
        <v>53</v>
      </c>
      <c r="D4250" t="str">
        <f>IF(COUNTIFS(Verweise!$A$2:$A$4542,Übersicht!$C$7,Verweise!$B$2:$B$4542,B4250)=1,"Feiertag",IF(C4250="Samstag","",IF(C4250="Sonntag","",Übersicht!$C$8)))</f>
        <v>Feiertag</v>
      </c>
    </row>
    <row r="4251" spans="1:4" x14ac:dyDescent="0.25">
      <c r="A4251" t="s">
        <v>73</v>
      </c>
      <c r="B4251" s="48">
        <v>47786</v>
      </c>
      <c r="C4251" t="s">
        <v>62</v>
      </c>
      <c r="D4251" t="str">
        <f>IF(COUNTIFS(Verweise!$A$2:$A$4542,Übersicht!$C$7,Verweise!$B$2:$B$4542,B4251)=1,"Feiertag",IF(C4251="Samstag","",IF(C4251="Sonntag","",Übersicht!$C$8)))</f>
        <v>Büro</v>
      </c>
    </row>
    <row r="4252" spans="1:4" x14ac:dyDescent="0.25">
      <c r="A4252" t="s">
        <v>73</v>
      </c>
      <c r="B4252" s="48">
        <v>47808</v>
      </c>
      <c r="C4252" t="s">
        <v>72</v>
      </c>
      <c r="D4252" t="str">
        <f>IF(COUNTIFS(Verweise!$A$2:$A$4542,Übersicht!$C$7,Verweise!$B$2:$B$4542,B4252)=1,"Feiertag",IF(C4252="Samstag","",IF(C4252="Sonntag","",Übersicht!$C$8)))</f>
        <v>Büro</v>
      </c>
    </row>
    <row r="4253" spans="1:4" x14ac:dyDescent="0.25">
      <c r="A4253" t="s">
        <v>73</v>
      </c>
      <c r="B4253" s="48">
        <v>47841</v>
      </c>
      <c r="C4253" t="s">
        <v>55</v>
      </c>
      <c r="D4253" t="str">
        <f>IF(COUNTIFS(Verweise!$A$2:$A$4542,Übersicht!$C$7,Verweise!$B$2:$B$4542,B4253)=1,"Feiertag",IF(C4253="Samstag","",IF(C4253="Sonntag","",Übersicht!$C$8)))</f>
        <v>Feiertag</v>
      </c>
    </row>
    <row r="4254" spans="1:4" x14ac:dyDescent="0.25">
      <c r="A4254" t="s">
        <v>73</v>
      </c>
      <c r="B4254" s="48">
        <v>47842</v>
      </c>
      <c r="C4254" t="s">
        <v>56</v>
      </c>
      <c r="D4254" t="str">
        <f>IF(COUNTIFS(Verweise!$A$2:$A$4542,Übersicht!$C$7,Verweise!$B$2:$B$4542,B4254)=1,"Feiertag",IF(C4254="Samstag","",IF(C4254="Sonntag","",Übersicht!$C$8)))</f>
        <v>Feiertag</v>
      </c>
    </row>
    <row r="4255" spans="1:4" x14ac:dyDescent="0.25">
      <c r="A4255" t="s">
        <v>74</v>
      </c>
      <c r="B4255" s="48">
        <v>47483</v>
      </c>
      <c r="C4255" t="s">
        <v>43</v>
      </c>
      <c r="D4255" t="str">
        <f>IF(COUNTIFS(Verweise!$A$2:$A$4542,Übersicht!$C$7,Verweise!$B$2:$B$4542,B4255)=1,"Feiertag",IF(C4255="Samstag","",IF(C4255="Sonntag","",Übersicht!$C$8)))</f>
        <v>Feiertag</v>
      </c>
    </row>
    <row r="4256" spans="1:4" x14ac:dyDescent="0.25">
      <c r="A4256" t="s">
        <v>74</v>
      </c>
      <c r="B4256" s="48">
        <v>47488</v>
      </c>
      <c r="C4256" t="s">
        <v>44</v>
      </c>
      <c r="D4256" t="str">
        <f>IF(COUNTIFS(Verweise!$A$2:$A$4542,Übersicht!$C$7,Verweise!$B$2:$B$4542,B4256)=1,"Feiertag",IF(C4256="Samstag","",IF(C4256="Sonntag","",Übersicht!$C$8)))</f>
        <v>Büro</v>
      </c>
    </row>
    <row r="4257" spans="1:4" x14ac:dyDescent="0.25">
      <c r="A4257" t="s">
        <v>74</v>
      </c>
      <c r="B4257" s="48">
        <v>47579</v>
      </c>
      <c r="C4257" t="s">
        <v>45</v>
      </c>
      <c r="D4257" t="str">
        <f>IF(COUNTIFS(Verweise!$A$2:$A$4542,Übersicht!$C$7,Verweise!$B$2:$B$4542,B4257)=1,"Feiertag",IF(C4257="Samstag","",IF(C4257="Sonntag","",Übersicht!$C$8)))</f>
        <v>Feiertag</v>
      </c>
    </row>
    <row r="4258" spans="1:4" x14ac:dyDescent="0.25">
      <c r="A4258" t="s">
        <v>74</v>
      </c>
      <c r="B4258" s="48">
        <v>47581</v>
      </c>
      <c r="C4258" t="s">
        <v>46</v>
      </c>
      <c r="D4258" t="str">
        <f>IF(COUNTIFS(Verweise!$A$2:$A$4542,Übersicht!$C$7,Verweise!$B$2:$B$4542,B4258)=1,"Feiertag",IF(C4258="Samstag","",IF(C4258="Sonntag","",Übersicht!$C$8)))</f>
        <v>Feiertag</v>
      </c>
    </row>
    <row r="4259" spans="1:4" x14ac:dyDescent="0.25">
      <c r="A4259" t="s">
        <v>74</v>
      </c>
      <c r="B4259" s="48">
        <v>47582</v>
      </c>
      <c r="C4259" t="s">
        <v>47</v>
      </c>
      <c r="D4259" t="str">
        <f>IF(COUNTIFS(Verweise!$A$2:$A$4542,Übersicht!$C$7,Verweise!$B$2:$B$4542,B4259)=1,"Feiertag",IF(C4259="Samstag","",IF(C4259="Sonntag","",Übersicht!$C$8)))</f>
        <v>Feiertag</v>
      </c>
    </row>
    <row r="4260" spans="1:4" x14ac:dyDescent="0.25">
      <c r="A4260" t="s">
        <v>74</v>
      </c>
      <c r="B4260" s="48">
        <v>47603</v>
      </c>
      <c r="C4260" t="s">
        <v>48</v>
      </c>
      <c r="D4260" t="str">
        <f>IF(COUNTIFS(Verweise!$A$2:$A$4542,Übersicht!$C$7,Verweise!$B$2:$B$4542,B4260)=1,"Feiertag",IF(C4260="Samstag","",IF(C4260="Sonntag","",Übersicht!$C$8)))</f>
        <v>Feiertag</v>
      </c>
    </row>
    <row r="4261" spans="1:4" x14ac:dyDescent="0.25">
      <c r="A4261" t="s">
        <v>74</v>
      </c>
      <c r="B4261" s="48">
        <v>47620</v>
      </c>
      <c r="C4261" t="s">
        <v>49</v>
      </c>
      <c r="D4261" t="str">
        <f>IF(COUNTIFS(Verweise!$A$2:$A$4542,Übersicht!$C$7,Verweise!$B$2:$B$4542,B4261)=1,"Feiertag",IF(C4261="Samstag","",IF(C4261="Sonntag","",Übersicht!$C$8)))</f>
        <v>Feiertag</v>
      </c>
    </row>
    <row r="4262" spans="1:4" x14ac:dyDescent="0.25">
      <c r="A4262" t="s">
        <v>74</v>
      </c>
      <c r="B4262" s="48">
        <v>47630</v>
      </c>
      <c r="C4262" t="s">
        <v>50</v>
      </c>
      <c r="D4262" t="str">
        <f>IF(COUNTIFS(Verweise!$A$2:$A$4542,Übersicht!$C$7,Verweise!$B$2:$B$4542,B4262)=1,"Feiertag",IF(C4262="Samstag","",IF(C4262="Sonntag","",Übersicht!$C$8)))</f>
        <v>Feiertag</v>
      </c>
    </row>
    <row r="4263" spans="1:4" x14ac:dyDescent="0.25">
      <c r="A4263" t="s">
        <v>74</v>
      </c>
      <c r="B4263" s="48">
        <v>47631</v>
      </c>
      <c r="C4263" t="s">
        <v>51</v>
      </c>
      <c r="D4263" t="str">
        <f>IF(COUNTIFS(Verweise!$A$2:$A$4542,Übersicht!$C$7,Verweise!$B$2:$B$4542,B4263)=1,"Feiertag",IF(C4263="Samstag","",IF(C4263="Sonntag","",Übersicht!$C$8)))</f>
        <v>Feiertag</v>
      </c>
    </row>
    <row r="4264" spans="1:4" x14ac:dyDescent="0.25">
      <c r="A4264" t="s">
        <v>74</v>
      </c>
      <c r="B4264" s="48">
        <v>47758</v>
      </c>
      <c r="C4264" t="s">
        <v>53</v>
      </c>
      <c r="D4264" t="str">
        <f>IF(COUNTIFS(Verweise!$A$2:$A$4542,Übersicht!$C$7,Verweise!$B$2:$B$4542,B4264)=1,"Feiertag",IF(C4264="Samstag","",IF(C4264="Sonntag","",Übersicht!$C$8)))</f>
        <v>Feiertag</v>
      </c>
    </row>
    <row r="4265" spans="1:4" x14ac:dyDescent="0.25">
      <c r="A4265" t="s">
        <v>74</v>
      </c>
      <c r="B4265" s="48">
        <v>47786</v>
      </c>
      <c r="C4265" t="s">
        <v>62</v>
      </c>
      <c r="D4265" t="str">
        <f>IF(COUNTIFS(Verweise!$A$2:$A$4542,Übersicht!$C$7,Verweise!$B$2:$B$4542,B4265)=1,"Feiertag",IF(C4265="Samstag","",IF(C4265="Sonntag","",Übersicht!$C$8)))</f>
        <v>Büro</v>
      </c>
    </row>
    <row r="4266" spans="1:4" x14ac:dyDescent="0.25">
      <c r="A4266" t="s">
        <v>74</v>
      </c>
      <c r="B4266" s="48">
        <v>47841</v>
      </c>
      <c r="C4266" t="s">
        <v>55</v>
      </c>
      <c r="D4266" t="str">
        <f>IF(COUNTIFS(Verweise!$A$2:$A$4542,Übersicht!$C$7,Verweise!$B$2:$B$4542,B4266)=1,"Feiertag",IF(C4266="Samstag","",IF(C4266="Sonntag","",Übersicht!$C$8)))</f>
        <v>Feiertag</v>
      </c>
    </row>
    <row r="4267" spans="1:4" x14ac:dyDescent="0.25">
      <c r="A4267" t="s">
        <v>74</v>
      </c>
      <c r="B4267" s="48">
        <v>47842</v>
      </c>
      <c r="C4267" t="s">
        <v>56</v>
      </c>
      <c r="D4267" t="str">
        <f>IF(COUNTIFS(Verweise!$A$2:$A$4542,Übersicht!$C$7,Verweise!$B$2:$B$4542,B4267)=1,"Feiertag",IF(C4267="Samstag","",IF(C4267="Sonntag","",Übersicht!$C$8)))</f>
        <v>Feiertag</v>
      </c>
    </row>
    <row r="4268" spans="1:4" x14ac:dyDescent="0.25">
      <c r="A4268" t="s">
        <v>75</v>
      </c>
      <c r="B4268" s="48">
        <v>47483</v>
      </c>
      <c r="C4268" t="s">
        <v>43</v>
      </c>
      <c r="D4268" t="str">
        <f>IF(COUNTIFS(Verweise!$A$2:$A$4542,Übersicht!$C$7,Verweise!$B$2:$B$4542,B4268)=1,"Feiertag",IF(C4268="Samstag","",IF(C4268="Sonntag","",Übersicht!$C$8)))</f>
        <v>Feiertag</v>
      </c>
    </row>
    <row r="4269" spans="1:4" x14ac:dyDescent="0.25">
      <c r="A4269" t="s">
        <v>75</v>
      </c>
      <c r="B4269" s="48">
        <v>47579</v>
      </c>
      <c r="C4269" t="s">
        <v>45</v>
      </c>
      <c r="D4269" t="str">
        <f>IF(COUNTIFS(Verweise!$A$2:$A$4542,Übersicht!$C$7,Verweise!$B$2:$B$4542,B4269)=1,"Feiertag",IF(C4269="Samstag","",IF(C4269="Sonntag","",Übersicht!$C$8)))</f>
        <v>Feiertag</v>
      </c>
    </row>
    <row r="4270" spans="1:4" x14ac:dyDescent="0.25">
      <c r="A4270" t="s">
        <v>75</v>
      </c>
      <c r="B4270" s="48">
        <v>47581</v>
      </c>
      <c r="C4270" t="s">
        <v>46</v>
      </c>
      <c r="D4270" t="str">
        <f>IF(COUNTIFS(Verweise!$A$2:$A$4542,Übersicht!$C$7,Verweise!$B$2:$B$4542,B4270)=1,"Feiertag",IF(C4270="Samstag","",IF(C4270="Sonntag","",Übersicht!$C$8)))</f>
        <v>Feiertag</v>
      </c>
    </row>
    <row r="4271" spans="1:4" x14ac:dyDescent="0.25">
      <c r="A4271" t="s">
        <v>75</v>
      </c>
      <c r="B4271" s="48">
        <v>47582</v>
      </c>
      <c r="C4271" t="s">
        <v>47</v>
      </c>
      <c r="D4271" t="str">
        <f>IF(COUNTIFS(Verweise!$A$2:$A$4542,Übersicht!$C$7,Verweise!$B$2:$B$4542,B4271)=1,"Feiertag",IF(C4271="Samstag","",IF(C4271="Sonntag","",Übersicht!$C$8)))</f>
        <v>Feiertag</v>
      </c>
    </row>
    <row r="4272" spans="1:4" x14ac:dyDescent="0.25">
      <c r="A4272" t="s">
        <v>75</v>
      </c>
      <c r="B4272" s="48">
        <v>47603</v>
      </c>
      <c r="C4272" t="s">
        <v>48</v>
      </c>
      <c r="D4272" t="str">
        <f>IF(COUNTIFS(Verweise!$A$2:$A$4542,Übersicht!$C$7,Verweise!$B$2:$B$4542,B4272)=1,"Feiertag",IF(C4272="Samstag","",IF(C4272="Sonntag","",Übersicht!$C$8)))</f>
        <v>Feiertag</v>
      </c>
    </row>
    <row r="4273" spans="1:4" x14ac:dyDescent="0.25">
      <c r="A4273" t="s">
        <v>75</v>
      </c>
      <c r="B4273" s="48">
        <v>47620</v>
      </c>
      <c r="C4273" t="s">
        <v>49</v>
      </c>
      <c r="D4273" t="str">
        <f>IF(COUNTIFS(Verweise!$A$2:$A$4542,Übersicht!$C$7,Verweise!$B$2:$B$4542,B4273)=1,"Feiertag",IF(C4273="Samstag","",IF(C4273="Sonntag","",Übersicht!$C$8)))</f>
        <v>Feiertag</v>
      </c>
    </row>
    <row r="4274" spans="1:4" x14ac:dyDescent="0.25">
      <c r="A4274" t="s">
        <v>75</v>
      </c>
      <c r="B4274" s="48">
        <v>47630</v>
      </c>
      <c r="C4274" t="s">
        <v>50</v>
      </c>
      <c r="D4274" t="str">
        <f>IF(COUNTIFS(Verweise!$A$2:$A$4542,Übersicht!$C$7,Verweise!$B$2:$B$4542,B4274)=1,"Feiertag",IF(C4274="Samstag","",IF(C4274="Sonntag","",Übersicht!$C$8)))</f>
        <v>Feiertag</v>
      </c>
    </row>
    <row r="4275" spans="1:4" x14ac:dyDescent="0.25">
      <c r="A4275" t="s">
        <v>75</v>
      </c>
      <c r="B4275" s="48">
        <v>47631</v>
      </c>
      <c r="C4275" t="s">
        <v>51</v>
      </c>
      <c r="D4275" t="str">
        <f>IF(COUNTIFS(Verweise!$A$2:$A$4542,Übersicht!$C$7,Verweise!$B$2:$B$4542,B4275)=1,"Feiertag",IF(C4275="Samstag","",IF(C4275="Sonntag","",Übersicht!$C$8)))</f>
        <v>Feiertag</v>
      </c>
    </row>
    <row r="4276" spans="1:4" x14ac:dyDescent="0.25">
      <c r="A4276" t="s">
        <v>75</v>
      </c>
      <c r="B4276" s="48">
        <v>47758</v>
      </c>
      <c r="C4276" t="s">
        <v>53</v>
      </c>
      <c r="D4276" t="str">
        <f>IF(COUNTIFS(Verweise!$A$2:$A$4542,Übersicht!$C$7,Verweise!$B$2:$B$4542,B4276)=1,"Feiertag",IF(C4276="Samstag","",IF(C4276="Sonntag","",Übersicht!$C$8)))</f>
        <v>Feiertag</v>
      </c>
    </row>
    <row r="4277" spans="1:4" x14ac:dyDescent="0.25">
      <c r="A4277" t="s">
        <v>75</v>
      </c>
      <c r="B4277" s="48">
        <v>47841</v>
      </c>
      <c r="C4277" t="s">
        <v>55</v>
      </c>
      <c r="D4277" t="str">
        <f>IF(COUNTIFS(Verweise!$A$2:$A$4542,Übersicht!$C$7,Verweise!$B$2:$B$4542,B4277)=1,"Feiertag",IF(C4277="Samstag","",IF(C4277="Sonntag","",Übersicht!$C$8)))</f>
        <v>Feiertag</v>
      </c>
    </row>
    <row r="4278" spans="1:4" x14ac:dyDescent="0.25">
      <c r="A4278" t="s">
        <v>75</v>
      </c>
      <c r="B4278" s="48">
        <v>47842</v>
      </c>
      <c r="C4278" t="s">
        <v>56</v>
      </c>
      <c r="D4278" t="str">
        <f>IF(COUNTIFS(Verweise!$A$2:$A$4542,Übersicht!$C$7,Verweise!$B$2:$B$4542,B4278)=1,"Feiertag",IF(C4278="Samstag","",IF(C4278="Sonntag","",Übersicht!$C$8)))</f>
        <v>Feiertag</v>
      </c>
    </row>
    <row r="4279" spans="1:4" x14ac:dyDescent="0.25">
      <c r="A4279" t="s">
        <v>76</v>
      </c>
      <c r="B4279" s="48">
        <v>47483</v>
      </c>
      <c r="C4279" t="s">
        <v>43</v>
      </c>
      <c r="D4279" t="str">
        <f>IF(COUNTIFS(Verweise!$A$2:$A$4542,Übersicht!$C$7,Verweise!$B$2:$B$4542,B4279)=1,"Feiertag",IF(C4279="Samstag","",IF(C4279="Sonntag","",Übersicht!$C$8)))</f>
        <v>Feiertag</v>
      </c>
    </row>
    <row r="4280" spans="1:4" x14ac:dyDescent="0.25">
      <c r="A4280" t="s">
        <v>76</v>
      </c>
      <c r="B4280" s="48">
        <v>47579</v>
      </c>
      <c r="C4280" t="s">
        <v>45</v>
      </c>
      <c r="D4280" t="str">
        <f>IF(COUNTIFS(Verweise!$A$2:$A$4542,Übersicht!$C$7,Verweise!$B$2:$B$4542,B4280)=1,"Feiertag",IF(C4280="Samstag","",IF(C4280="Sonntag","",Übersicht!$C$8)))</f>
        <v>Feiertag</v>
      </c>
    </row>
    <row r="4281" spans="1:4" x14ac:dyDescent="0.25">
      <c r="A4281" t="s">
        <v>76</v>
      </c>
      <c r="B4281" s="48">
        <v>47581</v>
      </c>
      <c r="C4281" t="s">
        <v>46</v>
      </c>
      <c r="D4281" t="str">
        <f>IF(COUNTIFS(Verweise!$A$2:$A$4542,Übersicht!$C$7,Verweise!$B$2:$B$4542,B4281)=1,"Feiertag",IF(C4281="Samstag","",IF(C4281="Sonntag","",Übersicht!$C$8)))</f>
        <v>Feiertag</v>
      </c>
    </row>
    <row r="4282" spans="1:4" x14ac:dyDescent="0.25">
      <c r="A4282" t="s">
        <v>76</v>
      </c>
      <c r="B4282" s="48">
        <v>47582</v>
      </c>
      <c r="C4282" t="s">
        <v>47</v>
      </c>
      <c r="D4282" t="str">
        <f>IF(COUNTIFS(Verweise!$A$2:$A$4542,Übersicht!$C$7,Verweise!$B$2:$B$4542,B4282)=1,"Feiertag",IF(C4282="Samstag","",IF(C4282="Sonntag","",Übersicht!$C$8)))</f>
        <v>Feiertag</v>
      </c>
    </row>
    <row r="4283" spans="1:4" x14ac:dyDescent="0.25">
      <c r="A4283" t="s">
        <v>76</v>
      </c>
      <c r="B4283" s="48">
        <v>47603</v>
      </c>
      <c r="C4283" t="s">
        <v>48</v>
      </c>
      <c r="D4283" t="str">
        <f>IF(COUNTIFS(Verweise!$A$2:$A$4542,Übersicht!$C$7,Verweise!$B$2:$B$4542,B4283)=1,"Feiertag",IF(C4283="Samstag","",IF(C4283="Sonntag","",Übersicht!$C$8)))</f>
        <v>Feiertag</v>
      </c>
    </row>
    <row r="4284" spans="1:4" x14ac:dyDescent="0.25">
      <c r="A4284" t="s">
        <v>76</v>
      </c>
      <c r="B4284" s="48">
        <v>47620</v>
      </c>
      <c r="C4284" t="s">
        <v>49</v>
      </c>
      <c r="D4284" t="str">
        <f>IF(COUNTIFS(Verweise!$A$2:$A$4542,Übersicht!$C$7,Verweise!$B$2:$B$4542,B4284)=1,"Feiertag",IF(C4284="Samstag","",IF(C4284="Sonntag","",Übersicht!$C$8)))</f>
        <v>Feiertag</v>
      </c>
    </row>
    <row r="4285" spans="1:4" x14ac:dyDescent="0.25">
      <c r="A4285" t="s">
        <v>76</v>
      </c>
      <c r="B4285" s="48">
        <v>47630</v>
      </c>
      <c r="C4285" t="s">
        <v>50</v>
      </c>
      <c r="D4285" t="str">
        <f>IF(COUNTIFS(Verweise!$A$2:$A$4542,Übersicht!$C$7,Verweise!$B$2:$B$4542,B4285)=1,"Feiertag",IF(C4285="Samstag","",IF(C4285="Sonntag","",Übersicht!$C$8)))</f>
        <v>Feiertag</v>
      </c>
    </row>
    <row r="4286" spans="1:4" x14ac:dyDescent="0.25">
      <c r="A4286" t="s">
        <v>76</v>
      </c>
      <c r="B4286" s="48">
        <v>47631</v>
      </c>
      <c r="C4286" t="s">
        <v>51</v>
      </c>
      <c r="D4286" t="str">
        <f>IF(COUNTIFS(Verweise!$A$2:$A$4542,Übersicht!$C$7,Verweise!$B$2:$B$4542,B4286)=1,"Feiertag",IF(C4286="Samstag","",IF(C4286="Sonntag","",Übersicht!$C$8)))</f>
        <v>Feiertag</v>
      </c>
    </row>
    <row r="4287" spans="1:4" x14ac:dyDescent="0.25">
      <c r="A4287" t="s">
        <v>76</v>
      </c>
      <c r="B4287" s="48">
        <v>47758</v>
      </c>
      <c r="C4287" t="s">
        <v>53</v>
      </c>
      <c r="D4287" t="str">
        <f>IF(COUNTIFS(Verweise!$A$2:$A$4542,Übersicht!$C$7,Verweise!$B$2:$B$4542,B4287)=1,"Feiertag",IF(C4287="Samstag","",IF(C4287="Sonntag","",Übersicht!$C$8)))</f>
        <v>Feiertag</v>
      </c>
    </row>
    <row r="4288" spans="1:4" x14ac:dyDescent="0.25">
      <c r="A4288" t="s">
        <v>76</v>
      </c>
      <c r="B4288" s="48">
        <v>47786</v>
      </c>
      <c r="C4288" t="s">
        <v>62</v>
      </c>
      <c r="D4288" t="str">
        <f>IF(COUNTIFS(Verweise!$A$2:$A$4542,Übersicht!$C$7,Verweise!$B$2:$B$4542,B4288)=1,"Feiertag",IF(C4288="Samstag","",IF(C4288="Sonntag","",Übersicht!$C$8)))</f>
        <v>Büro</v>
      </c>
    </row>
    <row r="4289" spans="1:4" x14ac:dyDescent="0.25">
      <c r="A4289" t="s">
        <v>76</v>
      </c>
      <c r="B4289" s="48">
        <v>47841</v>
      </c>
      <c r="C4289" t="s">
        <v>55</v>
      </c>
      <c r="D4289" t="str">
        <f>IF(COUNTIFS(Verweise!$A$2:$A$4542,Übersicht!$C$7,Verweise!$B$2:$B$4542,B4289)=1,"Feiertag",IF(C4289="Samstag","",IF(C4289="Sonntag","",Übersicht!$C$8)))</f>
        <v>Feiertag</v>
      </c>
    </row>
    <row r="4290" spans="1:4" x14ac:dyDescent="0.25">
      <c r="A4290" t="s">
        <v>76</v>
      </c>
      <c r="B4290" s="48">
        <v>47842</v>
      </c>
      <c r="C4290" t="s">
        <v>56</v>
      </c>
      <c r="D4290" t="str">
        <f>IF(COUNTIFS(Verweise!$A$2:$A$4542,Übersicht!$C$7,Verweise!$B$2:$B$4542,B4290)=1,"Feiertag",IF(C4290="Samstag","",IF(C4290="Sonntag","",Übersicht!$C$8)))</f>
        <v>Feiertag</v>
      </c>
    </row>
    <row r="4291" spans="1:4" x14ac:dyDescent="0.25">
      <c r="A4291" t="s">
        <v>77</v>
      </c>
      <c r="B4291" s="48">
        <v>47483</v>
      </c>
      <c r="C4291" t="s">
        <v>43</v>
      </c>
      <c r="D4291" t="str">
        <f>IF(COUNTIFS(Verweise!$A$2:$A$4542,Übersicht!$C$7,Verweise!$B$2:$B$4542,B4291)=1,"Feiertag",IF(C4291="Samstag","",IF(C4291="Sonntag","",Übersicht!$C$8)))</f>
        <v>Feiertag</v>
      </c>
    </row>
    <row r="4292" spans="1:4" x14ac:dyDescent="0.25">
      <c r="A4292" t="s">
        <v>77</v>
      </c>
      <c r="B4292" s="48">
        <v>47579</v>
      </c>
      <c r="C4292" t="s">
        <v>45</v>
      </c>
      <c r="D4292" t="str">
        <f>IF(COUNTIFS(Verweise!$A$2:$A$4542,Übersicht!$C$7,Verweise!$B$2:$B$4542,B4292)=1,"Feiertag",IF(C4292="Samstag","",IF(C4292="Sonntag","",Übersicht!$C$8)))</f>
        <v>Feiertag</v>
      </c>
    </row>
    <row r="4293" spans="1:4" x14ac:dyDescent="0.25">
      <c r="A4293" t="s">
        <v>77</v>
      </c>
      <c r="B4293" s="48">
        <v>47581</v>
      </c>
      <c r="C4293" t="s">
        <v>46</v>
      </c>
      <c r="D4293" t="str">
        <f>IF(COUNTIFS(Verweise!$A$2:$A$4542,Übersicht!$C$7,Verweise!$B$2:$B$4542,B4293)=1,"Feiertag",IF(C4293="Samstag","",IF(C4293="Sonntag","",Übersicht!$C$8)))</f>
        <v>Feiertag</v>
      </c>
    </row>
    <row r="4294" spans="1:4" x14ac:dyDescent="0.25">
      <c r="A4294" t="s">
        <v>77</v>
      </c>
      <c r="B4294" s="48">
        <v>47582</v>
      </c>
      <c r="C4294" t="s">
        <v>47</v>
      </c>
      <c r="D4294" t="str">
        <f>IF(COUNTIFS(Verweise!$A$2:$A$4542,Übersicht!$C$7,Verweise!$B$2:$B$4542,B4294)=1,"Feiertag",IF(C4294="Samstag","",IF(C4294="Sonntag","",Übersicht!$C$8)))</f>
        <v>Feiertag</v>
      </c>
    </row>
    <row r="4295" spans="1:4" x14ac:dyDescent="0.25">
      <c r="A4295" t="s">
        <v>77</v>
      </c>
      <c r="B4295" s="48">
        <v>47603</v>
      </c>
      <c r="C4295" t="s">
        <v>48</v>
      </c>
      <c r="D4295" t="str">
        <f>IF(COUNTIFS(Verweise!$A$2:$A$4542,Übersicht!$C$7,Verweise!$B$2:$B$4542,B4295)=1,"Feiertag",IF(C4295="Samstag","",IF(C4295="Sonntag","",Übersicht!$C$8)))</f>
        <v>Feiertag</v>
      </c>
    </row>
    <row r="4296" spans="1:4" x14ac:dyDescent="0.25">
      <c r="A4296" t="s">
        <v>77</v>
      </c>
      <c r="B4296" s="48">
        <v>47620</v>
      </c>
      <c r="C4296" t="s">
        <v>49</v>
      </c>
      <c r="D4296" t="str">
        <f>IF(COUNTIFS(Verweise!$A$2:$A$4542,Übersicht!$C$7,Verweise!$B$2:$B$4542,B4296)=1,"Feiertag",IF(C4296="Samstag","",IF(C4296="Sonntag","",Übersicht!$C$8)))</f>
        <v>Feiertag</v>
      </c>
    </row>
    <row r="4297" spans="1:4" x14ac:dyDescent="0.25">
      <c r="A4297" t="s">
        <v>77</v>
      </c>
      <c r="B4297" s="48">
        <v>47630</v>
      </c>
      <c r="C4297" t="s">
        <v>50</v>
      </c>
      <c r="D4297" t="str">
        <f>IF(COUNTIFS(Verweise!$A$2:$A$4542,Übersicht!$C$7,Verweise!$B$2:$B$4542,B4297)=1,"Feiertag",IF(C4297="Samstag","",IF(C4297="Sonntag","",Übersicht!$C$8)))</f>
        <v>Feiertag</v>
      </c>
    </row>
    <row r="4298" spans="1:4" x14ac:dyDescent="0.25">
      <c r="A4298" t="s">
        <v>77</v>
      </c>
      <c r="B4298" s="48">
        <v>47631</v>
      </c>
      <c r="C4298" t="s">
        <v>51</v>
      </c>
      <c r="D4298" t="str">
        <f>IF(COUNTIFS(Verweise!$A$2:$A$4542,Übersicht!$C$7,Verweise!$B$2:$B$4542,B4298)=1,"Feiertag",IF(C4298="Samstag","",IF(C4298="Sonntag","",Übersicht!$C$8)))</f>
        <v>Feiertag</v>
      </c>
    </row>
    <row r="4299" spans="1:4" x14ac:dyDescent="0.25">
      <c r="A4299" t="s">
        <v>77</v>
      </c>
      <c r="B4299" s="48">
        <v>47641</v>
      </c>
      <c r="C4299" t="s">
        <v>52</v>
      </c>
      <c r="D4299" t="str">
        <f>IF(COUNTIFS(Verweise!$A$2:$A$4542,Übersicht!$C$7,Verweise!$B$2:$B$4542,B4299)=1,"Feiertag",IF(C4299="Samstag","",IF(C4299="Sonntag","",Übersicht!$C$8)))</f>
        <v>Feiertag</v>
      </c>
    </row>
    <row r="4300" spans="1:4" x14ac:dyDescent="0.25">
      <c r="A4300" t="s">
        <v>77</v>
      </c>
      <c r="B4300" s="48">
        <v>47758</v>
      </c>
      <c r="C4300" t="s">
        <v>53</v>
      </c>
      <c r="D4300" t="str">
        <f>IF(COUNTIFS(Verweise!$A$2:$A$4542,Übersicht!$C$7,Verweise!$B$2:$B$4542,B4300)=1,"Feiertag",IF(C4300="Samstag","",IF(C4300="Sonntag","",Übersicht!$C$8)))</f>
        <v>Feiertag</v>
      </c>
    </row>
    <row r="4301" spans="1:4" x14ac:dyDescent="0.25">
      <c r="A4301" t="s">
        <v>77</v>
      </c>
      <c r="B4301" s="48">
        <v>47786</v>
      </c>
      <c r="C4301" t="s">
        <v>62</v>
      </c>
      <c r="D4301" t="str">
        <f>IF(COUNTIFS(Verweise!$A$2:$A$4542,Übersicht!$C$7,Verweise!$B$2:$B$4542,B4301)=1,"Feiertag",IF(C4301="Samstag","",IF(C4301="Sonntag","",Übersicht!$C$8)))</f>
        <v>Büro</v>
      </c>
    </row>
    <row r="4302" spans="1:4" x14ac:dyDescent="0.25">
      <c r="A4302" t="s">
        <v>77</v>
      </c>
      <c r="B4302" s="48">
        <v>47841</v>
      </c>
      <c r="C4302" t="s">
        <v>55</v>
      </c>
      <c r="D4302" t="str">
        <f>IF(COUNTIFS(Verweise!$A$2:$A$4542,Übersicht!$C$7,Verweise!$B$2:$B$4542,B4302)=1,"Feiertag",IF(C4302="Samstag","",IF(C4302="Sonntag","",Übersicht!$C$8)))</f>
        <v>Feiertag</v>
      </c>
    </row>
    <row r="4303" spans="1:4" x14ac:dyDescent="0.25">
      <c r="A4303" t="s">
        <v>77</v>
      </c>
      <c r="B4303" s="48">
        <v>47842</v>
      </c>
      <c r="C4303" t="s">
        <v>56</v>
      </c>
      <c r="D4303" t="str">
        <f>IF(COUNTIFS(Verweise!$A$2:$A$4542,Übersicht!$C$7,Verweise!$B$2:$B$4542,B4303)=1,"Feiertag",IF(C4303="Samstag","",IF(C4303="Sonntag","",Übersicht!$C$8)))</f>
        <v>Feiertag</v>
      </c>
    </row>
    <row r="4304" spans="1:4" x14ac:dyDescent="0.25">
      <c r="A4304" t="s">
        <v>42</v>
      </c>
      <c r="B4304" s="48">
        <v>47848</v>
      </c>
      <c r="C4304" t="s">
        <v>43</v>
      </c>
      <c r="D4304" t="str">
        <f>IF(COUNTIFS(Verweise!$A$2:$A$4542,Übersicht!$C$7,Verweise!$B$2:$B$4542,B4304)=1,"Feiertag",IF(C4304="Samstag","",IF(C4304="Sonntag","",Übersicht!$C$8)))</f>
        <v>Feiertag</v>
      </c>
    </row>
    <row r="4305" spans="1:4" x14ac:dyDescent="0.25">
      <c r="A4305" t="s">
        <v>42</v>
      </c>
      <c r="B4305" s="48">
        <v>47853</v>
      </c>
      <c r="C4305" t="s">
        <v>44</v>
      </c>
      <c r="D4305" t="str">
        <f>IF(COUNTIFS(Verweise!$A$2:$A$4542,Übersicht!$C$7,Verweise!$B$2:$B$4542,B4305)=1,"Feiertag",IF(C4305="Samstag","",IF(C4305="Sonntag","",Übersicht!$C$8)))</f>
        <v>Büro</v>
      </c>
    </row>
    <row r="4306" spans="1:4" x14ac:dyDescent="0.25">
      <c r="A4306" t="s">
        <v>42</v>
      </c>
      <c r="B4306" s="48">
        <v>47929</v>
      </c>
      <c r="C4306" t="s">
        <v>45</v>
      </c>
      <c r="D4306" t="str">
        <f>IF(COUNTIFS(Verweise!$A$2:$A$4542,Übersicht!$C$7,Verweise!$B$2:$B$4542,B4306)=1,"Feiertag",IF(C4306="Samstag","",IF(C4306="Sonntag","",Übersicht!$C$8)))</f>
        <v>Feiertag</v>
      </c>
    </row>
    <row r="4307" spans="1:4" x14ac:dyDescent="0.25">
      <c r="A4307" t="s">
        <v>42</v>
      </c>
      <c r="B4307" s="48">
        <v>47931</v>
      </c>
      <c r="C4307" t="s">
        <v>46</v>
      </c>
      <c r="D4307" t="str">
        <f>IF(COUNTIFS(Verweise!$A$2:$A$4542,Übersicht!$C$7,Verweise!$B$2:$B$4542,B4307)=1,"Feiertag",IF(C4307="Samstag","",IF(C4307="Sonntag","",Übersicht!$C$8)))</f>
        <v>Feiertag</v>
      </c>
    </row>
    <row r="4308" spans="1:4" x14ac:dyDescent="0.25">
      <c r="A4308" t="s">
        <v>42</v>
      </c>
      <c r="B4308" s="48">
        <v>47932</v>
      </c>
      <c r="C4308" t="s">
        <v>47</v>
      </c>
      <c r="D4308" t="str">
        <f>IF(COUNTIFS(Verweise!$A$2:$A$4542,Übersicht!$C$7,Verweise!$B$2:$B$4542,B4308)=1,"Feiertag",IF(C4308="Samstag","",IF(C4308="Sonntag","",Übersicht!$C$8)))</f>
        <v>Feiertag</v>
      </c>
    </row>
    <row r="4309" spans="1:4" x14ac:dyDescent="0.25">
      <c r="A4309" t="s">
        <v>42</v>
      </c>
      <c r="B4309" s="48">
        <v>47968</v>
      </c>
      <c r="C4309" t="s">
        <v>48</v>
      </c>
      <c r="D4309" t="str">
        <f>IF(COUNTIFS(Verweise!$A$2:$A$4542,Übersicht!$C$7,Verweise!$B$2:$B$4542,B4309)=1,"Feiertag",IF(C4309="Samstag","",IF(C4309="Sonntag","",Übersicht!$C$8)))</f>
        <v>Feiertag</v>
      </c>
    </row>
    <row r="4310" spans="1:4" x14ac:dyDescent="0.25">
      <c r="A4310" t="s">
        <v>42</v>
      </c>
      <c r="B4310" s="48">
        <v>47970</v>
      </c>
      <c r="C4310" t="s">
        <v>49</v>
      </c>
      <c r="D4310" t="str">
        <f>IF(COUNTIFS(Verweise!$A$2:$A$4542,Übersicht!$C$7,Verweise!$B$2:$B$4542,B4310)=1,"Feiertag",IF(C4310="Samstag","",IF(C4310="Sonntag","",Übersicht!$C$8)))</f>
        <v>Feiertag</v>
      </c>
    </row>
    <row r="4311" spans="1:4" x14ac:dyDescent="0.25">
      <c r="A4311" t="s">
        <v>42</v>
      </c>
      <c r="B4311" s="48">
        <v>47980</v>
      </c>
      <c r="C4311" t="s">
        <v>50</v>
      </c>
      <c r="D4311" t="str">
        <f>IF(COUNTIFS(Verweise!$A$2:$A$4542,Übersicht!$C$7,Verweise!$B$2:$B$4542,B4311)=1,"Feiertag",IF(C4311="Samstag","",IF(C4311="Sonntag","",Übersicht!$C$8)))</f>
        <v>Feiertag</v>
      </c>
    </row>
    <row r="4312" spans="1:4" x14ac:dyDescent="0.25">
      <c r="A4312" t="s">
        <v>42</v>
      </c>
      <c r="B4312" s="48">
        <v>47981</v>
      </c>
      <c r="C4312" t="s">
        <v>51</v>
      </c>
      <c r="D4312" t="str">
        <f>IF(COUNTIFS(Verweise!$A$2:$A$4542,Übersicht!$C$7,Verweise!$B$2:$B$4542,B4312)=1,"Feiertag",IF(C4312="Samstag","",IF(C4312="Sonntag","",Übersicht!$C$8)))</f>
        <v>Feiertag</v>
      </c>
    </row>
    <row r="4313" spans="1:4" x14ac:dyDescent="0.25">
      <c r="A4313" t="s">
        <v>42</v>
      </c>
      <c r="B4313" s="48">
        <v>47991</v>
      </c>
      <c r="C4313" t="s">
        <v>52</v>
      </c>
      <c r="D4313" t="str">
        <f>IF(COUNTIFS(Verweise!$A$2:$A$4542,Übersicht!$C$7,Verweise!$B$2:$B$4542,B4313)=1,"Feiertag",IF(C4313="Samstag","",IF(C4313="Sonntag","",Übersicht!$C$8)))</f>
        <v>Feiertag</v>
      </c>
    </row>
    <row r="4314" spans="1:4" x14ac:dyDescent="0.25">
      <c r="A4314" t="s">
        <v>42</v>
      </c>
      <c r="B4314" s="48">
        <v>48123</v>
      </c>
      <c r="C4314" t="s">
        <v>53</v>
      </c>
      <c r="D4314" t="str">
        <f>IF(COUNTIFS(Verweise!$A$2:$A$4542,Übersicht!$C$7,Verweise!$B$2:$B$4542,B4314)=1,"Feiertag",IF(C4314="Samstag","",IF(C4314="Sonntag","",Übersicht!$C$8)))</f>
        <v>Feiertag</v>
      </c>
    </row>
    <row r="4315" spans="1:4" x14ac:dyDescent="0.25">
      <c r="A4315" t="s">
        <v>42</v>
      </c>
      <c r="B4315" s="48">
        <v>48152</v>
      </c>
      <c r="C4315" t="s">
        <v>54</v>
      </c>
      <c r="D4315" t="str">
        <f>IF(COUNTIFS(Verweise!$A$2:$A$4542,Übersicht!$C$7,Verweise!$B$2:$B$4542,B4315)=1,"Feiertag",IF(C4315="Samstag","",IF(C4315="Sonntag","",Übersicht!$C$8)))</f>
        <v>Feiertag</v>
      </c>
    </row>
    <row r="4316" spans="1:4" x14ac:dyDescent="0.25">
      <c r="A4316" t="s">
        <v>42</v>
      </c>
      <c r="B4316" s="48">
        <v>48206</v>
      </c>
      <c r="C4316" t="s">
        <v>55</v>
      </c>
      <c r="D4316" t="str">
        <f>IF(COUNTIFS(Verweise!$A$2:$A$4542,Übersicht!$C$7,Verweise!$B$2:$B$4542,B4316)=1,"Feiertag",IF(C4316="Samstag","",IF(C4316="Sonntag","",Übersicht!$C$8)))</f>
        <v>Feiertag</v>
      </c>
    </row>
    <row r="4317" spans="1:4" x14ac:dyDescent="0.25">
      <c r="A4317" t="s">
        <v>42</v>
      </c>
      <c r="B4317" s="48">
        <v>48207</v>
      </c>
      <c r="C4317" t="s">
        <v>56</v>
      </c>
      <c r="D4317" t="str">
        <f>IF(COUNTIFS(Verweise!$A$2:$A$4542,Übersicht!$C$7,Verweise!$B$2:$B$4542,B4317)=1,"Feiertag",IF(C4317="Samstag","",IF(C4317="Sonntag","",Übersicht!$C$8)))</f>
        <v>Feiertag</v>
      </c>
    </row>
    <row r="4318" spans="1:4" x14ac:dyDescent="0.25">
      <c r="A4318" t="s">
        <v>57</v>
      </c>
      <c r="B4318" s="48">
        <v>47848</v>
      </c>
      <c r="C4318" t="s">
        <v>43</v>
      </c>
      <c r="D4318" t="str">
        <f>IF(COUNTIFS(Verweise!$A$2:$A$4542,Übersicht!$C$7,Verweise!$B$2:$B$4542,B4318)=1,"Feiertag",IF(C4318="Samstag","",IF(C4318="Sonntag","",Übersicht!$C$8)))</f>
        <v>Feiertag</v>
      </c>
    </row>
    <row r="4319" spans="1:4" x14ac:dyDescent="0.25">
      <c r="A4319" t="s">
        <v>57</v>
      </c>
      <c r="B4319" s="48">
        <v>47853</v>
      </c>
      <c r="C4319" t="s">
        <v>44</v>
      </c>
      <c r="D4319" t="str">
        <f>IF(COUNTIFS(Verweise!$A$2:$A$4542,Übersicht!$C$7,Verweise!$B$2:$B$4542,B4319)=1,"Feiertag",IF(C4319="Samstag","",IF(C4319="Sonntag","",Übersicht!$C$8)))</f>
        <v>Büro</v>
      </c>
    </row>
    <row r="4320" spans="1:4" x14ac:dyDescent="0.25">
      <c r="A4320" t="s">
        <v>57</v>
      </c>
      <c r="B4320" s="48">
        <v>47929</v>
      </c>
      <c r="C4320" t="s">
        <v>45</v>
      </c>
      <c r="D4320" t="str">
        <f>IF(COUNTIFS(Verweise!$A$2:$A$4542,Übersicht!$C$7,Verweise!$B$2:$B$4542,B4320)=1,"Feiertag",IF(C4320="Samstag","",IF(C4320="Sonntag","",Übersicht!$C$8)))</f>
        <v>Feiertag</v>
      </c>
    </row>
    <row r="4321" spans="1:4" x14ac:dyDescent="0.25">
      <c r="A4321" t="s">
        <v>57</v>
      </c>
      <c r="B4321" s="48">
        <v>47931</v>
      </c>
      <c r="C4321" t="s">
        <v>46</v>
      </c>
      <c r="D4321" t="str">
        <f>IF(COUNTIFS(Verweise!$A$2:$A$4542,Übersicht!$C$7,Verweise!$B$2:$B$4542,B4321)=1,"Feiertag",IF(C4321="Samstag","",IF(C4321="Sonntag","",Übersicht!$C$8)))</f>
        <v>Feiertag</v>
      </c>
    </row>
    <row r="4322" spans="1:4" x14ac:dyDescent="0.25">
      <c r="A4322" t="s">
        <v>57</v>
      </c>
      <c r="B4322" s="48">
        <v>47932</v>
      </c>
      <c r="C4322" t="s">
        <v>47</v>
      </c>
      <c r="D4322" t="str">
        <f>IF(COUNTIFS(Verweise!$A$2:$A$4542,Übersicht!$C$7,Verweise!$B$2:$B$4542,B4322)=1,"Feiertag",IF(C4322="Samstag","",IF(C4322="Sonntag","",Übersicht!$C$8)))</f>
        <v>Feiertag</v>
      </c>
    </row>
    <row r="4323" spans="1:4" x14ac:dyDescent="0.25">
      <c r="A4323" t="s">
        <v>57</v>
      </c>
      <c r="B4323" s="48">
        <v>47968</v>
      </c>
      <c r="C4323" t="s">
        <v>48</v>
      </c>
      <c r="D4323" t="str">
        <f>IF(COUNTIFS(Verweise!$A$2:$A$4542,Übersicht!$C$7,Verweise!$B$2:$B$4542,B4323)=1,"Feiertag",IF(C4323="Samstag","",IF(C4323="Sonntag","",Übersicht!$C$8)))</f>
        <v>Feiertag</v>
      </c>
    </row>
    <row r="4324" spans="1:4" x14ac:dyDescent="0.25">
      <c r="A4324" t="s">
        <v>57</v>
      </c>
      <c r="B4324" s="48">
        <v>47970</v>
      </c>
      <c r="C4324" t="s">
        <v>49</v>
      </c>
      <c r="D4324" t="str">
        <f>IF(COUNTIFS(Verweise!$A$2:$A$4542,Übersicht!$C$7,Verweise!$B$2:$B$4542,B4324)=1,"Feiertag",IF(C4324="Samstag","",IF(C4324="Sonntag","",Übersicht!$C$8)))</f>
        <v>Feiertag</v>
      </c>
    </row>
    <row r="4325" spans="1:4" x14ac:dyDescent="0.25">
      <c r="A4325" t="s">
        <v>57</v>
      </c>
      <c r="B4325" s="48">
        <v>47980</v>
      </c>
      <c r="C4325" t="s">
        <v>50</v>
      </c>
      <c r="D4325" t="str">
        <f>IF(COUNTIFS(Verweise!$A$2:$A$4542,Übersicht!$C$7,Verweise!$B$2:$B$4542,B4325)=1,"Feiertag",IF(C4325="Samstag","",IF(C4325="Sonntag","",Übersicht!$C$8)))</f>
        <v>Feiertag</v>
      </c>
    </row>
    <row r="4326" spans="1:4" x14ac:dyDescent="0.25">
      <c r="A4326" t="s">
        <v>57</v>
      </c>
      <c r="B4326" s="48">
        <v>47981</v>
      </c>
      <c r="C4326" t="s">
        <v>51</v>
      </c>
      <c r="D4326" t="str">
        <f>IF(COUNTIFS(Verweise!$A$2:$A$4542,Übersicht!$C$7,Verweise!$B$2:$B$4542,B4326)=1,"Feiertag",IF(C4326="Samstag","",IF(C4326="Sonntag","",Übersicht!$C$8)))</f>
        <v>Feiertag</v>
      </c>
    </row>
    <row r="4327" spans="1:4" x14ac:dyDescent="0.25">
      <c r="A4327" t="s">
        <v>57</v>
      </c>
      <c r="B4327" s="48">
        <v>47991</v>
      </c>
      <c r="C4327" t="s">
        <v>52</v>
      </c>
      <c r="D4327" t="str">
        <f>IF(COUNTIFS(Verweise!$A$2:$A$4542,Übersicht!$C$7,Verweise!$B$2:$B$4542,B4327)=1,"Feiertag",IF(C4327="Samstag","",IF(C4327="Sonntag","",Übersicht!$C$8)))</f>
        <v>Feiertag</v>
      </c>
    </row>
    <row r="4328" spans="1:4" x14ac:dyDescent="0.25">
      <c r="A4328" t="s">
        <v>57</v>
      </c>
      <c r="B4328" s="48">
        <v>48123</v>
      </c>
      <c r="C4328" t="s">
        <v>53</v>
      </c>
      <c r="D4328" t="str">
        <f>IF(COUNTIFS(Verweise!$A$2:$A$4542,Übersicht!$C$7,Verweise!$B$2:$B$4542,B4328)=1,"Feiertag",IF(C4328="Samstag","",IF(C4328="Sonntag","",Übersicht!$C$8)))</f>
        <v>Feiertag</v>
      </c>
    </row>
    <row r="4329" spans="1:4" x14ac:dyDescent="0.25">
      <c r="A4329" t="s">
        <v>57</v>
      </c>
      <c r="B4329" s="48">
        <v>48152</v>
      </c>
      <c r="C4329" t="s">
        <v>54</v>
      </c>
      <c r="D4329" t="str">
        <f>IF(COUNTIFS(Verweise!$A$2:$A$4542,Übersicht!$C$7,Verweise!$B$2:$B$4542,B4329)=1,"Feiertag",IF(C4329="Samstag","",IF(C4329="Sonntag","",Übersicht!$C$8)))</f>
        <v>Feiertag</v>
      </c>
    </row>
    <row r="4330" spans="1:4" x14ac:dyDescent="0.25">
      <c r="A4330" t="s">
        <v>57</v>
      </c>
      <c r="B4330" s="48">
        <v>48206</v>
      </c>
      <c r="C4330" t="s">
        <v>55</v>
      </c>
      <c r="D4330" t="str">
        <f>IF(COUNTIFS(Verweise!$A$2:$A$4542,Übersicht!$C$7,Verweise!$B$2:$B$4542,B4330)=1,"Feiertag",IF(C4330="Samstag","",IF(C4330="Sonntag","",Übersicht!$C$8)))</f>
        <v>Feiertag</v>
      </c>
    </row>
    <row r="4331" spans="1:4" x14ac:dyDescent="0.25">
      <c r="A4331" t="s">
        <v>57</v>
      </c>
      <c r="B4331" s="48">
        <v>48207</v>
      </c>
      <c r="C4331" t="s">
        <v>56</v>
      </c>
      <c r="D4331" t="str">
        <f>IF(COUNTIFS(Verweise!$A$2:$A$4542,Übersicht!$C$7,Verweise!$B$2:$B$4542,B4331)=1,"Feiertag",IF(C4331="Samstag","",IF(C4331="Sonntag","",Übersicht!$C$8)))</f>
        <v>Feiertag</v>
      </c>
    </row>
    <row r="4332" spans="1:4" x14ac:dyDescent="0.25">
      <c r="A4332" t="s">
        <v>58</v>
      </c>
      <c r="B4332" s="48">
        <v>47848</v>
      </c>
      <c r="C4332" t="s">
        <v>43</v>
      </c>
      <c r="D4332" t="str">
        <f>IF(COUNTIFS(Verweise!$A$2:$A$4542,Übersicht!$C$7,Verweise!$B$2:$B$4542,B4332)=1,"Feiertag",IF(C4332="Samstag","",IF(C4332="Sonntag","",Übersicht!$C$8)))</f>
        <v>Feiertag</v>
      </c>
    </row>
    <row r="4333" spans="1:4" x14ac:dyDescent="0.25">
      <c r="A4333" t="s">
        <v>58</v>
      </c>
      <c r="B4333" s="48">
        <v>47853</v>
      </c>
      <c r="C4333" t="s">
        <v>44</v>
      </c>
      <c r="D4333" t="str">
        <f>IF(COUNTIFS(Verweise!$A$2:$A$4542,Übersicht!$C$7,Verweise!$B$2:$B$4542,B4333)=1,"Feiertag",IF(C4333="Samstag","",IF(C4333="Sonntag","",Übersicht!$C$8)))</f>
        <v>Büro</v>
      </c>
    </row>
    <row r="4334" spans="1:4" x14ac:dyDescent="0.25">
      <c r="A4334" t="s">
        <v>58</v>
      </c>
      <c r="B4334" s="48">
        <v>47929</v>
      </c>
      <c r="C4334" t="s">
        <v>45</v>
      </c>
      <c r="D4334" t="str">
        <f>IF(COUNTIFS(Verweise!$A$2:$A$4542,Übersicht!$C$7,Verweise!$B$2:$B$4542,B4334)=1,"Feiertag",IF(C4334="Samstag","",IF(C4334="Sonntag","",Übersicht!$C$8)))</f>
        <v>Feiertag</v>
      </c>
    </row>
    <row r="4335" spans="1:4" x14ac:dyDescent="0.25">
      <c r="A4335" t="s">
        <v>58</v>
      </c>
      <c r="B4335" s="48">
        <v>47931</v>
      </c>
      <c r="C4335" t="s">
        <v>46</v>
      </c>
      <c r="D4335" t="str">
        <f>IF(COUNTIFS(Verweise!$A$2:$A$4542,Übersicht!$C$7,Verweise!$B$2:$B$4542,B4335)=1,"Feiertag",IF(C4335="Samstag","",IF(C4335="Sonntag","",Übersicht!$C$8)))</f>
        <v>Feiertag</v>
      </c>
    </row>
    <row r="4336" spans="1:4" x14ac:dyDescent="0.25">
      <c r="A4336" t="s">
        <v>58</v>
      </c>
      <c r="B4336" s="48">
        <v>47932</v>
      </c>
      <c r="C4336" t="s">
        <v>47</v>
      </c>
      <c r="D4336" t="str">
        <f>IF(COUNTIFS(Verweise!$A$2:$A$4542,Übersicht!$C$7,Verweise!$B$2:$B$4542,B4336)=1,"Feiertag",IF(C4336="Samstag","",IF(C4336="Sonntag","",Übersicht!$C$8)))</f>
        <v>Feiertag</v>
      </c>
    </row>
    <row r="4337" spans="1:4" x14ac:dyDescent="0.25">
      <c r="A4337" t="s">
        <v>58</v>
      </c>
      <c r="B4337" s="48">
        <v>47968</v>
      </c>
      <c r="C4337" t="s">
        <v>48</v>
      </c>
      <c r="D4337" t="str">
        <f>IF(COUNTIFS(Verweise!$A$2:$A$4542,Übersicht!$C$7,Verweise!$B$2:$B$4542,B4337)=1,"Feiertag",IF(C4337="Samstag","",IF(C4337="Sonntag","",Übersicht!$C$8)))</f>
        <v>Feiertag</v>
      </c>
    </row>
    <row r="4338" spans="1:4" x14ac:dyDescent="0.25">
      <c r="A4338" t="s">
        <v>58</v>
      </c>
      <c r="B4338" s="48">
        <v>47970</v>
      </c>
      <c r="C4338" t="s">
        <v>49</v>
      </c>
      <c r="D4338" t="str">
        <f>IF(COUNTIFS(Verweise!$A$2:$A$4542,Übersicht!$C$7,Verweise!$B$2:$B$4542,B4338)=1,"Feiertag",IF(C4338="Samstag","",IF(C4338="Sonntag","",Übersicht!$C$8)))</f>
        <v>Feiertag</v>
      </c>
    </row>
    <row r="4339" spans="1:4" x14ac:dyDescent="0.25">
      <c r="A4339" t="s">
        <v>58</v>
      </c>
      <c r="B4339" s="48">
        <v>47980</v>
      </c>
      <c r="C4339" t="s">
        <v>50</v>
      </c>
      <c r="D4339" t="str">
        <f>IF(COUNTIFS(Verweise!$A$2:$A$4542,Übersicht!$C$7,Verweise!$B$2:$B$4542,B4339)=1,"Feiertag",IF(C4339="Samstag","",IF(C4339="Sonntag","",Übersicht!$C$8)))</f>
        <v>Feiertag</v>
      </c>
    </row>
    <row r="4340" spans="1:4" x14ac:dyDescent="0.25">
      <c r="A4340" t="s">
        <v>58</v>
      </c>
      <c r="B4340" s="48">
        <v>47981</v>
      </c>
      <c r="C4340" t="s">
        <v>51</v>
      </c>
      <c r="D4340" t="str">
        <f>IF(COUNTIFS(Verweise!$A$2:$A$4542,Übersicht!$C$7,Verweise!$B$2:$B$4542,B4340)=1,"Feiertag",IF(C4340="Samstag","",IF(C4340="Sonntag","",Übersicht!$C$8)))</f>
        <v>Feiertag</v>
      </c>
    </row>
    <row r="4341" spans="1:4" x14ac:dyDescent="0.25">
      <c r="A4341" t="s">
        <v>58</v>
      </c>
      <c r="B4341" s="48">
        <v>47991</v>
      </c>
      <c r="C4341" t="s">
        <v>52</v>
      </c>
      <c r="D4341" t="str">
        <f>IF(COUNTIFS(Verweise!$A$2:$A$4542,Übersicht!$C$7,Verweise!$B$2:$B$4542,B4341)=1,"Feiertag",IF(C4341="Samstag","",IF(C4341="Sonntag","",Übersicht!$C$8)))</f>
        <v>Feiertag</v>
      </c>
    </row>
    <row r="4342" spans="1:4" x14ac:dyDescent="0.25">
      <c r="A4342" t="s">
        <v>58</v>
      </c>
      <c r="B4342" s="48">
        <v>48074</v>
      </c>
      <c r="C4342" t="s">
        <v>59</v>
      </c>
      <c r="D4342" t="str">
        <f>IF(COUNTIFS(Verweise!$A$2:$A$4542,Übersicht!$C$7,Verweise!$B$2:$B$4542,B4342)=1,"Feiertag",IF(C4342="Samstag","",IF(C4342="Sonntag","",Übersicht!$C$8)))</f>
        <v>Büro</v>
      </c>
    </row>
    <row r="4343" spans="1:4" x14ac:dyDescent="0.25">
      <c r="A4343" t="s">
        <v>58</v>
      </c>
      <c r="B4343" s="48">
        <v>48123</v>
      </c>
      <c r="C4343" t="s">
        <v>53</v>
      </c>
      <c r="D4343" t="str">
        <f>IF(COUNTIFS(Verweise!$A$2:$A$4542,Übersicht!$C$7,Verweise!$B$2:$B$4542,B4343)=1,"Feiertag",IF(C4343="Samstag","",IF(C4343="Sonntag","",Übersicht!$C$8)))</f>
        <v>Feiertag</v>
      </c>
    </row>
    <row r="4344" spans="1:4" x14ac:dyDescent="0.25">
      <c r="A4344" t="s">
        <v>58</v>
      </c>
      <c r="B4344" s="48">
        <v>48152</v>
      </c>
      <c r="C4344" t="s">
        <v>54</v>
      </c>
      <c r="D4344" t="str">
        <f>IF(COUNTIFS(Verweise!$A$2:$A$4542,Übersicht!$C$7,Verweise!$B$2:$B$4542,B4344)=1,"Feiertag",IF(C4344="Samstag","",IF(C4344="Sonntag","",Übersicht!$C$8)))</f>
        <v>Feiertag</v>
      </c>
    </row>
    <row r="4345" spans="1:4" x14ac:dyDescent="0.25">
      <c r="A4345" t="s">
        <v>58</v>
      </c>
      <c r="B4345" s="48">
        <v>48206</v>
      </c>
      <c r="C4345" t="s">
        <v>55</v>
      </c>
      <c r="D4345" t="str">
        <f>IF(COUNTIFS(Verweise!$A$2:$A$4542,Übersicht!$C$7,Verweise!$B$2:$B$4542,B4345)=1,"Feiertag",IF(C4345="Samstag","",IF(C4345="Sonntag","",Übersicht!$C$8)))</f>
        <v>Feiertag</v>
      </c>
    </row>
    <row r="4346" spans="1:4" x14ac:dyDescent="0.25">
      <c r="A4346" t="s">
        <v>58</v>
      </c>
      <c r="B4346" s="48">
        <v>48207</v>
      </c>
      <c r="C4346" t="s">
        <v>56</v>
      </c>
      <c r="D4346" t="str">
        <f>IF(COUNTIFS(Verweise!$A$2:$A$4542,Übersicht!$C$7,Verweise!$B$2:$B$4542,B4346)=1,"Feiertag",IF(C4346="Samstag","",IF(C4346="Sonntag","",Übersicht!$C$8)))</f>
        <v>Feiertag</v>
      </c>
    </row>
    <row r="4347" spans="1:4" x14ac:dyDescent="0.25">
      <c r="A4347" t="s">
        <v>60</v>
      </c>
      <c r="B4347" s="48">
        <v>47848</v>
      </c>
      <c r="C4347" t="s">
        <v>43</v>
      </c>
      <c r="D4347" t="str">
        <f>IF(COUNTIFS(Verweise!$A$2:$A$4542,Übersicht!$C$7,Verweise!$B$2:$B$4542,B4347)=1,"Feiertag",IF(C4347="Samstag","",IF(C4347="Sonntag","",Übersicht!$C$8)))</f>
        <v>Feiertag</v>
      </c>
    </row>
    <row r="4348" spans="1:4" x14ac:dyDescent="0.25">
      <c r="A4348" t="s">
        <v>60</v>
      </c>
      <c r="B4348" s="48">
        <v>47929</v>
      </c>
      <c r="C4348" t="s">
        <v>45</v>
      </c>
      <c r="D4348" t="str">
        <f>IF(COUNTIFS(Verweise!$A$2:$A$4542,Übersicht!$C$7,Verweise!$B$2:$B$4542,B4348)=1,"Feiertag",IF(C4348="Samstag","",IF(C4348="Sonntag","",Übersicht!$C$8)))</f>
        <v>Feiertag</v>
      </c>
    </row>
    <row r="4349" spans="1:4" x14ac:dyDescent="0.25">
      <c r="A4349" t="s">
        <v>60</v>
      </c>
      <c r="B4349" s="48">
        <v>47931</v>
      </c>
      <c r="C4349" t="s">
        <v>46</v>
      </c>
      <c r="D4349" t="str">
        <f>IF(COUNTIFS(Verweise!$A$2:$A$4542,Übersicht!$C$7,Verweise!$B$2:$B$4542,B4349)=1,"Feiertag",IF(C4349="Samstag","",IF(C4349="Sonntag","",Übersicht!$C$8)))</f>
        <v>Feiertag</v>
      </c>
    </row>
    <row r="4350" spans="1:4" x14ac:dyDescent="0.25">
      <c r="A4350" t="s">
        <v>60</v>
      </c>
      <c r="B4350" s="48">
        <v>47932</v>
      </c>
      <c r="C4350" t="s">
        <v>47</v>
      </c>
      <c r="D4350" t="str">
        <f>IF(COUNTIFS(Verweise!$A$2:$A$4542,Übersicht!$C$7,Verweise!$B$2:$B$4542,B4350)=1,"Feiertag",IF(C4350="Samstag","",IF(C4350="Sonntag","",Übersicht!$C$8)))</f>
        <v>Feiertag</v>
      </c>
    </row>
    <row r="4351" spans="1:4" x14ac:dyDescent="0.25">
      <c r="A4351" t="s">
        <v>60</v>
      </c>
      <c r="B4351" s="48">
        <v>47968</v>
      </c>
      <c r="C4351" t="s">
        <v>48</v>
      </c>
      <c r="D4351" t="str">
        <f>IF(COUNTIFS(Verweise!$A$2:$A$4542,Übersicht!$C$7,Verweise!$B$2:$B$4542,B4351)=1,"Feiertag",IF(C4351="Samstag","",IF(C4351="Sonntag","",Übersicht!$C$8)))</f>
        <v>Feiertag</v>
      </c>
    </row>
    <row r="4352" spans="1:4" x14ac:dyDescent="0.25">
      <c r="A4352" t="s">
        <v>60</v>
      </c>
      <c r="B4352" s="48">
        <v>47970</v>
      </c>
      <c r="C4352" t="s">
        <v>49</v>
      </c>
      <c r="D4352" t="str">
        <f>IF(COUNTIFS(Verweise!$A$2:$A$4542,Übersicht!$C$7,Verweise!$B$2:$B$4542,B4352)=1,"Feiertag",IF(C4352="Samstag","",IF(C4352="Sonntag","",Übersicht!$C$8)))</f>
        <v>Feiertag</v>
      </c>
    </row>
    <row r="4353" spans="1:4" x14ac:dyDescent="0.25">
      <c r="A4353" t="s">
        <v>60</v>
      </c>
      <c r="B4353" s="48">
        <v>47980</v>
      </c>
      <c r="C4353" t="s">
        <v>50</v>
      </c>
      <c r="D4353" t="str">
        <f>IF(COUNTIFS(Verweise!$A$2:$A$4542,Übersicht!$C$7,Verweise!$B$2:$B$4542,B4353)=1,"Feiertag",IF(C4353="Samstag","",IF(C4353="Sonntag","",Übersicht!$C$8)))</f>
        <v>Feiertag</v>
      </c>
    </row>
    <row r="4354" spans="1:4" x14ac:dyDescent="0.25">
      <c r="A4354" t="s">
        <v>60</v>
      </c>
      <c r="B4354" s="48">
        <v>47981</v>
      </c>
      <c r="C4354" t="s">
        <v>51</v>
      </c>
      <c r="D4354" t="str">
        <f>IF(COUNTIFS(Verweise!$A$2:$A$4542,Übersicht!$C$7,Verweise!$B$2:$B$4542,B4354)=1,"Feiertag",IF(C4354="Samstag","",IF(C4354="Sonntag","",Übersicht!$C$8)))</f>
        <v>Feiertag</v>
      </c>
    </row>
    <row r="4355" spans="1:4" x14ac:dyDescent="0.25">
      <c r="A4355" t="s">
        <v>60</v>
      </c>
      <c r="B4355" s="48">
        <v>48123</v>
      </c>
      <c r="C4355" t="s">
        <v>53</v>
      </c>
      <c r="D4355" t="str">
        <f>IF(COUNTIFS(Verweise!$A$2:$A$4542,Übersicht!$C$7,Verweise!$B$2:$B$4542,B4355)=1,"Feiertag",IF(C4355="Samstag","",IF(C4355="Sonntag","",Übersicht!$C$8)))</f>
        <v>Feiertag</v>
      </c>
    </row>
    <row r="4356" spans="1:4" x14ac:dyDescent="0.25">
      <c r="A4356" t="s">
        <v>60</v>
      </c>
      <c r="B4356" s="48">
        <v>48206</v>
      </c>
      <c r="C4356" t="s">
        <v>55</v>
      </c>
      <c r="D4356" t="str">
        <f>IF(COUNTIFS(Verweise!$A$2:$A$4542,Übersicht!$C$7,Verweise!$B$2:$B$4542,B4356)=1,"Feiertag",IF(C4356="Samstag","",IF(C4356="Sonntag","",Übersicht!$C$8)))</f>
        <v>Feiertag</v>
      </c>
    </row>
    <row r="4357" spans="1:4" x14ac:dyDescent="0.25">
      <c r="A4357" t="s">
        <v>60</v>
      </c>
      <c r="B4357" s="48">
        <v>48207</v>
      </c>
      <c r="C4357" t="s">
        <v>56</v>
      </c>
      <c r="D4357" t="str">
        <f>IF(COUNTIFS(Verweise!$A$2:$A$4542,Übersicht!$C$7,Verweise!$B$2:$B$4542,B4357)=1,"Feiertag",IF(C4357="Samstag","",IF(C4357="Sonntag","",Übersicht!$C$8)))</f>
        <v>Feiertag</v>
      </c>
    </row>
    <row r="4358" spans="1:4" x14ac:dyDescent="0.25">
      <c r="A4358" t="s">
        <v>61</v>
      </c>
      <c r="B4358" s="48">
        <v>47848</v>
      </c>
      <c r="C4358" t="s">
        <v>43</v>
      </c>
      <c r="D4358" t="str">
        <f>IF(COUNTIFS(Verweise!$A$2:$A$4542,Übersicht!$C$7,Verweise!$B$2:$B$4542,B4358)=1,"Feiertag",IF(C4358="Samstag","",IF(C4358="Sonntag","",Übersicht!$C$8)))</f>
        <v>Feiertag</v>
      </c>
    </row>
    <row r="4359" spans="1:4" x14ac:dyDescent="0.25">
      <c r="A4359" t="s">
        <v>61</v>
      </c>
      <c r="B4359" s="48">
        <v>47929</v>
      </c>
      <c r="C4359" t="s">
        <v>45</v>
      </c>
      <c r="D4359" t="str">
        <f>IF(COUNTIFS(Verweise!$A$2:$A$4542,Übersicht!$C$7,Verweise!$B$2:$B$4542,B4359)=1,"Feiertag",IF(C4359="Samstag","",IF(C4359="Sonntag","",Übersicht!$C$8)))</f>
        <v>Feiertag</v>
      </c>
    </row>
    <row r="4360" spans="1:4" x14ac:dyDescent="0.25">
      <c r="A4360" t="s">
        <v>61</v>
      </c>
      <c r="B4360" s="48">
        <v>47931</v>
      </c>
      <c r="C4360" t="s">
        <v>46</v>
      </c>
      <c r="D4360" t="str">
        <f>IF(COUNTIFS(Verweise!$A$2:$A$4542,Übersicht!$C$7,Verweise!$B$2:$B$4542,B4360)=1,"Feiertag",IF(C4360="Samstag","",IF(C4360="Sonntag","",Übersicht!$C$8)))</f>
        <v>Feiertag</v>
      </c>
    </row>
    <row r="4361" spans="1:4" x14ac:dyDescent="0.25">
      <c r="A4361" t="s">
        <v>61</v>
      </c>
      <c r="B4361" s="48">
        <v>47932</v>
      </c>
      <c r="C4361" t="s">
        <v>47</v>
      </c>
      <c r="D4361" t="str">
        <f>IF(COUNTIFS(Verweise!$A$2:$A$4542,Übersicht!$C$7,Verweise!$B$2:$B$4542,B4361)=1,"Feiertag",IF(C4361="Samstag","",IF(C4361="Sonntag","",Übersicht!$C$8)))</f>
        <v>Feiertag</v>
      </c>
    </row>
    <row r="4362" spans="1:4" x14ac:dyDescent="0.25">
      <c r="A4362" t="s">
        <v>61</v>
      </c>
      <c r="B4362" s="48">
        <v>47968</v>
      </c>
      <c r="C4362" t="s">
        <v>48</v>
      </c>
      <c r="D4362" t="str">
        <f>IF(COUNTIFS(Verweise!$A$2:$A$4542,Übersicht!$C$7,Verweise!$B$2:$B$4542,B4362)=1,"Feiertag",IF(C4362="Samstag","",IF(C4362="Sonntag","",Übersicht!$C$8)))</f>
        <v>Feiertag</v>
      </c>
    </row>
    <row r="4363" spans="1:4" x14ac:dyDescent="0.25">
      <c r="A4363" t="s">
        <v>61</v>
      </c>
      <c r="B4363" s="48">
        <v>47970</v>
      </c>
      <c r="C4363" t="s">
        <v>49</v>
      </c>
      <c r="D4363" t="str">
        <f>IF(COUNTIFS(Verweise!$A$2:$A$4542,Übersicht!$C$7,Verweise!$B$2:$B$4542,B4363)=1,"Feiertag",IF(C4363="Samstag","",IF(C4363="Sonntag","",Übersicht!$C$8)))</f>
        <v>Feiertag</v>
      </c>
    </row>
    <row r="4364" spans="1:4" x14ac:dyDescent="0.25">
      <c r="A4364" t="s">
        <v>61</v>
      </c>
      <c r="B4364" s="48">
        <v>47980</v>
      </c>
      <c r="C4364" t="s">
        <v>50</v>
      </c>
      <c r="D4364" t="str">
        <f>IF(COUNTIFS(Verweise!$A$2:$A$4542,Übersicht!$C$7,Verweise!$B$2:$B$4542,B4364)=1,"Feiertag",IF(C4364="Samstag","",IF(C4364="Sonntag","",Übersicht!$C$8)))</f>
        <v>Feiertag</v>
      </c>
    </row>
    <row r="4365" spans="1:4" x14ac:dyDescent="0.25">
      <c r="A4365" t="s">
        <v>61</v>
      </c>
      <c r="B4365" s="48">
        <v>47981</v>
      </c>
      <c r="C4365" t="s">
        <v>51</v>
      </c>
      <c r="D4365" t="str">
        <f>IF(COUNTIFS(Verweise!$A$2:$A$4542,Übersicht!$C$7,Verweise!$B$2:$B$4542,B4365)=1,"Feiertag",IF(C4365="Samstag","",IF(C4365="Sonntag","",Übersicht!$C$8)))</f>
        <v>Feiertag</v>
      </c>
    </row>
    <row r="4366" spans="1:4" x14ac:dyDescent="0.25">
      <c r="A4366" t="s">
        <v>61</v>
      </c>
      <c r="B4366" s="48">
        <v>48123</v>
      </c>
      <c r="C4366" t="s">
        <v>53</v>
      </c>
      <c r="D4366" t="str">
        <f>IF(COUNTIFS(Verweise!$A$2:$A$4542,Übersicht!$C$7,Verweise!$B$2:$B$4542,B4366)=1,"Feiertag",IF(C4366="Samstag","",IF(C4366="Sonntag","",Übersicht!$C$8)))</f>
        <v>Feiertag</v>
      </c>
    </row>
    <row r="4367" spans="1:4" x14ac:dyDescent="0.25">
      <c r="A4367" t="s">
        <v>61</v>
      </c>
      <c r="B4367" s="48">
        <v>48151</v>
      </c>
      <c r="C4367" t="s">
        <v>62</v>
      </c>
      <c r="D4367" t="str">
        <f>IF(COUNTIFS(Verweise!$A$2:$A$4542,Übersicht!$C$7,Verweise!$B$2:$B$4542,B4367)=1,"Feiertag",IF(C4367="Samstag","",IF(C4367="Sonntag","",Übersicht!$C$8)))</f>
        <v>Büro</v>
      </c>
    </row>
    <row r="4368" spans="1:4" x14ac:dyDescent="0.25">
      <c r="A4368" t="s">
        <v>61</v>
      </c>
      <c r="B4368" s="48">
        <v>48206</v>
      </c>
      <c r="C4368" t="s">
        <v>55</v>
      </c>
      <c r="D4368" t="str">
        <f>IF(COUNTIFS(Verweise!$A$2:$A$4542,Übersicht!$C$7,Verweise!$B$2:$B$4542,B4368)=1,"Feiertag",IF(C4368="Samstag","",IF(C4368="Sonntag","",Übersicht!$C$8)))</f>
        <v>Feiertag</v>
      </c>
    </row>
    <row r="4369" spans="1:4" x14ac:dyDescent="0.25">
      <c r="A4369" t="s">
        <v>61</v>
      </c>
      <c r="B4369" s="48">
        <v>48207</v>
      </c>
      <c r="C4369" t="s">
        <v>56</v>
      </c>
      <c r="D4369" t="str">
        <f>IF(COUNTIFS(Verweise!$A$2:$A$4542,Übersicht!$C$7,Verweise!$B$2:$B$4542,B4369)=1,"Feiertag",IF(C4369="Samstag","",IF(C4369="Sonntag","",Übersicht!$C$8)))</f>
        <v>Feiertag</v>
      </c>
    </row>
    <row r="4370" spans="1:4" x14ac:dyDescent="0.25">
      <c r="A4370" t="s">
        <v>63</v>
      </c>
      <c r="B4370" s="48">
        <v>47848</v>
      </c>
      <c r="C4370" t="s">
        <v>43</v>
      </c>
      <c r="D4370" t="str">
        <f>IF(COUNTIFS(Verweise!$A$2:$A$4542,Übersicht!$C$7,Verweise!$B$2:$B$4542,B4370)=1,"Feiertag",IF(C4370="Samstag","",IF(C4370="Sonntag","",Übersicht!$C$8)))</f>
        <v>Feiertag</v>
      </c>
    </row>
    <row r="4371" spans="1:4" x14ac:dyDescent="0.25">
      <c r="A4371" t="s">
        <v>63</v>
      </c>
      <c r="B4371" s="48">
        <v>47929</v>
      </c>
      <c r="C4371" t="s">
        <v>45</v>
      </c>
      <c r="D4371" t="str">
        <f>IF(COUNTIFS(Verweise!$A$2:$A$4542,Übersicht!$C$7,Verweise!$B$2:$B$4542,B4371)=1,"Feiertag",IF(C4371="Samstag","",IF(C4371="Sonntag","",Übersicht!$C$8)))</f>
        <v>Feiertag</v>
      </c>
    </row>
    <row r="4372" spans="1:4" x14ac:dyDescent="0.25">
      <c r="A4372" t="s">
        <v>63</v>
      </c>
      <c r="B4372" s="48">
        <v>47931</v>
      </c>
      <c r="C4372" t="s">
        <v>46</v>
      </c>
      <c r="D4372" t="str">
        <f>IF(COUNTIFS(Verweise!$A$2:$A$4542,Übersicht!$C$7,Verweise!$B$2:$B$4542,B4372)=1,"Feiertag",IF(C4372="Samstag","",IF(C4372="Sonntag","",Übersicht!$C$8)))</f>
        <v>Feiertag</v>
      </c>
    </row>
    <row r="4373" spans="1:4" x14ac:dyDescent="0.25">
      <c r="A4373" t="s">
        <v>63</v>
      </c>
      <c r="B4373" s="48">
        <v>47932</v>
      </c>
      <c r="C4373" t="s">
        <v>47</v>
      </c>
      <c r="D4373" t="str">
        <f>IF(COUNTIFS(Verweise!$A$2:$A$4542,Übersicht!$C$7,Verweise!$B$2:$B$4542,B4373)=1,"Feiertag",IF(C4373="Samstag","",IF(C4373="Sonntag","",Übersicht!$C$8)))</f>
        <v>Feiertag</v>
      </c>
    </row>
    <row r="4374" spans="1:4" x14ac:dyDescent="0.25">
      <c r="A4374" t="s">
        <v>63</v>
      </c>
      <c r="B4374" s="48">
        <v>47968</v>
      </c>
      <c r="C4374" t="s">
        <v>48</v>
      </c>
      <c r="D4374" t="str">
        <f>IF(COUNTIFS(Verweise!$A$2:$A$4542,Übersicht!$C$7,Verweise!$B$2:$B$4542,B4374)=1,"Feiertag",IF(C4374="Samstag","",IF(C4374="Sonntag","",Übersicht!$C$8)))</f>
        <v>Feiertag</v>
      </c>
    </row>
    <row r="4375" spans="1:4" x14ac:dyDescent="0.25">
      <c r="A4375" t="s">
        <v>63</v>
      </c>
      <c r="B4375" s="48">
        <v>47970</v>
      </c>
      <c r="C4375" t="s">
        <v>49</v>
      </c>
      <c r="D4375" t="str">
        <f>IF(COUNTIFS(Verweise!$A$2:$A$4542,Übersicht!$C$7,Verweise!$B$2:$B$4542,B4375)=1,"Feiertag",IF(C4375="Samstag","",IF(C4375="Sonntag","",Übersicht!$C$8)))</f>
        <v>Feiertag</v>
      </c>
    </row>
    <row r="4376" spans="1:4" x14ac:dyDescent="0.25">
      <c r="A4376" t="s">
        <v>63</v>
      </c>
      <c r="B4376" s="48">
        <v>47980</v>
      </c>
      <c r="C4376" t="s">
        <v>50</v>
      </c>
      <c r="D4376" t="str">
        <f>IF(COUNTIFS(Verweise!$A$2:$A$4542,Übersicht!$C$7,Verweise!$B$2:$B$4542,B4376)=1,"Feiertag",IF(C4376="Samstag","",IF(C4376="Sonntag","",Übersicht!$C$8)))</f>
        <v>Feiertag</v>
      </c>
    </row>
    <row r="4377" spans="1:4" x14ac:dyDescent="0.25">
      <c r="A4377" t="s">
        <v>63</v>
      </c>
      <c r="B4377" s="48">
        <v>47981</v>
      </c>
      <c r="C4377" t="s">
        <v>51</v>
      </c>
      <c r="D4377" t="str">
        <f>IF(COUNTIFS(Verweise!$A$2:$A$4542,Übersicht!$C$7,Verweise!$B$2:$B$4542,B4377)=1,"Feiertag",IF(C4377="Samstag","",IF(C4377="Sonntag","",Übersicht!$C$8)))</f>
        <v>Feiertag</v>
      </c>
    </row>
    <row r="4378" spans="1:4" x14ac:dyDescent="0.25">
      <c r="A4378" t="s">
        <v>63</v>
      </c>
      <c r="B4378" s="48">
        <v>48123</v>
      </c>
      <c r="C4378" t="s">
        <v>53</v>
      </c>
      <c r="D4378" t="str">
        <f>IF(COUNTIFS(Verweise!$A$2:$A$4542,Übersicht!$C$7,Verweise!$B$2:$B$4542,B4378)=1,"Feiertag",IF(C4378="Samstag","",IF(C4378="Sonntag","",Übersicht!$C$8)))</f>
        <v>Feiertag</v>
      </c>
    </row>
    <row r="4379" spans="1:4" x14ac:dyDescent="0.25">
      <c r="A4379" t="s">
        <v>63</v>
      </c>
      <c r="B4379" s="48">
        <v>48206</v>
      </c>
      <c r="C4379" t="s">
        <v>55</v>
      </c>
      <c r="D4379" t="str">
        <f>IF(COUNTIFS(Verweise!$A$2:$A$4542,Übersicht!$C$7,Verweise!$B$2:$B$4542,B4379)=1,"Feiertag",IF(C4379="Samstag","",IF(C4379="Sonntag","",Übersicht!$C$8)))</f>
        <v>Feiertag</v>
      </c>
    </row>
    <row r="4380" spans="1:4" x14ac:dyDescent="0.25">
      <c r="A4380" t="s">
        <v>63</v>
      </c>
      <c r="B4380" s="48">
        <v>48207</v>
      </c>
      <c r="C4380" t="s">
        <v>56</v>
      </c>
      <c r="D4380" t="str">
        <f>IF(COUNTIFS(Verweise!$A$2:$A$4542,Übersicht!$C$7,Verweise!$B$2:$B$4542,B4380)=1,"Feiertag",IF(C4380="Samstag","",IF(C4380="Sonntag","",Übersicht!$C$8)))</f>
        <v>Feiertag</v>
      </c>
    </row>
    <row r="4381" spans="1:4" x14ac:dyDescent="0.25">
      <c r="A4381" t="s">
        <v>64</v>
      </c>
      <c r="B4381" s="48">
        <v>47848</v>
      </c>
      <c r="C4381" t="s">
        <v>43</v>
      </c>
      <c r="D4381" t="str">
        <f>IF(COUNTIFS(Verweise!$A$2:$A$4542,Übersicht!$C$7,Verweise!$B$2:$B$4542,B4381)=1,"Feiertag",IF(C4381="Samstag","",IF(C4381="Sonntag","",Übersicht!$C$8)))</f>
        <v>Feiertag</v>
      </c>
    </row>
    <row r="4382" spans="1:4" x14ac:dyDescent="0.25">
      <c r="A4382" t="s">
        <v>64</v>
      </c>
      <c r="B4382" s="48">
        <v>47929</v>
      </c>
      <c r="C4382" t="s">
        <v>45</v>
      </c>
      <c r="D4382" t="str">
        <f>IF(COUNTIFS(Verweise!$A$2:$A$4542,Übersicht!$C$7,Verweise!$B$2:$B$4542,B4382)=1,"Feiertag",IF(C4382="Samstag","",IF(C4382="Sonntag","",Übersicht!$C$8)))</f>
        <v>Feiertag</v>
      </c>
    </row>
    <row r="4383" spans="1:4" x14ac:dyDescent="0.25">
      <c r="A4383" t="s">
        <v>64</v>
      </c>
      <c r="B4383" s="48">
        <v>47931</v>
      </c>
      <c r="C4383" t="s">
        <v>46</v>
      </c>
      <c r="D4383" t="str">
        <f>IF(COUNTIFS(Verweise!$A$2:$A$4542,Übersicht!$C$7,Verweise!$B$2:$B$4542,B4383)=1,"Feiertag",IF(C4383="Samstag","",IF(C4383="Sonntag","",Übersicht!$C$8)))</f>
        <v>Feiertag</v>
      </c>
    </row>
    <row r="4384" spans="1:4" x14ac:dyDescent="0.25">
      <c r="A4384" t="s">
        <v>64</v>
      </c>
      <c r="B4384" s="48">
        <v>47932</v>
      </c>
      <c r="C4384" t="s">
        <v>47</v>
      </c>
      <c r="D4384" t="str">
        <f>IF(COUNTIFS(Verweise!$A$2:$A$4542,Übersicht!$C$7,Verweise!$B$2:$B$4542,B4384)=1,"Feiertag",IF(C4384="Samstag","",IF(C4384="Sonntag","",Übersicht!$C$8)))</f>
        <v>Feiertag</v>
      </c>
    </row>
    <row r="4385" spans="1:4" x14ac:dyDescent="0.25">
      <c r="A4385" t="s">
        <v>64</v>
      </c>
      <c r="B4385" s="48">
        <v>47968</v>
      </c>
      <c r="C4385" t="s">
        <v>48</v>
      </c>
      <c r="D4385" t="str">
        <f>IF(COUNTIFS(Verweise!$A$2:$A$4542,Übersicht!$C$7,Verweise!$B$2:$B$4542,B4385)=1,"Feiertag",IF(C4385="Samstag","",IF(C4385="Sonntag","",Übersicht!$C$8)))</f>
        <v>Feiertag</v>
      </c>
    </row>
    <row r="4386" spans="1:4" x14ac:dyDescent="0.25">
      <c r="A4386" t="s">
        <v>64</v>
      </c>
      <c r="B4386" s="48">
        <v>47970</v>
      </c>
      <c r="C4386" t="s">
        <v>49</v>
      </c>
      <c r="D4386" t="str">
        <f>IF(COUNTIFS(Verweise!$A$2:$A$4542,Übersicht!$C$7,Verweise!$B$2:$B$4542,B4386)=1,"Feiertag",IF(C4386="Samstag","",IF(C4386="Sonntag","",Übersicht!$C$8)))</f>
        <v>Feiertag</v>
      </c>
    </row>
    <row r="4387" spans="1:4" x14ac:dyDescent="0.25">
      <c r="A4387" t="s">
        <v>64</v>
      </c>
      <c r="B4387" s="48">
        <v>47980</v>
      </c>
      <c r="C4387" t="s">
        <v>50</v>
      </c>
      <c r="D4387" t="str">
        <f>IF(COUNTIFS(Verweise!$A$2:$A$4542,Übersicht!$C$7,Verweise!$B$2:$B$4542,B4387)=1,"Feiertag",IF(C4387="Samstag","",IF(C4387="Sonntag","",Übersicht!$C$8)))</f>
        <v>Feiertag</v>
      </c>
    </row>
    <row r="4388" spans="1:4" x14ac:dyDescent="0.25">
      <c r="A4388" t="s">
        <v>64</v>
      </c>
      <c r="B4388" s="48">
        <v>47981</v>
      </c>
      <c r="C4388" t="s">
        <v>51</v>
      </c>
      <c r="D4388" t="str">
        <f>IF(COUNTIFS(Verweise!$A$2:$A$4542,Übersicht!$C$7,Verweise!$B$2:$B$4542,B4388)=1,"Feiertag",IF(C4388="Samstag","",IF(C4388="Sonntag","",Übersicht!$C$8)))</f>
        <v>Feiertag</v>
      </c>
    </row>
    <row r="4389" spans="1:4" x14ac:dyDescent="0.25">
      <c r="A4389" t="s">
        <v>64</v>
      </c>
      <c r="B4389" s="48">
        <v>48123</v>
      </c>
      <c r="C4389" t="s">
        <v>53</v>
      </c>
      <c r="D4389" t="str">
        <f>IF(COUNTIFS(Verweise!$A$2:$A$4542,Übersicht!$C$7,Verweise!$B$2:$B$4542,B4389)=1,"Feiertag",IF(C4389="Samstag","",IF(C4389="Sonntag","",Übersicht!$C$8)))</f>
        <v>Feiertag</v>
      </c>
    </row>
    <row r="4390" spans="1:4" x14ac:dyDescent="0.25">
      <c r="A4390" t="s">
        <v>64</v>
      </c>
      <c r="B4390" s="48">
        <v>48206</v>
      </c>
      <c r="C4390" t="s">
        <v>55</v>
      </c>
      <c r="D4390" t="str">
        <f>IF(COUNTIFS(Verweise!$A$2:$A$4542,Übersicht!$C$7,Verweise!$B$2:$B$4542,B4390)=1,"Feiertag",IF(C4390="Samstag","",IF(C4390="Sonntag","",Übersicht!$C$8)))</f>
        <v>Feiertag</v>
      </c>
    </row>
    <row r="4391" spans="1:4" x14ac:dyDescent="0.25">
      <c r="A4391" t="s">
        <v>64</v>
      </c>
      <c r="B4391" s="48">
        <v>48207</v>
      </c>
      <c r="C4391" t="s">
        <v>56</v>
      </c>
      <c r="D4391" t="str">
        <f>IF(COUNTIFS(Verweise!$A$2:$A$4542,Übersicht!$C$7,Verweise!$B$2:$B$4542,B4391)=1,"Feiertag",IF(C4391="Samstag","",IF(C4391="Sonntag","",Übersicht!$C$8)))</f>
        <v>Feiertag</v>
      </c>
    </row>
    <row r="4392" spans="1:4" x14ac:dyDescent="0.25">
      <c r="A4392" t="s">
        <v>65</v>
      </c>
      <c r="B4392" s="48">
        <v>47848</v>
      </c>
      <c r="C4392" t="s">
        <v>43</v>
      </c>
      <c r="D4392" t="str">
        <f>IF(COUNTIFS(Verweise!$A$2:$A$4542,Übersicht!$C$7,Verweise!$B$2:$B$4542,B4392)=1,"Feiertag",IF(C4392="Samstag","",IF(C4392="Sonntag","",Übersicht!$C$8)))</f>
        <v>Feiertag</v>
      </c>
    </row>
    <row r="4393" spans="1:4" x14ac:dyDescent="0.25">
      <c r="A4393" t="s">
        <v>65</v>
      </c>
      <c r="B4393" s="48">
        <v>47929</v>
      </c>
      <c r="C4393" t="s">
        <v>45</v>
      </c>
      <c r="D4393" t="str">
        <f>IF(COUNTIFS(Verweise!$A$2:$A$4542,Übersicht!$C$7,Verweise!$B$2:$B$4542,B4393)=1,"Feiertag",IF(C4393="Samstag","",IF(C4393="Sonntag","",Übersicht!$C$8)))</f>
        <v>Feiertag</v>
      </c>
    </row>
    <row r="4394" spans="1:4" x14ac:dyDescent="0.25">
      <c r="A4394" t="s">
        <v>65</v>
      </c>
      <c r="B4394" s="48">
        <v>47931</v>
      </c>
      <c r="C4394" t="s">
        <v>46</v>
      </c>
      <c r="D4394" t="str">
        <f>IF(COUNTIFS(Verweise!$A$2:$A$4542,Übersicht!$C$7,Verweise!$B$2:$B$4542,B4394)=1,"Feiertag",IF(C4394="Samstag","",IF(C4394="Sonntag","",Übersicht!$C$8)))</f>
        <v>Feiertag</v>
      </c>
    </row>
    <row r="4395" spans="1:4" x14ac:dyDescent="0.25">
      <c r="A4395" t="s">
        <v>65</v>
      </c>
      <c r="B4395" s="48">
        <v>47932</v>
      </c>
      <c r="C4395" t="s">
        <v>47</v>
      </c>
      <c r="D4395" t="str">
        <f>IF(COUNTIFS(Verweise!$A$2:$A$4542,Übersicht!$C$7,Verweise!$B$2:$B$4542,B4395)=1,"Feiertag",IF(C4395="Samstag","",IF(C4395="Sonntag","",Übersicht!$C$8)))</f>
        <v>Feiertag</v>
      </c>
    </row>
    <row r="4396" spans="1:4" x14ac:dyDescent="0.25">
      <c r="A4396" t="s">
        <v>65</v>
      </c>
      <c r="B4396" s="48">
        <v>47968</v>
      </c>
      <c r="C4396" t="s">
        <v>48</v>
      </c>
      <c r="D4396" t="str">
        <f>IF(COUNTIFS(Verweise!$A$2:$A$4542,Übersicht!$C$7,Verweise!$B$2:$B$4542,B4396)=1,"Feiertag",IF(C4396="Samstag","",IF(C4396="Sonntag","",Übersicht!$C$8)))</f>
        <v>Feiertag</v>
      </c>
    </row>
    <row r="4397" spans="1:4" x14ac:dyDescent="0.25">
      <c r="A4397" t="s">
        <v>65</v>
      </c>
      <c r="B4397" s="48">
        <v>47970</v>
      </c>
      <c r="C4397" t="s">
        <v>49</v>
      </c>
      <c r="D4397" t="str">
        <f>IF(COUNTIFS(Verweise!$A$2:$A$4542,Übersicht!$C$7,Verweise!$B$2:$B$4542,B4397)=1,"Feiertag",IF(C4397="Samstag","",IF(C4397="Sonntag","",Übersicht!$C$8)))</f>
        <v>Feiertag</v>
      </c>
    </row>
    <row r="4398" spans="1:4" x14ac:dyDescent="0.25">
      <c r="A4398" t="s">
        <v>65</v>
      </c>
      <c r="B4398" s="48">
        <v>47980</v>
      </c>
      <c r="C4398" t="s">
        <v>50</v>
      </c>
      <c r="D4398" t="str">
        <f>IF(COUNTIFS(Verweise!$A$2:$A$4542,Übersicht!$C$7,Verweise!$B$2:$B$4542,B4398)=1,"Feiertag",IF(C4398="Samstag","",IF(C4398="Sonntag","",Übersicht!$C$8)))</f>
        <v>Feiertag</v>
      </c>
    </row>
    <row r="4399" spans="1:4" x14ac:dyDescent="0.25">
      <c r="A4399" t="s">
        <v>65</v>
      </c>
      <c r="B4399" s="48">
        <v>47981</v>
      </c>
      <c r="C4399" t="s">
        <v>51</v>
      </c>
      <c r="D4399" t="str">
        <f>IF(COUNTIFS(Verweise!$A$2:$A$4542,Übersicht!$C$7,Verweise!$B$2:$B$4542,B4399)=1,"Feiertag",IF(C4399="Samstag","",IF(C4399="Sonntag","",Übersicht!$C$8)))</f>
        <v>Feiertag</v>
      </c>
    </row>
    <row r="4400" spans="1:4" x14ac:dyDescent="0.25">
      <c r="A4400" t="s">
        <v>65</v>
      </c>
      <c r="B4400" s="48">
        <v>47991</v>
      </c>
      <c r="C4400" t="s">
        <v>52</v>
      </c>
      <c r="D4400" t="str">
        <f>IF(COUNTIFS(Verweise!$A$2:$A$4542,Übersicht!$C$7,Verweise!$B$2:$B$4542,B4400)=1,"Feiertag",IF(C4400="Samstag","",IF(C4400="Sonntag","",Übersicht!$C$8)))</f>
        <v>Feiertag</v>
      </c>
    </row>
    <row r="4401" spans="1:4" x14ac:dyDescent="0.25">
      <c r="A4401" t="s">
        <v>65</v>
      </c>
      <c r="B4401" s="48">
        <v>48123</v>
      </c>
      <c r="C4401" t="s">
        <v>53</v>
      </c>
      <c r="D4401" t="str">
        <f>IF(COUNTIFS(Verweise!$A$2:$A$4542,Übersicht!$C$7,Verweise!$B$2:$B$4542,B4401)=1,"Feiertag",IF(C4401="Samstag","",IF(C4401="Sonntag","",Übersicht!$C$8)))</f>
        <v>Feiertag</v>
      </c>
    </row>
    <row r="4402" spans="1:4" x14ac:dyDescent="0.25">
      <c r="A4402" t="s">
        <v>65</v>
      </c>
      <c r="B4402" s="48">
        <v>48206</v>
      </c>
      <c r="C4402" t="s">
        <v>55</v>
      </c>
      <c r="D4402" t="str">
        <f>IF(COUNTIFS(Verweise!$A$2:$A$4542,Übersicht!$C$7,Verweise!$B$2:$B$4542,B4402)=1,"Feiertag",IF(C4402="Samstag","",IF(C4402="Sonntag","",Übersicht!$C$8)))</f>
        <v>Feiertag</v>
      </c>
    </row>
    <row r="4403" spans="1:4" x14ac:dyDescent="0.25">
      <c r="A4403" t="s">
        <v>65</v>
      </c>
      <c r="B4403" s="48">
        <v>48207</v>
      </c>
      <c r="C4403" t="s">
        <v>56</v>
      </c>
      <c r="D4403" t="str">
        <f>IF(COUNTIFS(Verweise!$A$2:$A$4542,Übersicht!$C$7,Verweise!$B$2:$B$4542,B4403)=1,"Feiertag",IF(C4403="Samstag","",IF(C4403="Sonntag","",Übersicht!$C$8)))</f>
        <v>Feiertag</v>
      </c>
    </row>
    <row r="4404" spans="1:4" x14ac:dyDescent="0.25">
      <c r="A4404" t="s">
        <v>66</v>
      </c>
      <c r="B4404" s="48">
        <v>47848</v>
      </c>
      <c r="C4404" t="s">
        <v>43</v>
      </c>
      <c r="D4404" t="str">
        <f>IF(COUNTIFS(Verweise!$A$2:$A$4542,Übersicht!$C$7,Verweise!$B$2:$B$4542,B4404)=1,"Feiertag",IF(C4404="Samstag","",IF(C4404="Sonntag","",Übersicht!$C$8)))</f>
        <v>Feiertag</v>
      </c>
    </row>
    <row r="4405" spans="1:4" x14ac:dyDescent="0.25">
      <c r="A4405" t="s">
        <v>66</v>
      </c>
      <c r="B4405" s="48">
        <v>47929</v>
      </c>
      <c r="C4405" t="s">
        <v>45</v>
      </c>
      <c r="D4405" t="str">
        <f>IF(COUNTIFS(Verweise!$A$2:$A$4542,Übersicht!$C$7,Verweise!$B$2:$B$4542,B4405)=1,"Feiertag",IF(C4405="Samstag","",IF(C4405="Sonntag","",Übersicht!$C$8)))</f>
        <v>Feiertag</v>
      </c>
    </row>
    <row r="4406" spans="1:4" x14ac:dyDescent="0.25">
      <c r="A4406" t="s">
        <v>66</v>
      </c>
      <c r="B4406" s="48">
        <v>47931</v>
      </c>
      <c r="C4406" t="s">
        <v>46</v>
      </c>
      <c r="D4406" t="str">
        <f>IF(COUNTIFS(Verweise!$A$2:$A$4542,Übersicht!$C$7,Verweise!$B$2:$B$4542,B4406)=1,"Feiertag",IF(C4406="Samstag","",IF(C4406="Sonntag","",Übersicht!$C$8)))</f>
        <v>Feiertag</v>
      </c>
    </row>
    <row r="4407" spans="1:4" x14ac:dyDescent="0.25">
      <c r="A4407" t="s">
        <v>66</v>
      </c>
      <c r="B4407" s="48">
        <v>47932</v>
      </c>
      <c r="C4407" t="s">
        <v>47</v>
      </c>
      <c r="D4407" t="str">
        <f>IF(COUNTIFS(Verweise!$A$2:$A$4542,Übersicht!$C$7,Verweise!$B$2:$B$4542,B4407)=1,"Feiertag",IF(C4407="Samstag","",IF(C4407="Sonntag","",Übersicht!$C$8)))</f>
        <v>Feiertag</v>
      </c>
    </row>
    <row r="4408" spans="1:4" x14ac:dyDescent="0.25">
      <c r="A4408" t="s">
        <v>66</v>
      </c>
      <c r="B4408" s="48">
        <v>47968</v>
      </c>
      <c r="C4408" t="s">
        <v>48</v>
      </c>
      <c r="D4408" t="str">
        <f>IF(COUNTIFS(Verweise!$A$2:$A$4542,Übersicht!$C$7,Verweise!$B$2:$B$4542,B4408)=1,"Feiertag",IF(C4408="Samstag","",IF(C4408="Sonntag","",Übersicht!$C$8)))</f>
        <v>Feiertag</v>
      </c>
    </row>
    <row r="4409" spans="1:4" x14ac:dyDescent="0.25">
      <c r="A4409" t="s">
        <v>66</v>
      </c>
      <c r="B4409" s="48">
        <v>47970</v>
      </c>
      <c r="C4409" t="s">
        <v>49</v>
      </c>
      <c r="D4409" t="str">
        <f>IF(COUNTIFS(Verweise!$A$2:$A$4542,Übersicht!$C$7,Verweise!$B$2:$B$4542,B4409)=1,"Feiertag",IF(C4409="Samstag","",IF(C4409="Sonntag","",Übersicht!$C$8)))</f>
        <v>Feiertag</v>
      </c>
    </row>
    <row r="4410" spans="1:4" x14ac:dyDescent="0.25">
      <c r="A4410" t="s">
        <v>66</v>
      </c>
      <c r="B4410" s="48">
        <v>47980</v>
      </c>
      <c r="C4410" t="s">
        <v>50</v>
      </c>
      <c r="D4410" t="str">
        <f>IF(COUNTIFS(Verweise!$A$2:$A$4542,Übersicht!$C$7,Verweise!$B$2:$B$4542,B4410)=1,"Feiertag",IF(C4410="Samstag","",IF(C4410="Sonntag","",Übersicht!$C$8)))</f>
        <v>Feiertag</v>
      </c>
    </row>
    <row r="4411" spans="1:4" x14ac:dyDescent="0.25">
      <c r="A4411" t="s">
        <v>66</v>
      </c>
      <c r="B4411" s="48">
        <v>47981</v>
      </c>
      <c r="C4411" t="s">
        <v>51</v>
      </c>
      <c r="D4411" t="str">
        <f>IF(COUNTIFS(Verweise!$A$2:$A$4542,Übersicht!$C$7,Verweise!$B$2:$B$4542,B4411)=1,"Feiertag",IF(C4411="Samstag","",IF(C4411="Sonntag","",Übersicht!$C$8)))</f>
        <v>Feiertag</v>
      </c>
    </row>
    <row r="4412" spans="1:4" x14ac:dyDescent="0.25">
      <c r="A4412" t="s">
        <v>66</v>
      </c>
      <c r="B4412" s="48">
        <v>48123</v>
      </c>
      <c r="C4412" t="s">
        <v>53</v>
      </c>
      <c r="D4412" t="str">
        <f>IF(COUNTIFS(Verweise!$A$2:$A$4542,Übersicht!$C$7,Verweise!$B$2:$B$4542,B4412)=1,"Feiertag",IF(C4412="Samstag","",IF(C4412="Sonntag","",Übersicht!$C$8)))</f>
        <v>Feiertag</v>
      </c>
    </row>
    <row r="4413" spans="1:4" x14ac:dyDescent="0.25">
      <c r="A4413" t="s">
        <v>66</v>
      </c>
      <c r="B4413" s="48">
        <v>48151</v>
      </c>
      <c r="C4413" t="s">
        <v>62</v>
      </c>
      <c r="D4413" t="str">
        <f>IF(COUNTIFS(Verweise!$A$2:$A$4542,Übersicht!$C$7,Verweise!$B$2:$B$4542,B4413)=1,"Feiertag",IF(C4413="Samstag","",IF(C4413="Sonntag","",Übersicht!$C$8)))</f>
        <v>Büro</v>
      </c>
    </row>
    <row r="4414" spans="1:4" x14ac:dyDescent="0.25">
      <c r="A4414" t="s">
        <v>66</v>
      </c>
      <c r="B4414" s="48">
        <v>48206</v>
      </c>
      <c r="C4414" t="s">
        <v>55</v>
      </c>
      <c r="D4414" t="str">
        <f>IF(COUNTIFS(Verweise!$A$2:$A$4542,Übersicht!$C$7,Verweise!$B$2:$B$4542,B4414)=1,"Feiertag",IF(C4414="Samstag","",IF(C4414="Sonntag","",Übersicht!$C$8)))</f>
        <v>Feiertag</v>
      </c>
    </row>
    <row r="4415" spans="1:4" x14ac:dyDescent="0.25">
      <c r="A4415" t="s">
        <v>66</v>
      </c>
      <c r="B4415" s="48">
        <v>48207</v>
      </c>
      <c r="C4415" t="s">
        <v>56</v>
      </c>
      <c r="D4415" t="str">
        <f>IF(COUNTIFS(Verweise!$A$2:$A$4542,Übersicht!$C$7,Verweise!$B$2:$B$4542,B4415)=1,"Feiertag",IF(C4415="Samstag","",IF(C4415="Sonntag","",Übersicht!$C$8)))</f>
        <v>Feiertag</v>
      </c>
    </row>
    <row r="4416" spans="1:4" x14ac:dyDescent="0.25">
      <c r="A4416" t="s">
        <v>67</v>
      </c>
      <c r="B4416" s="48">
        <v>47848</v>
      </c>
      <c r="C4416" t="s">
        <v>43</v>
      </c>
      <c r="D4416" t="str">
        <f>IF(COUNTIFS(Verweise!$A$2:$A$4542,Übersicht!$C$7,Verweise!$B$2:$B$4542,B4416)=1,"Feiertag",IF(C4416="Samstag","",IF(C4416="Sonntag","",Übersicht!$C$8)))</f>
        <v>Feiertag</v>
      </c>
    </row>
    <row r="4417" spans="1:4" x14ac:dyDescent="0.25">
      <c r="A4417" t="s">
        <v>67</v>
      </c>
      <c r="B4417" s="48">
        <v>47929</v>
      </c>
      <c r="C4417" t="s">
        <v>45</v>
      </c>
      <c r="D4417" t="str">
        <f>IF(COUNTIFS(Verweise!$A$2:$A$4542,Übersicht!$C$7,Verweise!$B$2:$B$4542,B4417)=1,"Feiertag",IF(C4417="Samstag","",IF(C4417="Sonntag","",Übersicht!$C$8)))</f>
        <v>Feiertag</v>
      </c>
    </row>
    <row r="4418" spans="1:4" x14ac:dyDescent="0.25">
      <c r="A4418" t="s">
        <v>67</v>
      </c>
      <c r="B4418" s="48">
        <v>47931</v>
      </c>
      <c r="C4418" t="s">
        <v>46</v>
      </c>
      <c r="D4418" t="str">
        <f>IF(COUNTIFS(Verweise!$A$2:$A$4542,Übersicht!$C$7,Verweise!$B$2:$B$4542,B4418)=1,"Feiertag",IF(C4418="Samstag","",IF(C4418="Sonntag","",Übersicht!$C$8)))</f>
        <v>Feiertag</v>
      </c>
    </row>
    <row r="4419" spans="1:4" x14ac:dyDescent="0.25">
      <c r="A4419" t="s">
        <v>67</v>
      </c>
      <c r="B4419" s="48">
        <v>47932</v>
      </c>
      <c r="C4419" t="s">
        <v>47</v>
      </c>
      <c r="D4419" t="str">
        <f>IF(COUNTIFS(Verweise!$A$2:$A$4542,Übersicht!$C$7,Verweise!$B$2:$B$4542,B4419)=1,"Feiertag",IF(C4419="Samstag","",IF(C4419="Sonntag","",Übersicht!$C$8)))</f>
        <v>Feiertag</v>
      </c>
    </row>
    <row r="4420" spans="1:4" x14ac:dyDescent="0.25">
      <c r="A4420" t="s">
        <v>67</v>
      </c>
      <c r="B4420" s="48">
        <v>47968</v>
      </c>
      <c r="C4420" t="s">
        <v>48</v>
      </c>
      <c r="D4420" t="str">
        <f>IF(COUNTIFS(Verweise!$A$2:$A$4542,Übersicht!$C$7,Verweise!$B$2:$B$4542,B4420)=1,"Feiertag",IF(C4420="Samstag","",IF(C4420="Sonntag","",Übersicht!$C$8)))</f>
        <v>Feiertag</v>
      </c>
    </row>
    <row r="4421" spans="1:4" x14ac:dyDescent="0.25">
      <c r="A4421" t="s">
        <v>67</v>
      </c>
      <c r="B4421" s="48">
        <v>47970</v>
      </c>
      <c r="C4421" t="s">
        <v>49</v>
      </c>
      <c r="D4421" t="str">
        <f>IF(COUNTIFS(Verweise!$A$2:$A$4542,Übersicht!$C$7,Verweise!$B$2:$B$4542,B4421)=1,"Feiertag",IF(C4421="Samstag","",IF(C4421="Sonntag","",Übersicht!$C$8)))</f>
        <v>Feiertag</v>
      </c>
    </row>
    <row r="4422" spans="1:4" x14ac:dyDescent="0.25">
      <c r="A4422" t="s">
        <v>67</v>
      </c>
      <c r="B4422" s="48">
        <v>47980</v>
      </c>
      <c r="C4422" t="s">
        <v>50</v>
      </c>
      <c r="D4422" t="str">
        <f>IF(COUNTIFS(Verweise!$A$2:$A$4542,Übersicht!$C$7,Verweise!$B$2:$B$4542,B4422)=1,"Feiertag",IF(C4422="Samstag","",IF(C4422="Sonntag","",Übersicht!$C$8)))</f>
        <v>Feiertag</v>
      </c>
    </row>
    <row r="4423" spans="1:4" x14ac:dyDescent="0.25">
      <c r="A4423" t="s">
        <v>67</v>
      </c>
      <c r="B4423" s="48">
        <v>47981</v>
      </c>
      <c r="C4423" t="s">
        <v>51</v>
      </c>
      <c r="D4423" t="str">
        <f>IF(COUNTIFS(Verweise!$A$2:$A$4542,Übersicht!$C$7,Verweise!$B$2:$B$4542,B4423)=1,"Feiertag",IF(C4423="Samstag","",IF(C4423="Sonntag","",Übersicht!$C$8)))</f>
        <v>Feiertag</v>
      </c>
    </row>
    <row r="4424" spans="1:4" x14ac:dyDescent="0.25">
      <c r="A4424" t="s">
        <v>67</v>
      </c>
      <c r="B4424" s="48">
        <v>48123</v>
      </c>
      <c r="C4424" t="s">
        <v>53</v>
      </c>
      <c r="D4424" t="str">
        <f>IF(COUNTIFS(Verweise!$A$2:$A$4542,Übersicht!$C$7,Verweise!$B$2:$B$4542,B4424)=1,"Feiertag",IF(C4424="Samstag","",IF(C4424="Sonntag","",Übersicht!$C$8)))</f>
        <v>Feiertag</v>
      </c>
    </row>
    <row r="4425" spans="1:4" x14ac:dyDescent="0.25">
      <c r="A4425" t="s">
        <v>67</v>
      </c>
      <c r="B4425" s="48">
        <v>48206</v>
      </c>
      <c r="C4425" t="s">
        <v>55</v>
      </c>
      <c r="D4425" t="str">
        <f>IF(COUNTIFS(Verweise!$A$2:$A$4542,Übersicht!$C$7,Verweise!$B$2:$B$4542,B4425)=1,"Feiertag",IF(C4425="Samstag","",IF(C4425="Sonntag","",Übersicht!$C$8)))</f>
        <v>Feiertag</v>
      </c>
    </row>
    <row r="4426" spans="1:4" x14ac:dyDescent="0.25">
      <c r="A4426" t="s">
        <v>67</v>
      </c>
      <c r="B4426" s="48">
        <v>48207</v>
      </c>
      <c r="C4426" t="s">
        <v>56</v>
      </c>
      <c r="D4426" t="str">
        <f>IF(COUNTIFS(Verweise!$A$2:$A$4542,Übersicht!$C$7,Verweise!$B$2:$B$4542,B4426)=1,"Feiertag",IF(C4426="Samstag","",IF(C4426="Sonntag","",Übersicht!$C$8)))</f>
        <v>Feiertag</v>
      </c>
    </row>
    <row r="4427" spans="1:4" x14ac:dyDescent="0.25">
      <c r="A4427" t="s">
        <v>68</v>
      </c>
      <c r="B4427" s="48">
        <v>47848</v>
      </c>
      <c r="C4427" t="s">
        <v>43</v>
      </c>
      <c r="D4427" t="str">
        <f>IF(COUNTIFS(Verweise!$A$2:$A$4542,Übersicht!$C$7,Verweise!$B$2:$B$4542,B4427)=1,"Feiertag",IF(C4427="Samstag","",IF(C4427="Sonntag","",Übersicht!$C$8)))</f>
        <v>Feiertag</v>
      </c>
    </row>
    <row r="4428" spans="1:4" x14ac:dyDescent="0.25">
      <c r="A4428" t="s">
        <v>68</v>
      </c>
      <c r="B4428" s="48">
        <v>47929</v>
      </c>
      <c r="C4428" t="s">
        <v>45</v>
      </c>
      <c r="D4428" t="str">
        <f>IF(COUNTIFS(Verweise!$A$2:$A$4542,Übersicht!$C$7,Verweise!$B$2:$B$4542,B4428)=1,"Feiertag",IF(C4428="Samstag","",IF(C4428="Sonntag","",Übersicht!$C$8)))</f>
        <v>Feiertag</v>
      </c>
    </row>
    <row r="4429" spans="1:4" x14ac:dyDescent="0.25">
      <c r="A4429" t="s">
        <v>68</v>
      </c>
      <c r="B4429" s="48">
        <v>47931</v>
      </c>
      <c r="C4429" t="s">
        <v>46</v>
      </c>
      <c r="D4429" t="str">
        <f>IF(COUNTIFS(Verweise!$A$2:$A$4542,Übersicht!$C$7,Verweise!$B$2:$B$4542,B4429)=1,"Feiertag",IF(C4429="Samstag","",IF(C4429="Sonntag","",Übersicht!$C$8)))</f>
        <v>Feiertag</v>
      </c>
    </row>
    <row r="4430" spans="1:4" x14ac:dyDescent="0.25">
      <c r="A4430" t="s">
        <v>68</v>
      </c>
      <c r="B4430" s="48">
        <v>47932</v>
      </c>
      <c r="C4430" t="s">
        <v>47</v>
      </c>
      <c r="D4430" t="str">
        <f>IF(COUNTIFS(Verweise!$A$2:$A$4542,Übersicht!$C$7,Verweise!$B$2:$B$4542,B4430)=1,"Feiertag",IF(C4430="Samstag","",IF(C4430="Sonntag","",Übersicht!$C$8)))</f>
        <v>Feiertag</v>
      </c>
    </row>
    <row r="4431" spans="1:4" x14ac:dyDescent="0.25">
      <c r="A4431" t="s">
        <v>68</v>
      </c>
      <c r="B4431" s="48">
        <v>47968</v>
      </c>
      <c r="C4431" t="s">
        <v>48</v>
      </c>
      <c r="D4431" t="str">
        <f>IF(COUNTIFS(Verweise!$A$2:$A$4542,Übersicht!$C$7,Verweise!$B$2:$B$4542,B4431)=1,"Feiertag",IF(C4431="Samstag","",IF(C4431="Sonntag","",Übersicht!$C$8)))</f>
        <v>Feiertag</v>
      </c>
    </row>
    <row r="4432" spans="1:4" x14ac:dyDescent="0.25">
      <c r="A4432" t="s">
        <v>68</v>
      </c>
      <c r="B4432" s="48">
        <v>47970</v>
      </c>
      <c r="C4432" t="s">
        <v>49</v>
      </c>
      <c r="D4432" t="str">
        <f>IF(COUNTIFS(Verweise!$A$2:$A$4542,Übersicht!$C$7,Verweise!$B$2:$B$4542,B4432)=1,"Feiertag",IF(C4432="Samstag","",IF(C4432="Sonntag","",Übersicht!$C$8)))</f>
        <v>Feiertag</v>
      </c>
    </row>
    <row r="4433" spans="1:4" x14ac:dyDescent="0.25">
      <c r="A4433" t="s">
        <v>68</v>
      </c>
      <c r="B4433" s="48">
        <v>47980</v>
      </c>
      <c r="C4433" t="s">
        <v>50</v>
      </c>
      <c r="D4433" t="str">
        <f>IF(COUNTIFS(Verweise!$A$2:$A$4542,Übersicht!$C$7,Verweise!$B$2:$B$4542,B4433)=1,"Feiertag",IF(C4433="Samstag","",IF(C4433="Sonntag","",Übersicht!$C$8)))</f>
        <v>Feiertag</v>
      </c>
    </row>
    <row r="4434" spans="1:4" x14ac:dyDescent="0.25">
      <c r="A4434" t="s">
        <v>68</v>
      </c>
      <c r="B4434" s="48">
        <v>47981</v>
      </c>
      <c r="C4434" t="s">
        <v>51</v>
      </c>
      <c r="D4434" t="str">
        <f>IF(COUNTIFS(Verweise!$A$2:$A$4542,Übersicht!$C$7,Verweise!$B$2:$B$4542,B4434)=1,"Feiertag",IF(C4434="Samstag","",IF(C4434="Sonntag","",Übersicht!$C$8)))</f>
        <v>Feiertag</v>
      </c>
    </row>
    <row r="4435" spans="1:4" x14ac:dyDescent="0.25">
      <c r="A4435" t="s">
        <v>68</v>
      </c>
      <c r="B4435" s="48">
        <v>47991</v>
      </c>
      <c r="C4435" t="s">
        <v>52</v>
      </c>
      <c r="D4435" t="str">
        <f>IF(COUNTIFS(Verweise!$A$2:$A$4542,Übersicht!$C$7,Verweise!$B$2:$B$4542,B4435)=1,"Feiertag",IF(C4435="Samstag","",IF(C4435="Sonntag","",Übersicht!$C$8)))</f>
        <v>Feiertag</v>
      </c>
    </row>
    <row r="4436" spans="1:4" x14ac:dyDescent="0.25">
      <c r="A4436" t="s">
        <v>68</v>
      </c>
      <c r="B4436" s="48">
        <v>48123</v>
      </c>
      <c r="C4436" t="s">
        <v>53</v>
      </c>
      <c r="D4436" t="str">
        <f>IF(COUNTIFS(Verweise!$A$2:$A$4542,Übersicht!$C$7,Verweise!$B$2:$B$4542,B4436)=1,"Feiertag",IF(C4436="Samstag","",IF(C4436="Sonntag","",Übersicht!$C$8)))</f>
        <v>Feiertag</v>
      </c>
    </row>
    <row r="4437" spans="1:4" x14ac:dyDescent="0.25">
      <c r="A4437" t="s">
        <v>68</v>
      </c>
      <c r="B4437" s="48">
        <v>48152</v>
      </c>
      <c r="C4437" t="s">
        <v>54</v>
      </c>
      <c r="D4437" t="str">
        <f>IF(COUNTIFS(Verweise!$A$2:$A$4542,Übersicht!$C$7,Verweise!$B$2:$B$4542,B4437)=1,"Feiertag",IF(C4437="Samstag","",IF(C4437="Sonntag","",Übersicht!$C$8)))</f>
        <v>Feiertag</v>
      </c>
    </row>
    <row r="4438" spans="1:4" x14ac:dyDescent="0.25">
      <c r="A4438" t="s">
        <v>68</v>
      </c>
      <c r="B4438" s="48">
        <v>48206</v>
      </c>
      <c r="C4438" t="s">
        <v>55</v>
      </c>
      <c r="D4438" t="str">
        <f>IF(COUNTIFS(Verweise!$A$2:$A$4542,Übersicht!$C$7,Verweise!$B$2:$B$4542,B4438)=1,"Feiertag",IF(C4438="Samstag","",IF(C4438="Sonntag","",Übersicht!$C$8)))</f>
        <v>Feiertag</v>
      </c>
    </row>
    <row r="4439" spans="1:4" x14ac:dyDescent="0.25">
      <c r="A4439" t="s">
        <v>68</v>
      </c>
      <c r="B4439" s="48">
        <v>48207</v>
      </c>
      <c r="C4439" t="s">
        <v>56</v>
      </c>
      <c r="D4439" t="str">
        <f>IF(COUNTIFS(Verweise!$A$2:$A$4542,Übersicht!$C$7,Verweise!$B$2:$B$4542,B4439)=1,"Feiertag",IF(C4439="Samstag","",IF(C4439="Sonntag","",Übersicht!$C$8)))</f>
        <v>Feiertag</v>
      </c>
    </row>
    <row r="4440" spans="1:4" x14ac:dyDescent="0.25">
      <c r="A4440" t="s">
        <v>69</v>
      </c>
      <c r="B4440" s="48">
        <v>47848</v>
      </c>
      <c r="C4440" t="s">
        <v>43</v>
      </c>
      <c r="D4440" t="str">
        <f>IF(COUNTIFS(Verweise!$A$2:$A$4542,Übersicht!$C$7,Verweise!$B$2:$B$4542,B4440)=1,"Feiertag",IF(C4440="Samstag","",IF(C4440="Sonntag","",Übersicht!$C$8)))</f>
        <v>Feiertag</v>
      </c>
    </row>
    <row r="4441" spans="1:4" x14ac:dyDescent="0.25">
      <c r="A4441" t="s">
        <v>69</v>
      </c>
      <c r="B4441" s="48">
        <v>47929</v>
      </c>
      <c r="C4441" t="s">
        <v>45</v>
      </c>
      <c r="D4441" t="str">
        <f>IF(COUNTIFS(Verweise!$A$2:$A$4542,Übersicht!$C$7,Verweise!$B$2:$B$4542,B4441)=1,"Feiertag",IF(C4441="Samstag","",IF(C4441="Sonntag","",Übersicht!$C$8)))</f>
        <v>Feiertag</v>
      </c>
    </row>
    <row r="4442" spans="1:4" x14ac:dyDescent="0.25">
      <c r="A4442" t="s">
        <v>69</v>
      </c>
      <c r="B4442" s="48">
        <v>47931</v>
      </c>
      <c r="C4442" t="s">
        <v>46</v>
      </c>
      <c r="D4442" t="str">
        <f>IF(COUNTIFS(Verweise!$A$2:$A$4542,Übersicht!$C$7,Verweise!$B$2:$B$4542,B4442)=1,"Feiertag",IF(C4442="Samstag","",IF(C4442="Sonntag","",Übersicht!$C$8)))</f>
        <v>Feiertag</v>
      </c>
    </row>
    <row r="4443" spans="1:4" x14ac:dyDescent="0.25">
      <c r="A4443" t="s">
        <v>69</v>
      </c>
      <c r="B4443" s="48">
        <v>47932</v>
      </c>
      <c r="C4443" t="s">
        <v>47</v>
      </c>
      <c r="D4443" t="str">
        <f>IF(COUNTIFS(Verweise!$A$2:$A$4542,Übersicht!$C$7,Verweise!$B$2:$B$4542,B4443)=1,"Feiertag",IF(C4443="Samstag","",IF(C4443="Sonntag","",Übersicht!$C$8)))</f>
        <v>Feiertag</v>
      </c>
    </row>
    <row r="4444" spans="1:4" x14ac:dyDescent="0.25">
      <c r="A4444" t="s">
        <v>69</v>
      </c>
      <c r="B4444" s="48">
        <v>47968</v>
      </c>
      <c r="C4444" t="s">
        <v>48</v>
      </c>
      <c r="D4444" t="str">
        <f>IF(COUNTIFS(Verweise!$A$2:$A$4542,Übersicht!$C$7,Verweise!$B$2:$B$4542,B4444)=1,"Feiertag",IF(C4444="Samstag","",IF(C4444="Sonntag","",Übersicht!$C$8)))</f>
        <v>Feiertag</v>
      </c>
    </row>
    <row r="4445" spans="1:4" x14ac:dyDescent="0.25">
      <c r="A4445" t="s">
        <v>69</v>
      </c>
      <c r="B4445" s="48">
        <v>47970</v>
      </c>
      <c r="C4445" t="s">
        <v>49</v>
      </c>
      <c r="D4445" t="str">
        <f>IF(COUNTIFS(Verweise!$A$2:$A$4542,Übersicht!$C$7,Verweise!$B$2:$B$4542,B4445)=1,"Feiertag",IF(C4445="Samstag","",IF(C4445="Sonntag","",Übersicht!$C$8)))</f>
        <v>Feiertag</v>
      </c>
    </row>
    <row r="4446" spans="1:4" x14ac:dyDescent="0.25">
      <c r="A4446" t="s">
        <v>69</v>
      </c>
      <c r="B4446" s="48">
        <v>47980</v>
      </c>
      <c r="C4446" t="s">
        <v>50</v>
      </c>
      <c r="D4446" t="str">
        <f>IF(COUNTIFS(Verweise!$A$2:$A$4542,Übersicht!$C$7,Verweise!$B$2:$B$4542,B4446)=1,"Feiertag",IF(C4446="Samstag","",IF(C4446="Sonntag","",Übersicht!$C$8)))</f>
        <v>Feiertag</v>
      </c>
    </row>
    <row r="4447" spans="1:4" x14ac:dyDescent="0.25">
      <c r="A4447" t="s">
        <v>69</v>
      </c>
      <c r="B4447" s="48">
        <v>47981</v>
      </c>
      <c r="C4447" t="s">
        <v>51</v>
      </c>
      <c r="D4447" t="str">
        <f>IF(COUNTIFS(Verweise!$A$2:$A$4542,Übersicht!$C$7,Verweise!$B$2:$B$4542,B4447)=1,"Feiertag",IF(C4447="Samstag","",IF(C4447="Sonntag","",Übersicht!$C$8)))</f>
        <v>Feiertag</v>
      </c>
    </row>
    <row r="4448" spans="1:4" x14ac:dyDescent="0.25">
      <c r="A4448" t="s">
        <v>69</v>
      </c>
      <c r="B4448" s="48">
        <v>47991</v>
      </c>
      <c r="C4448" t="s">
        <v>52</v>
      </c>
      <c r="D4448" t="str">
        <f>IF(COUNTIFS(Verweise!$A$2:$A$4542,Übersicht!$C$7,Verweise!$B$2:$B$4542,B4448)=1,"Feiertag",IF(C4448="Samstag","",IF(C4448="Sonntag","",Übersicht!$C$8)))</f>
        <v>Feiertag</v>
      </c>
    </row>
    <row r="4449" spans="1:4" x14ac:dyDescent="0.25">
      <c r="A4449" t="s">
        <v>69</v>
      </c>
      <c r="B4449" s="48">
        <v>48123</v>
      </c>
      <c r="C4449" t="s">
        <v>53</v>
      </c>
      <c r="D4449" t="str">
        <f>IF(COUNTIFS(Verweise!$A$2:$A$4542,Übersicht!$C$7,Verweise!$B$2:$B$4542,B4449)=1,"Feiertag",IF(C4449="Samstag","",IF(C4449="Sonntag","",Übersicht!$C$8)))</f>
        <v>Feiertag</v>
      </c>
    </row>
    <row r="4450" spans="1:4" x14ac:dyDescent="0.25">
      <c r="A4450" t="s">
        <v>69</v>
      </c>
      <c r="B4450" s="48">
        <v>48152</v>
      </c>
      <c r="C4450" t="s">
        <v>54</v>
      </c>
      <c r="D4450" t="str">
        <f>IF(COUNTIFS(Verweise!$A$2:$A$4542,Übersicht!$C$7,Verweise!$B$2:$B$4542,B4450)=1,"Feiertag",IF(C4450="Samstag","",IF(C4450="Sonntag","",Übersicht!$C$8)))</f>
        <v>Feiertag</v>
      </c>
    </row>
    <row r="4451" spans="1:4" x14ac:dyDescent="0.25">
      <c r="A4451" t="s">
        <v>69</v>
      </c>
      <c r="B4451" s="48">
        <v>48206</v>
      </c>
      <c r="C4451" t="s">
        <v>55</v>
      </c>
      <c r="D4451" t="str">
        <f>IF(COUNTIFS(Verweise!$A$2:$A$4542,Übersicht!$C$7,Verweise!$B$2:$B$4542,B4451)=1,"Feiertag",IF(C4451="Samstag","",IF(C4451="Sonntag","",Übersicht!$C$8)))</f>
        <v>Feiertag</v>
      </c>
    </row>
    <row r="4452" spans="1:4" x14ac:dyDescent="0.25">
      <c r="A4452" t="s">
        <v>69</v>
      </c>
      <c r="B4452" s="48">
        <v>48207</v>
      </c>
      <c r="C4452" t="s">
        <v>56</v>
      </c>
      <c r="D4452" t="str">
        <f>IF(COUNTIFS(Verweise!$A$2:$A$4542,Übersicht!$C$7,Verweise!$B$2:$B$4542,B4452)=1,"Feiertag",IF(C4452="Samstag","",IF(C4452="Sonntag","",Übersicht!$C$8)))</f>
        <v>Feiertag</v>
      </c>
    </row>
    <row r="4453" spans="1:4" x14ac:dyDescent="0.25">
      <c r="A4453" t="s">
        <v>70</v>
      </c>
      <c r="B4453" s="48">
        <v>47848</v>
      </c>
      <c r="C4453" t="s">
        <v>43</v>
      </c>
      <c r="D4453" t="str">
        <f>IF(COUNTIFS(Verweise!$A$2:$A$4542,Übersicht!$C$7,Verweise!$B$2:$B$4542,B4453)=1,"Feiertag",IF(C4453="Samstag","",IF(C4453="Sonntag","",Übersicht!$C$8)))</f>
        <v>Feiertag</v>
      </c>
    </row>
    <row r="4454" spans="1:4" x14ac:dyDescent="0.25">
      <c r="A4454" t="s">
        <v>70</v>
      </c>
      <c r="B4454" s="48">
        <v>47929</v>
      </c>
      <c r="C4454" t="s">
        <v>45</v>
      </c>
      <c r="D4454" t="str">
        <f>IF(COUNTIFS(Verweise!$A$2:$A$4542,Übersicht!$C$7,Verweise!$B$2:$B$4542,B4454)=1,"Feiertag",IF(C4454="Samstag","",IF(C4454="Sonntag","",Übersicht!$C$8)))</f>
        <v>Feiertag</v>
      </c>
    </row>
    <row r="4455" spans="1:4" x14ac:dyDescent="0.25">
      <c r="A4455" t="s">
        <v>70</v>
      </c>
      <c r="B4455" s="48">
        <v>47931</v>
      </c>
      <c r="C4455" t="s">
        <v>46</v>
      </c>
      <c r="D4455" t="str">
        <f>IF(COUNTIFS(Verweise!$A$2:$A$4542,Übersicht!$C$7,Verweise!$B$2:$B$4542,B4455)=1,"Feiertag",IF(C4455="Samstag","",IF(C4455="Sonntag","",Übersicht!$C$8)))</f>
        <v>Feiertag</v>
      </c>
    </row>
    <row r="4456" spans="1:4" x14ac:dyDescent="0.25">
      <c r="A4456" t="s">
        <v>70</v>
      </c>
      <c r="B4456" s="48">
        <v>47932</v>
      </c>
      <c r="C4456" t="s">
        <v>47</v>
      </c>
      <c r="D4456" t="str">
        <f>IF(COUNTIFS(Verweise!$A$2:$A$4542,Übersicht!$C$7,Verweise!$B$2:$B$4542,B4456)=1,"Feiertag",IF(C4456="Samstag","",IF(C4456="Sonntag","",Übersicht!$C$8)))</f>
        <v>Feiertag</v>
      </c>
    </row>
    <row r="4457" spans="1:4" x14ac:dyDescent="0.25">
      <c r="A4457" t="s">
        <v>70</v>
      </c>
      <c r="B4457" s="48">
        <v>47968</v>
      </c>
      <c r="C4457" t="s">
        <v>48</v>
      </c>
      <c r="D4457" t="str">
        <f>IF(COUNTIFS(Verweise!$A$2:$A$4542,Übersicht!$C$7,Verweise!$B$2:$B$4542,B4457)=1,"Feiertag",IF(C4457="Samstag","",IF(C4457="Sonntag","",Übersicht!$C$8)))</f>
        <v>Feiertag</v>
      </c>
    </row>
    <row r="4458" spans="1:4" x14ac:dyDescent="0.25">
      <c r="A4458" t="s">
        <v>70</v>
      </c>
      <c r="B4458" s="48">
        <v>47970</v>
      </c>
      <c r="C4458" t="s">
        <v>49</v>
      </c>
      <c r="D4458" t="str">
        <f>IF(COUNTIFS(Verweise!$A$2:$A$4542,Übersicht!$C$7,Verweise!$B$2:$B$4542,B4458)=1,"Feiertag",IF(C4458="Samstag","",IF(C4458="Sonntag","",Übersicht!$C$8)))</f>
        <v>Feiertag</v>
      </c>
    </row>
    <row r="4459" spans="1:4" x14ac:dyDescent="0.25">
      <c r="A4459" t="s">
        <v>70</v>
      </c>
      <c r="B4459" s="48">
        <v>47980</v>
      </c>
      <c r="C4459" t="s">
        <v>50</v>
      </c>
      <c r="D4459" t="str">
        <f>IF(COUNTIFS(Verweise!$A$2:$A$4542,Übersicht!$C$7,Verweise!$B$2:$B$4542,B4459)=1,"Feiertag",IF(C4459="Samstag","",IF(C4459="Sonntag","",Übersicht!$C$8)))</f>
        <v>Feiertag</v>
      </c>
    </row>
    <row r="4460" spans="1:4" x14ac:dyDescent="0.25">
      <c r="A4460" t="s">
        <v>70</v>
      </c>
      <c r="B4460" s="48">
        <v>47981</v>
      </c>
      <c r="C4460" t="s">
        <v>51</v>
      </c>
      <c r="D4460" t="str">
        <f>IF(COUNTIFS(Verweise!$A$2:$A$4542,Übersicht!$C$7,Verweise!$B$2:$B$4542,B4460)=1,"Feiertag",IF(C4460="Samstag","",IF(C4460="Sonntag","",Übersicht!$C$8)))</f>
        <v>Feiertag</v>
      </c>
    </row>
    <row r="4461" spans="1:4" x14ac:dyDescent="0.25">
      <c r="A4461" t="s">
        <v>70</v>
      </c>
      <c r="B4461" s="48">
        <v>47991</v>
      </c>
      <c r="C4461" t="s">
        <v>52</v>
      </c>
      <c r="D4461" t="str">
        <f>IF(COUNTIFS(Verweise!$A$2:$A$4542,Übersicht!$C$7,Verweise!$B$2:$B$4542,B4461)=1,"Feiertag",IF(C4461="Samstag","",IF(C4461="Sonntag","",Übersicht!$C$8)))</f>
        <v>Feiertag</v>
      </c>
    </row>
    <row r="4462" spans="1:4" x14ac:dyDescent="0.25">
      <c r="A4462" t="s">
        <v>70</v>
      </c>
      <c r="B4462" s="48">
        <v>48074</v>
      </c>
      <c r="C4462" t="s">
        <v>59</v>
      </c>
      <c r="D4462" t="str">
        <f>IF(COUNTIFS(Verweise!$A$2:$A$4542,Übersicht!$C$7,Verweise!$B$2:$B$4542,B4462)=1,"Feiertag",IF(C4462="Samstag","",IF(C4462="Sonntag","",Übersicht!$C$8)))</f>
        <v>Büro</v>
      </c>
    </row>
    <row r="4463" spans="1:4" x14ac:dyDescent="0.25">
      <c r="A4463" t="s">
        <v>70</v>
      </c>
      <c r="B4463" s="48">
        <v>48123</v>
      </c>
      <c r="C4463" t="s">
        <v>53</v>
      </c>
      <c r="D4463" t="str">
        <f>IF(COUNTIFS(Verweise!$A$2:$A$4542,Übersicht!$C$7,Verweise!$B$2:$B$4542,B4463)=1,"Feiertag",IF(C4463="Samstag","",IF(C4463="Sonntag","",Übersicht!$C$8)))</f>
        <v>Feiertag</v>
      </c>
    </row>
    <row r="4464" spans="1:4" x14ac:dyDescent="0.25">
      <c r="A4464" t="s">
        <v>70</v>
      </c>
      <c r="B4464" s="48">
        <v>48152</v>
      </c>
      <c r="C4464" t="s">
        <v>54</v>
      </c>
      <c r="D4464" t="str">
        <f>IF(COUNTIFS(Verweise!$A$2:$A$4542,Übersicht!$C$7,Verweise!$B$2:$B$4542,B4464)=1,"Feiertag",IF(C4464="Samstag","",IF(C4464="Sonntag","",Übersicht!$C$8)))</f>
        <v>Feiertag</v>
      </c>
    </row>
    <row r="4465" spans="1:4" x14ac:dyDescent="0.25">
      <c r="A4465" t="s">
        <v>70</v>
      </c>
      <c r="B4465" s="48">
        <v>48206</v>
      </c>
      <c r="C4465" t="s">
        <v>55</v>
      </c>
      <c r="D4465" t="str">
        <f>IF(COUNTIFS(Verweise!$A$2:$A$4542,Übersicht!$C$7,Verweise!$B$2:$B$4542,B4465)=1,"Feiertag",IF(C4465="Samstag","",IF(C4465="Sonntag","",Übersicht!$C$8)))</f>
        <v>Feiertag</v>
      </c>
    </row>
    <row r="4466" spans="1:4" x14ac:dyDescent="0.25">
      <c r="A4466" t="s">
        <v>70</v>
      </c>
      <c r="B4466" s="48">
        <v>48207</v>
      </c>
      <c r="C4466" t="s">
        <v>56</v>
      </c>
      <c r="D4466" t="str">
        <f>IF(COUNTIFS(Verweise!$A$2:$A$4542,Übersicht!$C$7,Verweise!$B$2:$B$4542,B4466)=1,"Feiertag",IF(C4466="Samstag","",IF(C4466="Sonntag","",Übersicht!$C$8)))</f>
        <v>Feiertag</v>
      </c>
    </row>
    <row r="4467" spans="1:4" x14ac:dyDescent="0.25">
      <c r="A4467" t="s">
        <v>71</v>
      </c>
      <c r="B4467" s="48">
        <v>47848</v>
      </c>
      <c r="C4467" t="s">
        <v>43</v>
      </c>
      <c r="D4467" t="str">
        <f>IF(COUNTIFS(Verweise!$A$2:$A$4542,Übersicht!$C$7,Verweise!$B$2:$B$4542,B4467)=1,"Feiertag",IF(C4467="Samstag","",IF(C4467="Sonntag","",Übersicht!$C$8)))</f>
        <v>Feiertag</v>
      </c>
    </row>
    <row r="4468" spans="1:4" x14ac:dyDescent="0.25">
      <c r="A4468" t="s">
        <v>71</v>
      </c>
      <c r="B4468" s="48">
        <v>47929</v>
      </c>
      <c r="C4468" t="s">
        <v>45</v>
      </c>
      <c r="D4468" t="str">
        <f>IF(COUNTIFS(Verweise!$A$2:$A$4542,Übersicht!$C$7,Verweise!$B$2:$B$4542,B4468)=1,"Feiertag",IF(C4468="Samstag","",IF(C4468="Sonntag","",Übersicht!$C$8)))</f>
        <v>Feiertag</v>
      </c>
    </row>
    <row r="4469" spans="1:4" x14ac:dyDescent="0.25">
      <c r="A4469" t="s">
        <v>71</v>
      </c>
      <c r="B4469" s="48">
        <v>47931</v>
      </c>
      <c r="C4469" t="s">
        <v>46</v>
      </c>
      <c r="D4469" t="str">
        <f>IF(COUNTIFS(Verweise!$A$2:$A$4542,Übersicht!$C$7,Verweise!$B$2:$B$4542,B4469)=1,"Feiertag",IF(C4469="Samstag","",IF(C4469="Sonntag","",Übersicht!$C$8)))</f>
        <v>Feiertag</v>
      </c>
    </row>
    <row r="4470" spans="1:4" x14ac:dyDescent="0.25">
      <c r="A4470" t="s">
        <v>71</v>
      </c>
      <c r="B4470" s="48">
        <v>47932</v>
      </c>
      <c r="C4470" t="s">
        <v>47</v>
      </c>
      <c r="D4470" t="str">
        <f>IF(COUNTIFS(Verweise!$A$2:$A$4542,Übersicht!$C$7,Verweise!$B$2:$B$4542,B4470)=1,"Feiertag",IF(C4470="Samstag","",IF(C4470="Sonntag","",Übersicht!$C$8)))</f>
        <v>Feiertag</v>
      </c>
    </row>
    <row r="4471" spans="1:4" x14ac:dyDescent="0.25">
      <c r="A4471" t="s">
        <v>71</v>
      </c>
      <c r="B4471" s="48">
        <v>47968</v>
      </c>
      <c r="C4471" t="s">
        <v>48</v>
      </c>
      <c r="D4471" t="str">
        <f>IF(COUNTIFS(Verweise!$A$2:$A$4542,Übersicht!$C$7,Verweise!$B$2:$B$4542,B4471)=1,"Feiertag",IF(C4471="Samstag","",IF(C4471="Sonntag","",Übersicht!$C$8)))</f>
        <v>Feiertag</v>
      </c>
    </row>
    <row r="4472" spans="1:4" x14ac:dyDescent="0.25">
      <c r="A4472" t="s">
        <v>71</v>
      </c>
      <c r="B4472" s="48">
        <v>47970</v>
      </c>
      <c r="C4472" t="s">
        <v>49</v>
      </c>
      <c r="D4472" t="str">
        <f>IF(COUNTIFS(Verweise!$A$2:$A$4542,Übersicht!$C$7,Verweise!$B$2:$B$4542,B4472)=1,"Feiertag",IF(C4472="Samstag","",IF(C4472="Sonntag","",Übersicht!$C$8)))</f>
        <v>Feiertag</v>
      </c>
    </row>
    <row r="4473" spans="1:4" x14ac:dyDescent="0.25">
      <c r="A4473" t="s">
        <v>71</v>
      </c>
      <c r="B4473" s="48">
        <v>47980</v>
      </c>
      <c r="C4473" t="s">
        <v>50</v>
      </c>
      <c r="D4473" t="str">
        <f>IF(COUNTIFS(Verweise!$A$2:$A$4542,Übersicht!$C$7,Verweise!$B$2:$B$4542,B4473)=1,"Feiertag",IF(C4473="Samstag","",IF(C4473="Sonntag","",Übersicht!$C$8)))</f>
        <v>Feiertag</v>
      </c>
    </row>
    <row r="4474" spans="1:4" x14ac:dyDescent="0.25">
      <c r="A4474" t="s">
        <v>71</v>
      </c>
      <c r="B4474" s="48">
        <v>47981</v>
      </c>
      <c r="C4474" t="s">
        <v>51</v>
      </c>
      <c r="D4474" t="str">
        <f>IF(COUNTIFS(Verweise!$A$2:$A$4542,Übersicht!$C$7,Verweise!$B$2:$B$4542,B4474)=1,"Feiertag",IF(C4474="Samstag","",IF(C4474="Sonntag","",Übersicht!$C$8)))</f>
        <v>Feiertag</v>
      </c>
    </row>
    <row r="4475" spans="1:4" x14ac:dyDescent="0.25">
      <c r="A4475" t="s">
        <v>71</v>
      </c>
      <c r="B4475" s="48">
        <v>48123</v>
      </c>
      <c r="C4475" t="s">
        <v>53</v>
      </c>
      <c r="D4475" t="str">
        <f>IF(COUNTIFS(Verweise!$A$2:$A$4542,Übersicht!$C$7,Verweise!$B$2:$B$4542,B4475)=1,"Feiertag",IF(C4475="Samstag","",IF(C4475="Sonntag","",Übersicht!$C$8)))</f>
        <v>Feiertag</v>
      </c>
    </row>
    <row r="4476" spans="1:4" x14ac:dyDescent="0.25">
      <c r="A4476" t="s">
        <v>71</v>
      </c>
      <c r="B4476" s="48">
        <v>48151</v>
      </c>
      <c r="C4476" t="s">
        <v>62</v>
      </c>
      <c r="D4476" t="str">
        <f>IF(COUNTIFS(Verweise!$A$2:$A$4542,Übersicht!$C$7,Verweise!$B$2:$B$4542,B4476)=1,"Feiertag",IF(C4476="Samstag","",IF(C4476="Sonntag","",Übersicht!$C$8)))</f>
        <v>Büro</v>
      </c>
    </row>
    <row r="4477" spans="1:4" x14ac:dyDescent="0.25">
      <c r="A4477" t="s">
        <v>71</v>
      </c>
      <c r="B4477" s="48">
        <v>48172</v>
      </c>
      <c r="C4477" t="s">
        <v>72</v>
      </c>
      <c r="D4477" t="str">
        <f>IF(COUNTIFS(Verweise!$A$2:$A$4542,Übersicht!$C$7,Verweise!$B$2:$B$4542,B4477)=1,"Feiertag",IF(C4477="Samstag","",IF(C4477="Sonntag","",Übersicht!$C$8)))</f>
        <v>Büro</v>
      </c>
    </row>
    <row r="4478" spans="1:4" x14ac:dyDescent="0.25">
      <c r="A4478" t="s">
        <v>71</v>
      </c>
      <c r="B4478" s="48">
        <v>48206</v>
      </c>
      <c r="C4478" t="s">
        <v>55</v>
      </c>
      <c r="D4478" t="str">
        <f>IF(COUNTIFS(Verweise!$A$2:$A$4542,Übersicht!$C$7,Verweise!$B$2:$B$4542,B4478)=1,"Feiertag",IF(C4478="Samstag","",IF(C4478="Sonntag","",Übersicht!$C$8)))</f>
        <v>Feiertag</v>
      </c>
    </row>
    <row r="4479" spans="1:4" x14ac:dyDescent="0.25">
      <c r="A4479" t="s">
        <v>71</v>
      </c>
      <c r="B4479" s="48">
        <v>48207</v>
      </c>
      <c r="C4479" t="s">
        <v>56</v>
      </c>
      <c r="D4479" t="str">
        <f>IF(COUNTIFS(Verweise!$A$2:$A$4542,Übersicht!$C$7,Verweise!$B$2:$B$4542,B4479)=1,"Feiertag",IF(C4479="Samstag","",IF(C4479="Sonntag","",Übersicht!$C$8)))</f>
        <v>Feiertag</v>
      </c>
    </row>
    <row r="4480" spans="1:4" x14ac:dyDescent="0.25">
      <c r="A4480" t="s">
        <v>73</v>
      </c>
      <c r="B4480" s="48">
        <v>47848</v>
      </c>
      <c r="C4480" t="s">
        <v>43</v>
      </c>
      <c r="D4480" t="str">
        <f>IF(COUNTIFS(Verweise!$A$2:$A$4542,Übersicht!$C$7,Verweise!$B$2:$B$4542,B4480)=1,"Feiertag",IF(C4480="Samstag","",IF(C4480="Sonntag","",Übersicht!$C$8)))</f>
        <v>Feiertag</v>
      </c>
    </row>
    <row r="4481" spans="1:4" x14ac:dyDescent="0.25">
      <c r="A4481" t="s">
        <v>73</v>
      </c>
      <c r="B4481" s="48">
        <v>47929</v>
      </c>
      <c r="C4481" t="s">
        <v>45</v>
      </c>
      <c r="D4481" t="str">
        <f>IF(COUNTIFS(Verweise!$A$2:$A$4542,Übersicht!$C$7,Verweise!$B$2:$B$4542,B4481)=1,"Feiertag",IF(C4481="Samstag","",IF(C4481="Sonntag","",Übersicht!$C$8)))</f>
        <v>Feiertag</v>
      </c>
    </row>
    <row r="4482" spans="1:4" x14ac:dyDescent="0.25">
      <c r="A4482" t="s">
        <v>73</v>
      </c>
      <c r="B4482" s="48">
        <v>47931</v>
      </c>
      <c r="C4482" t="s">
        <v>46</v>
      </c>
      <c r="D4482" t="str">
        <f>IF(COUNTIFS(Verweise!$A$2:$A$4542,Übersicht!$C$7,Verweise!$B$2:$B$4542,B4482)=1,"Feiertag",IF(C4482="Samstag","",IF(C4482="Sonntag","",Übersicht!$C$8)))</f>
        <v>Feiertag</v>
      </c>
    </row>
    <row r="4483" spans="1:4" x14ac:dyDescent="0.25">
      <c r="A4483" t="s">
        <v>73</v>
      </c>
      <c r="B4483" s="48">
        <v>47932</v>
      </c>
      <c r="C4483" t="s">
        <v>47</v>
      </c>
      <c r="D4483" t="str">
        <f>IF(COUNTIFS(Verweise!$A$2:$A$4542,Übersicht!$C$7,Verweise!$B$2:$B$4542,B4483)=1,"Feiertag",IF(C4483="Samstag","",IF(C4483="Sonntag","",Übersicht!$C$8)))</f>
        <v>Feiertag</v>
      </c>
    </row>
    <row r="4484" spans="1:4" x14ac:dyDescent="0.25">
      <c r="A4484" t="s">
        <v>73</v>
      </c>
      <c r="B4484" s="48">
        <v>47968</v>
      </c>
      <c r="C4484" t="s">
        <v>48</v>
      </c>
      <c r="D4484" t="str">
        <f>IF(COUNTIFS(Verweise!$A$2:$A$4542,Übersicht!$C$7,Verweise!$B$2:$B$4542,B4484)=1,"Feiertag",IF(C4484="Samstag","",IF(C4484="Sonntag","",Übersicht!$C$8)))</f>
        <v>Feiertag</v>
      </c>
    </row>
    <row r="4485" spans="1:4" x14ac:dyDescent="0.25">
      <c r="A4485" t="s">
        <v>73</v>
      </c>
      <c r="B4485" s="48">
        <v>47970</v>
      </c>
      <c r="C4485" t="s">
        <v>49</v>
      </c>
      <c r="D4485" t="str">
        <f>IF(COUNTIFS(Verweise!$A$2:$A$4542,Übersicht!$C$7,Verweise!$B$2:$B$4542,B4485)=1,"Feiertag",IF(C4485="Samstag","",IF(C4485="Sonntag","",Übersicht!$C$8)))</f>
        <v>Feiertag</v>
      </c>
    </row>
    <row r="4486" spans="1:4" x14ac:dyDescent="0.25">
      <c r="A4486" t="s">
        <v>73</v>
      </c>
      <c r="B4486" s="48">
        <v>47980</v>
      </c>
      <c r="C4486" t="s">
        <v>50</v>
      </c>
      <c r="D4486" t="str">
        <f>IF(COUNTIFS(Verweise!$A$2:$A$4542,Übersicht!$C$7,Verweise!$B$2:$B$4542,B4486)=1,"Feiertag",IF(C4486="Samstag","",IF(C4486="Sonntag","",Übersicht!$C$8)))</f>
        <v>Feiertag</v>
      </c>
    </row>
    <row r="4487" spans="1:4" x14ac:dyDescent="0.25">
      <c r="A4487" t="s">
        <v>73</v>
      </c>
      <c r="B4487" s="48">
        <v>47981</v>
      </c>
      <c r="C4487" t="s">
        <v>51</v>
      </c>
      <c r="D4487" t="str">
        <f>IF(COUNTIFS(Verweise!$A$2:$A$4542,Übersicht!$C$7,Verweise!$B$2:$B$4542,B4487)=1,"Feiertag",IF(C4487="Samstag","",IF(C4487="Sonntag","",Übersicht!$C$8)))</f>
        <v>Feiertag</v>
      </c>
    </row>
    <row r="4488" spans="1:4" x14ac:dyDescent="0.25">
      <c r="A4488" t="s">
        <v>73</v>
      </c>
      <c r="B4488" s="48">
        <v>47991</v>
      </c>
      <c r="C4488" t="s">
        <v>52</v>
      </c>
      <c r="D4488" t="str">
        <f>IF(COUNTIFS(Verweise!$A$2:$A$4542,Übersicht!$C$7,Verweise!$B$2:$B$4542,B4488)=1,"Feiertag",IF(C4488="Samstag","",IF(C4488="Sonntag","",Übersicht!$C$8)))</f>
        <v>Feiertag</v>
      </c>
    </row>
    <row r="4489" spans="1:4" x14ac:dyDescent="0.25">
      <c r="A4489" t="s">
        <v>73</v>
      </c>
      <c r="B4489" s="48">
        <v>48123</v>
      </c>
      <c r="C4489" t="s">
        <v>53</v>
      </c>
      <c r="D4489" t="str">
        <f>IF(COUNTIFS(Verweise!$A$2:$A$4542,Übersicht!$C$7,Verweise!$B$2:$B$4542,B4489)=1,"Feiertag",IF(C4489="Samstag","",IF(C4489="Sonntag","",Übersicht!$C$8)))</f>
        <v>Feiertag</v>
      </c>
    </row>
    <row r="4490" spans="1:4" x14ac:dyDescent="0.25">
      <c r="A4490" t="s">
        <v>73</v>
      </c>
      <c r="B4490" s="48">
        <v>48151</v>
      </c>
      <c r="C4490" t="s">
        <v>62</v>
      </c>
      <c r="D4490" t="str">
        <f>IF(COUNTIFS(Verweise!$A$2:$A$4542,Übersicht!$C$7,Verweise!$B$2:$B$4542,B4490)=1,"Feiertag",IF(C4490="Samstag","",IF(C4490="Sonntag","",Übersicht!$C$8)))</f>
        <v>Büro</v>
      </c>
    </row>
    <row r="4491" spans="1:4" x14ac:dyDescent="0.25">
      <c r="A4491" t="s">
        <v>73</v>
      </c>
      <c r="B4491" s="48">
        <v>48172</v>
      </c>
      <c r="C4491" t="s">
        <v>72</v>
      </c>
      <c r="D4491" t="str">
        <f>IF(COUNTIFS(Verweise!$A$2:$A$4542,Übersicht!$C$7,Verweise!$B$2:$B$4542,B4491)=1,"Feiertag",IF(C4491="Samstag","",IF(C4491="Sonntag","",Übersicht!$C$8)))</f>
        <v>Büro</v>
      </c>
    </row>
    <row r="4492" spans="1:4" x14ac:dyDescent="0.25">
      <c r="A4492" t="s">
        <v>73</v>
      </c>
      <c r="B4492" s="48">
        <v>48206</v>
      </c>
      <c r="C4492" t="s">
        <v>55</v>
      </c>
      <c r="D4492" t="str">
        <f>IF(COUNTIFS(Verweise!$A$2:$A$4542,Übersicht!$C$7,Verweise!$B$2:$B$4542,B4492)=1,"Feiertag",IF(C4492="Samstag","",IF(C4492="Sonntag","",Übersicht!$C$8)))</f>
        <v>Feiertag</v>
      </c>
    </row>
    <row r="4493" spans="1:4" x14ac:dyDescent="0.25">
      <c r="A4493" t="s">
        <v>73</v>
      </c>
      <c r="B4493" s="48">
        <v>48207</v>
      </c>
      <c r="C4493" t="s">
        <v>56</v>
      </c>
      <c r="D4493" t="str">
        <f>IF(COUNTIFS(Verweise!$A$2:$A$4542,Übersicht!$C$7,Verweise!$B$2:$B$4542,B4493)=1,"Feiertag",IF(C4493="Samstag","",IF(C4493="Sonntag","",Übersicht!$C$8)))</f>
        <v>Feiertag</v>
      </c>
    </row>
    <row r="4494" spans="1:4" x14ac:dyDescent="0.25">
      <c r="A4494" t="s">
        <v>74</v>
      </c>
      <c r="B4494" s="48">
        <v>47848</v>
      </c>
      <c r="C4494" t="s">
        <v>43</v>
      </c>
      <c r="D4494" t="str">
        <f>IF(COUNTIFS(Verweise!$A$2:$A$4542,Übersicht!$C$7,Verweise!$B$2:$B$4542,B4494)=1,"Feiertag",IF(C4494="Samstag","",IF(C4494="Sonntag","",Übersicht!$C$8)))</f>
        <v>Feiertag</v>
      </c>
    </row>
    <row r="4495" spans="1:4" x14ac:dyDescent="0.25">
      <c r="A4495" t="s">
        <v>74</v>
      </c>
      <c r="B4495" s="48">
        <v>47853</v>
      </c>
      <c r="C4495" t="s">
        <v>44</v>
      </c>
      <c r="D4495" t="str">
        <f>IF(COUNTIFS(Verweise!$A$2:$A$4542,Übersicht!$C$7,Verweise!$B$2:$B$4542,B4495)=1,"Feiertag",IF(C4495="Samstag","",IF(C4495="Sonntag","",Übersicht!$C$8)))</f>
        <v>Büro</v>
      </c>
    </row>
    <row r="4496" spans="1:4" x14ac:dyDescent="0.25">
      <c r="A4496" t="s">
        <v>74</v>
      </c>
      <c r="B4496" s="48">
        <v>47929</v>
      </c>
      <c r="C4496" t="s">
        <v>45</v>
      </c>
      <c r="D4496" t="str">
        <f>IF(COUNTIFS(Verweise!$A$2:$A$4542,Übersicht!$C$7,Verweise!$B$2:$B$4542,B4496)=1,"Feiertag",IF(C4496="Samstag","",IF(C4496="Sonntag","",Übersicht!$C$8)))</f>
        <v>Feiertag</v>
      </c>
    </row>
    <row r="4497" spans="1:4" x14ac:dyDescent="0.25">
      <c r="A4497" t="s">
        <v>74</v>
      </c>
      <c r="B4497" s="48">
        <v>47931</v>
      </c>
      <c r="C4497" t="s">
        <v>46</v>
      </c>
      <c r="D4497" t="str">
        <f>IF(COUNTIFS(Verweise!$A$2:$A$4542,Übersicht!$C$7,Verweise!$B$2:$B$4542,B4497)=1,"Feiertag",IF(C4497="Samstag","",IF(C4497="Sonntag","",Übersicht!$C$8)))</f>
        <v>Feiertag</v>
      </c>
    </row>
    <row r="4498" spans="1:4" x14ac:dyDescent="0.25">
      <c r="A4498" t="s">
        <v>74</v>
      </c>
      <c r="B4498" s="48">
        <v>47932</v>
      </c>
      <c r="C4498" t="s">
        <v>47</v>
      </c>
      <c r="D4498" t="str">
        <f>IF(COUNTIFS(Verweise!$A$2:$A$4542,Übersicht!$C$7,Verweise!$B$2:$B$4542,B4498)=1,"Feiertag",IF(C4498="Samstag","",IF(C4498="Sonntag","",Übersicht!$C$8)))</f>
        <v>Feiertag</v>
      </c>
    </row>
    <row r="4499" spans="1:4" x14ac:dyDescent="0.25">
      <c r="A4499" t="s">
        <v>74</v>
      </c>
      <c r="B4499" s="48">
        <v>47968</v>
      </c>
      <c r="C4499" t="s">
        <v>48</v>
      </c>
      <c r="D4499" t="str">
        <f>IF(COUNTIFS(Verweise!$A$2:$A$4542,Übersicht!$C$7,Verweise!$B$2:$B$4542,B4499)=1,"Feiertag",IF(C4499="Samstag","",IF(C4499="Sonntag","",Übersicht!$C$8)))</f>
        <v>Feiertag</v>
      </c>
    </row>
    <row r="4500" spans="1:4" x14ac:dyDescent="0.25">
      <c r="A4500" t="s">
        <v>74</v>
      </c>
      <c r="B4500" s="48">
        <v>47970</v>
      </c>
      <c r="C4500" t="s">
        <v>49</v>
      </c>
      <c r="D4500" t="str">
        <f>IF(COUNTIFS(Verweise!$A$2:$A$4542,Übersicht!$C$7,Verweise!$B$2:$B$4542,B4500)=1,"Feiertag",IF(C4500="Samstag","",IF(C4500="Sonntag","",Übersicht!$C$8)))</f>
        <v>Feiertag</v>
      </c>
    </row>
    <row r="4501" spans="1:4" x14ac:dyDescent="0.25">
      <c r="A4501" t="s">
        <v>74</v>
      </c>
      <c r="B4501" s="48">
        <v>47980</v>
      </c>
      <c r="C4501" t="s">
        <v>50</v>
      </c>
      <c r="D4501" t="str">
        <f>IF(COUNTIFS(Verweise!$A$2:$A$4542,Übersicht!$C$7,Verweise!$B$2:$B$4542,B4501)=1,"Feiertag",IF(C4501="Samstag","",IF(C4501="Sonntag","",Übersicht!$C$8)))</f>
        <v>Feiertag</v>
      </c>
    </row>
    <row r="4502" spans="1:4" x14ac:dyDescent="0.25">
      <c r="A4502" t="s">
        <v>74</v>
      </c>
      <c r="B4502" s="48">
        <v>47981</v>
      </c>
      <c r="C4502" t="s">
        <v>51</v>
      </c>
      <c r="D4502" t="str">
        <f>IF(COUNTIFS(Verweise!$A$2:$A$4542,Übersicht!$C$7,Verweise!$B$2:$B$4542,B4502)=1,"Feiertag",IF(C4502="Samstag","",IF(C4502="Sonntag","",Übersicht!$C$8)))</f>
        <v>Feiertag</v>
      </c>
    </row>
    <row r="4503" spans="1:4" x14ac:dyDescent="0.25">
      <c r="A4503" t="s">
        <v>74</v>
      </c>
      <c r="B4503" s="48">
        <v>48123</v>
      </c>
      <c r="C4503" t="s">
        <v>53</v>
      </c>
      <c r="D4503" t="str">
        <f>IF(COUNTIFS(Verweise!$A$2:$A$4542,Übersicht!$C$7,Verweise!$B$2:$B$4542,B4503)=1,"Feiertag",IF(C4503="Samstag","",IF(C4503="Sonntag","",Übersicht!$C$8)))</f>
        <v>Feiertag</v>
      </c>
    </row>
    <row r="4504" spans="1:4" x14ac:dyDescent="0.25">
      <c r="A4504" t="s">
        <v>74</v>
      </c>
      <c r="B4504" s="48">
        <v>48151</v>
      </c>
      <c r="C4504" t="s">
        <v>62</v>
      </c>
      <c r="D4504" t="str">
        <f>IF(COUNTIFS(Verweise!$A$2:$A$4542,Übersicht!$C$7,Verweise!$B$2:$B$4542,B4504)=1,"Feiertag",IF(C4504="Samstag","",IF(C4504="Sonntag","",Übersicht!$C$8)))</f>
        <v>Büro</v>
      </c>
    </row>
    <row r="4505" spans="1:4" x14ac:dyDescent="0.25">
      <c r="A4505" t="s">
        <v>74</v>
      </c>
      <c r="B4505" s="48">
        <v>48206</v>
      </c>
      <c r="C4505" t="s">
        <v>55</v>
      </c>
      <c r="D4505" t="str">
        <f>IF(COUNTIFS(Verweise!$A$2:$A$4542,Übersicht!$C$7,Verweise!$B$2:$B$4542,B4505)=1,"Feiertag",IF(C4505="Samstag","",IF(C4505="Sonntag","",Übersicht!$C$8)))</f>
        <v>Feiertag</v>
      </c>
    </row>
    <row r="4506" spans="1:4" x14ac:dyDescent="0.25">
      <c r="A4506" t="s">
        <v>74</v>
      </c>
      <c r="B4506" s="48">
        <v>48207</v>
      </c>
      <c r="C4506" t="s">
        <v>56</v>
      </c>
      <c r="D4506" t="str">
        <f>IF(COUNTIFS(Verweise!$A$2:$A$4542,Übersicht!$C$7,Verweise!$B$2:$B$4542,B4506)=1,"Feiertag",IF(C4506="Samstag","",IF(C4506="Sonntag","",Übersicht!$C$8)))</f>
        <v>Feiertag</v>
      </c>
    </row>
    <row r="4507" spans="1:4" x14ac:dyDescent="0.25">
      <c r="A4507" t="s">
        <v>75</v>
      </c>
      <c r="B4507" s="48">
        <v>47848</v>
      </c>
      <c r="C4507" t="s">
        <v>43</v>
      </c>
      <c r="D4507" t="str">
        <f>IF(COUNTIFS(Verweise!$A$2:$A$4542,Übersicht!$C$7,Verweise!$B$2:$B$4542,B4507)=1,"Feiertag",IF(C4507="Samstag","",IF(C4507="Sonntag","",Übersicht!$C$8)))</f>
        <v>Feiertag</v>
      </c>
    </row>
    <row r="4508" spans="1:4" x14ac:dyDescent="0.25">
      <c r="A4508" t="s">
        <v>75</v>
      </c>
      <c r="B4508" s="48">
        <v>47929</v>
      </c>
      <c r="C4508" t="s">
        <v>45</v>
      </c>
      <c r="D4508" t="str">
        <f>IF(COUNTIFS(Verweise!$A$2:$A$4542,Übersicht!$C$7,Verweise!$B$2:$B$4542,B4508)=1,"Feiertag",IF(C4508="Samstag","",IF(C4508="Sonntag","",Übersicht!$C$8)))</f>
        <v>Feiertag</v>
      </c>
    </row>
    <row r="4509" spans="1:4" x14ac:dyDescent="0.25">
      <c r="A4509" t="s">
        <v>75</v>
      </c>
      <c r="B4509" s="48">
        <v>47931</v>
      </c>
      <c r="C4509" t="s">
        <v>46</v>
      </c>
      <c r="D4509" t="str">
        <f>IF(COUNTIFS(Verweise!$A$2:$A$4542,Übersicht!$C$7,Verweise!$B$2:$B$4542,B4509)=1,"Feiertag",IF(C4509="Samstag","",IF(C4509="Sonntag","",Übersicht!$C$8)))</f>
        <v>Feiertag</v>
      </c>
    </row>
    <row r="4510" spans="1:4" x14ac:dyDescent="0.25">
      <c r="A4510" t="s">
        <v>75</v>
      </c>
      <c r="B4510" s="48">
        <v>47932</v>
      </c>
      <c r="C4510" t="s">
        <v>47</v>
      </c>
      <c r="D4510" t="str">
        <f>IF(COUNTIFS(Verweise!$A$2:$A$4542,Übersicht!$C$7,Verweise!$B$2:$B$4542,B4510)=1,"Feiertag",IF(C4510="Samstag","",IF(C4510="Sonntag","",Übersicht!$C$8)))</f>
        <v>Feiertag</v>
      </c>
    </row>
    <row r="4511" spans="1:4" x14ac:dyDescent="0.25">
      <c r="A4511" t="s">
        <v>75</v>
      </c>
      <c r="B4511" s="48">
        <v>47968</v>
      </c>
      <c r="C4511" t="s">
        <v>48</v>
      </c>
      <c r="D4511" t="str">
        <f>IF(COUNTIFS(Verweise!$A$2:$A$4542,Übersicht!$C$7,Verweise!$B$2:$B$4542,B4511)=1,"Feiertag",IF(C4511="Samstag","",IF(C4511="Sonntag","",Übersicht!$C$8)))</f>
        <v>Feiertag</v>
      </c>
    </row>
    <row r="4512" spans="1:4" x14ac:dyDescent="0.25">
      <c r="A4512" t="s">
        <v>75</v>
      </c>
      <c r="B4512" s="48">
        <v>47970</v>
      </c>
      <c r="C4512" t="s">
        <v>49</v>
      </c>
      <c r="D4512" t="str">
        <f>IF(COUNTIFS(Verweise!$A$2:$A$4542,Übersicht!$C$7,Verweise!$B$2:$B$4542,B4512)=1,"Feiertag",IF(C4512="Samstag","",IF(C4512="Sonntag","",Übersicht!$C$8)))</f>
        <v>Feiertag</v>
      </c>
    </row>
    <row r="4513" spans="1:4" x14ac:dyDescent="0.25">
      <c r="A4513" t="s">
        <v>75</v>
      </c>
      <c r="B4513" s="48">
        <v>47980</v>
      </c>
      <c r="C4513" t="s">
        <v>50</v>
      </c>
      <c r="D4513" t="str">
        <f>IF(COUNTIFS(Verweise!$A$2:$A$4542,Übersicht!$C$7,Verweise!$B$2:$B$4542,B4513)=1,"Feiertag",IF(C4513="Samstag","",IF(C4513="Sonntag","",Übersicht!$C$8)))</f>
        <v>Feiertag</v>
      </c>
    </row>
    <row r="4514" spans="1:4" x14ac:dyDescent="0.25">
      <c r="A4514" t="s">
        <v>75</v>
      </c>
      <c r="B4514" s="48">
        <v>47981</v>
      </c>
      <c r="C4514" t="s">
        <v>51</v>
      </c>
      <c r="D4514" t="str">
        <f>IF(COUNTIFS(Verweise!$A$2:$A$4542,Übersicht!$C$7,Verweise!$B$2:$B$4542,B4514)=1,"Feiertag",IF(C4514="Samstag","",IF(C4514="Sonntag","",Übersicht!$C$8)))</f>
        <v>Feiertag</v>
      </c>
    </row>
    <row r="4515" spans="1:4" x14ac:dyDescent="0.25">
      <c r="A4515" t="s">
        <v>75</v>
      </c>
      <c r="B4515" s="48">
        <v>48123</v>
      </c>
      <c r="C4515" t="s">
        <v>53</v>
      </c>
      <c r="D4515" t="str">
        <f>IF(COUNTIFS(Verweise!$A$2:$A$4542,Übersicht!$C$7,Verweise!$B$2:$B$4542,B4515)=1,"Feiertag",IF(C4515="Samstag","",IF(C4515="Sonntag","",Übersicht!$C$8)))</f>
        <v>Feiertag</v>
      </c>
    </row>
    <row r="4516" spans="1:4" x14ac:dyDescent="0.25">
      <c r="A4516" t="s">
        <v>75</v>
      </c>
      <c r="B4516" s="48">
        <v>48206</v>
      </c>
      <c r="C4516" t="s">
        <v>55</v>
      </c>
      <c r="D4516" t="str">
        <f>IF(COUNTIFS(Verweise!$A$2:$A$4542,Übersicht!$C$7,Verweise!$B$2:$B$4542,B4516)=1,"Feiertag",IF(C4516="Samstag","",IF(C4516="Sonntag","",Übersicht!$C$8)))</f>
        <v>Feiertag</v>
      </c>
    </row>
    <row r="4517" spans="1:4" x14ac:dyDescent="0.25">
      <c r="A4517" t="s">
        <v>75</v>
      </c>
      <c r="B4517" s="48">
        <v>48207</v>
      </c>
      <c r="C4517" t="s">
        <v>56</v>
      </c>
      <c r="D4517" t="str">
        <f>IF(COUNTIFS(Verweise!$A$2:$A$4542,Übersicht!$C$7,Verweise!$B$2:$B$4542,B4517)=1,"Feiertag",IF(C4517="Samstag","",IF(C4517="Sonntag","",Übersicht!$C$8)))</f>
        <v>Feiertag</v>
      </c>
    </row>
    <row r="4518" spans="1:4" x14ac:dyDescent="0.25">
      <c r="A4518" t="s">
        <v>76</v>
      </c>
      <c r="B4518" s="48">
        <v>47848</v>
      </c>
      <c r="C4518" t="s">
        <v>43</v>
      </c>
      <c r="D4518" t="str">
        <f>IF(COUNTIFS(Verweise!$A$2:$A$4542,Übersicht!$C$7,Verweise!$B$2:$B$4542,B4518)=1,"Feiertag",IF(C4518="Samstag","",IF(C4518="Sonntag","",Übersicht!$C$8)))</f>
        <v>Feiertag</v>
      </c>
    </row>
    <row r="4519" spans="1:4" x14ac:dyDescent="0.25">
      <c r="A4519" t="s">
        <v>76</v>
      </c>
      <c r="B4519" s="48">
        <v>47929</v>
      </c>
      <c r="C4519" t="s">
        <v>45</v>
      </c>
      <c r="D4519" t="str">
        <f>IF(COUNTIFS(Verweise!$A$2:$A$4542,Übersicht!$C$7,Verweise!$B$2:$B$4542,B4519)=1,"Feiertag",IF(C4519="Samstag","",IF(C4519="Sonntag","",Übersicht!$C$8)))</f>
        <v>Feiertag</v>
      </c>
    </row>
    <row r="4520" spans="1:4" x14ac:dyDescent="0.25">
      <c r="A4520" t="s">
        <v>76</v>
      </c>
      <c r="B4520" s="48">
        <v>47931</v>
      </c>
      <c r="C4520" t="s">
        <v>46</v>
      </c>
      <c r="D4520" t="str">
        <f>IF(COUNTIFS(Verweise!$A$2:$A$4542,Übersicht!$C$7,Verweise!$B$2:$B$4542,B4520)=1,"Feiertag",IF(C4520="Samstag","",IF(C4520="Sonntag","",Übersicht!$C$8)))</f>
        <v>Feiertag</v>
      </c>
    </row>
    <row r="4521" spans="1:4" x14ac:dyDescent="0.25">
      <c r="A4521" t="s">
        <v>76</v>
      </c>
      <c r="B4521" s="48">
        <v>47932</v>
      </c>
      <c r="C4521" t="s">
        <v>47</v>
      </c>
      <c r="D4521" t="str">
        <f>IF(COUNTIFS(Verweise!$A$2:$A$4542,Übersicht!$C$7,Verweise!$B$2:$B$4542,B4521)=1,"Feiertag",IF(C4521="Samstag","",IF(C4521="Sonntag","",Übersicht!$C$8)))</f>
        <v>Feiertag</v>
      </c>
    </row>
    <row r="4522" spans="1:4" x14ac:dyDescent="0.25">
      <c r="A4522" t="s">
        <v>76</v>
      </c>
      <c r="B4522" s="48">
        <v>47968</v>
      </c>
      <c r="C4522" t="s">
        <v>48</v>
      </c>
      <c r="D4522" t="str">
        <f>IF(COUNTIFS(Verweise!$A$2:$A$4542,Übersicht!$C$7,Verweise!$B$2:$B$4542,B4522)=1,"Feiertag",IF(C4522="Samstag","",IF(C4522="Sonntag","",Übersicht!$C$8)))</f>
        <v>Feiertag</v>
      </c>
    </row>
    <row r="4523" spans="1:4" x14ac:dyDescent="0.25">
      <c r="A4523" t="s">
        <v>76</v>
      </c>
      <c r="B4523" s="48">
        <v>47970</v>
      </c>
      <c r="C4523" t="s">
        <v>49</v>
      </c>
      <c r="D4523" t="str">
        <f>IF(COUNTIFS(Verweise!$A$2:$A$4542,Übersicht!$C$7,Verweise!$B$2:$B$4542,B4523)=1,"Feiertag",IF(C4523="Samstag","",IF(C4523="Sonntag","",Übersicht!$C$8)))</f>
        <v>Feiertag</v>
      </c>
    </row>
    <row r="4524" spans="1:4" x14ac:dyDescent="0.25">
      <c r="A4524" t="s">
        <v>76</v>
      </c>
      <c r="B4524" s="48">
        <v>47980</v>
      </c>
      <c r="C4524" t="s">
        <v>50</v>
      </c>
      <c r="D4524" t="str">
        <f>IF(COUNTIFS(Verweise!$A$2:$A$4542,Übersicht!$C$7,Verweise!$B$2:$B$4542,B4524)=1,"Feiertag",IF(C4524="Samstag","",IF(C4524="Sonntag","",Übersicht!$C$8)))</f>
        <v>Feiertag</v>
      </c>
    </row>
    <row r="4525" spans="1:4" x14ac:dyDescent="0.25">
      <c r="A4525" t="s">
        <v>76</v>
      </c>
      <c r="B4525" s="48">
        <v>47981</v>
      </c>
      <c r="C4525" t="s">
        <v>51</v>
      </c>
      <c r="D4525" t="str">
        <f>IF(COUNTIFS(Verweise!$A$2:$A$4542,Übersicht!$C$7,Verweise!$B$2:$B$4542,B4525)=1,"Feiertag",IF(C4525="Samstag","",IF(C4525="Sonntag","",Übersicht!$C$8)))</f>
        <v>Feiertag</v>
      </c>
    </row>
    <row r="4526" spans="1:4" x14ac:dyDescent="0.25">
      <c r="A4526" t="s">
        <v>76</v>
      </c>
      <c r="B4526" s="48">
        <v>48123</v>
      </c>
      <c r="C4526" t="s">
        <v>53</v>
      </c>
      <c r="D4526" t="str">
        <f>IF(COUNTIFS(Verweise!$A$2:$A$4542,Übersicht!$C$7,Verweise!$B$2:$B$4542,B4526)=1,"Feiertag",IF(C4526="Samstag","",IF(C4526="Sonntag","",Übersicht!$C$8)))</f>
        <v>Feiertag</v>
      </c>
    </row>
    <row r="4527" spans="1:4" x14ac:dyDescent="0.25">
      <c r="A4527" t="s">
        <v>76</v>
      </c>
      <c r="B4527" s="48">
        <v>48151</v>
      </c>
      <c r="C4527" t="s">
        <v>62</v>
      </c>
      <c r="D4527" t="str">
        <f>IF(COUNTIFS(Verweise!$A$2:$A$4542,Übersicht!$C$7,Verweise!$B$2:$B$4542,B4527)=1,"Feiertag",IF(C4527="Samstag","",IF(C4527="Sonntag","",Übersicht!$C$8)))</f>
        <v>Büro</v>
      </c>
    </row>
    <row r="4528" spans="1:4" x14ac:dyDescent="0.25">
      <c r="A4528" t="s">
        <v>76</v>
      </c>
      <c r="B4528" s="48">
        <v>48206</v>
      </c>
      <c r="C4528" t="s">
        <v>55</v>
      </c>
      <c r="D4528" t="str">
        <f>IF(COUNTIFS(Verweise!$A$2:$A$4542,Übersicht!$C$7,Verweise!$B$2:$B$4542,B4528)=1,"Feiertag",IF(C4528="Samstag","",IF(C4528="Sonntag","",Übersicht!$C$8)))</f>
        <v>Feiertag</v>
      </c>
    </row>
    <row r="4529" spans="1:4" x14ac:dyDescent="0.25">
      <c r="A4529" t="s">
        <v>76</v>
      </c>
      <c r="B4529" s="48">
        <v>48207</v>
      </c>
      <c r="C4529" t="s">
        <v>56</v>
      </c>
      <c r="D4529" t="str">
        <f>IF(COUNTIFS(Verweise!$A$2:$A$4542,Übersicht!$C$7,Verweise!$B$2:$B$4542,B4529)=1,"Feiertag",IF(C4529="Samstag","",IF(C4529="Sonntag","",Übersicht!$C$8)))</f>
        <v>Feiertag</v>
      </c>
    </row>
    <row r="4530" spans="1:4" x14ac:dyDescent="0.25">
      <c r="A4530" t="s">
        <v>77</v>
      </c>
      <c r="B4530" s="48">
        <v>47848</v>
      </c>
      <c r="C4530" t="s">
        <v>43</v>
      </c>
      <c r="D4530" t="str">
        <f>IF(COUNTIFS(Verweise!$A$2:$A$4542,Übersicht!$C$7,Verweise!$B$2:$B$4542,B4530)=1,"Feiertag",IF(C4530="Samstag","",IF(C4530="Sonntag","",Übersicht!$C$8)))</f>
        <v>Feiertag</v>
      </c>
    </row>
    <row r="4531" spans="1:4" x14ac:dyDescent="0.25">
      <c r="A4531" t="s">
        <v>77</v>
      </c>
      <c r="B4531" s="48">
        <v>47929</v>
      </c>
      <c r="C4531" t="s">
        <v>45</v>
      </c>
      <c r="D4531" t="str">
        <f>IF(COUNTIFS(Verweise!$A$2:$A$4542,Übersicht!$C$7,Verweise!$B$2:$B$4542,B4531)=1,"Feiertag",IF(C4531="Samstag","",IF(C4531="Sonntag","",Übersicht!$C$8)))</f>
        <v>Feiertag</v>
      </c>
    </row>
    <row r="4532" spans="1:4" x14ac:dyDescent="0.25">
      <c r="A4532" t="s">
        <v>77</v>
      </c>
      <c r="B4532" s="48">
        <v>47931</v>
      </c>
      <c r="C4532" t="s">
        <v>46</v>
      </c>
      <c r="D4532" t="str">
        <f>IF(COUNTIFS(Verweise!$A$2:$A$4542,Übersicht!$C$7,Verweise!$B$2:$B$4542,B4532)=1,"Feiertag",IF(C4532="Samstag","",IF(C4532="Sonntag","",Übersicht!$C$8)))</f>
        <v>Feiertag</v>
      </c>
    </row>
    <row r="4533" spans="1:4" x14ac:dyDescent="0.25">
      <c r="A4533" t="s">
        <v>77</v>
      </c>
      <c r="B4533" s="48">
        <v>47932</v>
      </c>
      <c r="C4533" t="s">
        <v>47</v>
      </c>
      <c r="D4533" t="str">
        <f>IF(COUNTIFS(Verweise!$A$2:$A$4542,Übersicht!$C$7,Verweise!$B$2:$B$4542,B4533)=1,"Feiertag",IF(C4533="Samstag","",IF(C4533="Sonntag","",Übersicht!$C$8)))</f>
        <v>Feiertag</v>
      </c>
    </row>
    <row r="4534" spans="1:4" x14ac:dyDescent="0.25">
      <c r="A4534" t="s">
        <v>77</v>
      </c>
      <c r="B4534" s="48">
        <v>47968</v>
      </c>
      <c r="C4534" t="s">
        <v>48</v>
      </c>
      <c r="D4534" t="str">
        <f>IF(COUNTIFS(Verweise!$A$2:$A$4542,Übersicht!$C$7,Verweise!$B$2:$B$4542,B4534)=1,"Feiertag",IF(C4534="Samstag","",IF(C4534="Sonntag","",Übersicht!$C$8)))</f>
        <v>Feiertag</v>
      </c>
    </row>
    <row r="4535" spans="1:4" x14ac:dyDescent="0.25">
      <c r="A4535" t="s">
        <v>77</v>
      </c>
      <c r="B4535" s="48">
        <v>47970</v>
      </c>
      <c r="C4535" t="s">
        <v>49</v>
      </c>
      <c r="D4535" t="str">
        <f>IF(COUNTIFS(Verweise!$A$2:$A$4542,Übersicht!$C$7,Verweise!$B$2:$B$4542,B4535)=1,"Feiertag",IF(C4535="Samstag","",IF(C4535="Sonntag","",Übersicht!$C$8)))</f>
        <v>Feiertag</v>
      </c>
    </row>
    <row r="4536" spans="1:4" x14ac:dyDescent="0.25">
      <c r="A4536" t="s">
        <v>77</v>
      </c>
      <c r="B4536" s="48">
        <v>47980</v>
      </c>
      <c r="C4536" t="s">
        <v>50</v>
      </c>
      <c r="D4536" t="str">
        <f>IF(COUNTIFS(Verweise!$A$2:$A$4542,Übersicht!$C$7,Verweise!$B$2:$B$4542,B4536)=1,"Feiertag",IF(C4536="Samstag","",IF(C4536="Sonntag","",Übersicht!$C$8)))</f>
        <v>Feiertag</v>
      </c>
    </row>
    <row r="4537" spans="1:4" x14ac:dyDescent="0.25">
      <c r="A4537" t="s">
        <v>77</v>
      </c>
      <c r="B4537" s="48">
        <v>47981</v>
      </c>
      <c r="C4537" t="s">
        <v>51</v>
      </c>
      <c r="D4537" t="str">
        <f>IF(COUNTIFS(Verweise!$A$2:$A$4542,Übersicht!$C$7,Verweise!$B$2:$B$4542,B4537)=1,"Feiertag",IF(C4537="Samstag","",IF(C4537="Sonntag","",Übersicht!$C$8)))</f>
        <v>Feiertag</v>
      </c>
    </row>
    <row r="4538" spans="1:4" x14ac:dyDescent="0.25">
      <c r="A4538" t="s">
        <v>77</v>
      </c>
      <c r="B4538" s="48">
        <v>47991</v>
      </c>
      <c r="C4538" t="s">
        <v>52</v>
      </c>
      <c r="D4538" t="str">
        <f>IF(COUNTIFS(Verweise!$A$2:$A$4542,Übersicht!$C$7,Verweise!$B$2:$B$4542,B4538)=1,"Feiertag",IF(C4538="Samstag","",IF(C4538="Sonntag","",Übersicht!$C$8)))</f>
        <v>Feiertag</v>
      </c>
    </row>
    <row r="4539" spans="1:4" x14ac:dyDescent="0.25">
      <c r="A4539" t="s">
        <v>77</v>
      </c>
      <c r="B4539" s="48">
        <v>48123</v>
      </c>
      <c r="C4539" t="s">
        <v>53</v>
      </c>
      <c r="D4539" t="str">
        <f>IF(COUNTIFS(Verweise!$A$2:$A$4542,Übersicht!$C$7,Verweise!$B$2:$B$4542,B4539)=1,"Feiertag",IF(C4539="Samstag","",IF(C4539="Sonntag","",Übersicht!$C$8)))</f>
        <v>Feiertag</v>
      </c>
    </row>
    <row r="4540" spans="1:4" x14ac:dyDescent="0.25">
      <c r="A4540" t="s">
        <v>77</v>
      </c>
      <c r="B4540" s="48">
        <v>48151</v>
      </c>
      <c r="C4540" t="s">
        <v>62</v>
      </c>
      <c r="D4540" t="str">
        <f>IF(COUNTIFS(Verweise!$A$2:$A$4542,Übersicht!$C$7,Verweise!$B$2:$B$4542,B4540)=1,"Feiertag",IF(C4540="Samstag","",IF(C4540="Sonntag","",Übersicht!$C$8)))</f>
        <v>Büro</v>
      </c>
    </row>
    <row r="4541" spans="1:4" x14ac:dyDescent="0.25">
      <c r="A4541" t="s">
        <v>77</v>
      </c>
      <c r="B4541" s="48">
        <v>48206</v>
      </c>
      <c r="C4541" t="s">
        <v>55</v>
      </c>
      <c r="D4541" t="str">
        <f>IF(COUNTIFS(Verweise!$A$2:$A$4542,Übersicht!$C$7,Verweise!$B$2:$B$4542,B4541)=1,"Feiertag",IF(C4541="Samstag","",IF(C4541="Sonntag","",Übersicht!$C$8)))</f>
        <v>Feiertag</v>
      </c>
    </row>
    <row r="4542" spans="1:4" x14ac:dyDescent="0.25">
      <c r="A4542" t="s">
        <v>77</v>
      </c>
      <c r="B4542" s="48">
        <v>48207</v>
      </c>
      <c r="C4542" t="s">
        <v>56</v>
      </c>
      <c r="D4542" t="str">
        <f>IF(COUNTIFS(Verweise!$A$2:$A$4542,Übersicht!$C$7,Verweise!$B$2:$B$4542,B4542)=1,"Feiertag",IF(C4542="Samstag","",IF(C4542="Sonntag","",Übersicht!$C$8)))</f>
        <v>Feiertag</v>
      </c>
    </row>
  </sheetData>
  <autoFilter ref="A1:C4542" xr:uid="{00000000-0009-0000-0000-000001000000}"/>
  <sortState xmlns:xlrd2="http://schemas.microsoft.com/office/spreadsheetml/2017/richdata2" ref="F2:F20">
    <sortCondition ref="F2:F20"/>
  </sortState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>
    <tabColor theme="3"/>
  </sheetPr>
  <dimension ref="A1:W34"/>
  <sheetViews>
    <sheetView workbookViewId="0">
      <selection activeCell="D5" sqref="D5"/>
    </sheetView>
  </sheetViews>
  <sheetFormatPr defaultColWidth="0" defaultRowHeight="15" zeroHeight="1" x14ac:dyDescent="0.25"/>
  <cols>
    <col min="1" max="1" width="2.7109375" style="7" customWidth="1"/>
    <col min="2" max="2" width="10.7109375" style="7" customWidth="1"/>
    <col min="3" max="3" width="11.5703125" style="7" customWidth="1"/>
    <col min="4" max="4" width="26.42578125" style="7" customWidth="1"/>
    <col min="5" max="5" width="14.42578125" style="7" customWidth="1"/>
    <col min="6" max="6" width="12.140625" style="7" customWidth="1"/>
    <col min="7" max="7" width="12.140625" style="55" customWidth="1"/>
    <col min="8" max="9" width="13.5703125" style="7" customWidth="1"/>
    <col min="10" max="10" width="14.28515625" style="7" customWidth="1"/>
    <col min="11" max="11" width="2.7109375" style="10" customWidth="1"/>
    <col min="12" max="12" width="33.7109375" style="7" bestFit="1" customWidth="1"/>
    <col min="13" max="13" width="11.42578125" style="7" customWidth="1"/>
    <col min="14" max="14" width="2.7109375" style="7" customWidth="1"/>
    <col min="15" max="23" width="11.42578125" style="37" hidden="1" customWidth="1"/>
    <col min="24" max="16384" width="11.42578125" style="7" hidden="1"/>
  </cols>
  <sheetData>
    <row r="1" spans="1:19" x14ac:dyDescent="0.25"/>
    <row r="2" spans="1:19" ht="15.75" thickBot="1" x14ac:dyDescent="0.3">
      <c r="B2" s="16" t="s">
        <v>0</v>
      </c>
      <c r="C2" s="16" t="s">
        <v>1</v>
      </c>
      <c r="D2" s="16" t="s">
        <v>2</v>
      </c>
      <c r="E2" s="16" t="s">
        <v>3</v>
      </c>
      <c r="F2" s="16" t="s">
        <v>4</v>
      </c>
      <c r="G2" s="56" t="s">
        <v>81</v>
      </c>
      <c r="H2" s="54" t="s">
        <v>83</v>
      </c>
      <c r="I2" s="16" t="s">
        <v>5</v>
      </c>
      <c r="J2" s="16" t="s">
        <v>82</v>
      </c>
      <c r="L2" s="3" t="s">
        <v>6</v>
      </c>
      <c r="M2" s="6">
        <f>Übersicht!C2</f>
        <v>1.6666666666666667</v>
      </c>
    </row>
    <row r="3" spans="1:19" x14ac:dyDescent="0.25">
      <c r="A3" s="30"/>
      <c r="B3" s="34">
        <f>("01.01."&amp;Übersicht!$C$6)*1</f>
        <v>43830</v>
      </c>
      <c r="C3" s="15" t="str">
        <f>TEXT(B3,"TTTT")</f>
        <v>Montag</v>
      </c>
      <c r="D3" s="21" t="str">
        <f>IF(COUNTIFS(Verweise!$A$2:$A$4542,Übersicht!$C$7,Verweise!$B$2:$B$4542,B3)=1,"Feiertag",IF(C3="Samstag","",IF(C3="Sonntag","",Übersicht!$C$8)))</f>
        <v>Feiertag</v>
      </c>
      <c r="E3" s="17"/>
      <c r="F3" s="17"/>
      <c r="G3" s="57"/>
      <c r="H3" s="52"/>
      <c r="I3" s="18" t="str">
        <f t="shared" ref="I3" si="0">IF(E3="","",F3-E3-H3)</f>
        <v/>
      </c>
      <c r="J3" s="39" t="str">
        <f>IF(Übersicht!$C$9="Ja",IF(OR(E3=""),"",I3-$M$2/5),IF(OR(E3="",F3=""),"",I3-$M$2/5))</f>
        <v/>
      </c>
      <c r="K3" s="10">
        <f t="shared" ref="K3:K33" ca="1" si="1">IF(B3=TODAY(),ROW(),0)</f>
        <v>0</v>
      </c>
      <c r="L3" s="3" t="str">
        <f>"Ist Arbeitszeit im "&amp;TEXT(B3,"MMMM")</f>
        <v>Ist Arbeitszeit im Januar</v>
      </c>
      <c r="M3" s="29">
        <f>SUM(I3:I32)</f>
        <v>0</v>
      </c>
      <c r="Q3" s="38"/>
      <c r="R3" s="38"/>
      <c r="S3" s="38"/>
    </row>
    <row r="4" spans="1:19" x14ac:dyDescent="0.25">
      <c r="A4" s="30"/>
      <c r="B4" s="33">
        <f>B3+1</f>
        <v>43831</v>
      </c>
      <c r="C4" s="1" t="str">
        <f>TEXT(B4,"TTTT")</f>
        <v>Dienstag</v>
      </c>
      <c r="D4" s="21" t="str">
        <f>IF(COUNTIFS(Verweise!$A$2:$A$4542,Übersicht!$C$7,Verweise!$B$2:$B$4542,B4)=1,"Feiertag",IF(C4="Samstag","",IF(C4="Sonntag","",Übersicht!$C$8)))</f>
        <v>Büro</v>
      </c>
      <c r="E4" s="19"/>
      <c r="F4" s="19"/>
      <c r="G4" s="66"/>
      <c r="H4" s="19"/>
      <c r="I4" s="18" t="str">
        <f t="shared" ref="I4:I33" si="2">IF(E4="","",F4-E4-H4)</f>
        <v/>
      </c>
      <c r="J4" s="39" t="str">
        <f>IF(Übersicht!$C$9="Ja",IF(OR(E4=""),"",I4-$M$2/5),IF(OR(E4="",F4=""),"",I4-$M$2/5))</f>
        <v/>
      </c>
      <c r="K4" s="10">
        <f t="shared" ca="1" si="1"/>
        <v>0</v>
      </c>
      <c r="L4" s="3" t="str">
        <f>"Wochen im "&amp;TEXT(B3,"MMMM")</f>
        <v>Wochen im Januar</v>
      </c>
      <c r="M4" s="2">
        <f>ROUND(COUNTA(C3:C33)/7,2)</f>
        <v>4.43</v>
      </c>
    </row>
    <row r="5" spans="1:19" x14ac:dyDescent="0.25">
      <c r="A5" s="51"/>
      <c r="B5" s="33">
        <f t="shared" ref="B5:B33" si="3">B4+1</f>
        <v>43832</v>
      </c>
      <c r="C5" s="1" t="str">
        <f t="shared" ref="C5:C33" si="4">TEXT(B5,"TTTT")</f>
        <v>Mittwoch</v>
      </c>
      <c r="D5" s="21" t="str">
        <f>IF(COUNTIFS(Verweise!$A$2:$A$4542,Übersicht!$C$7,Verweise!$B$2:$B$4542,B5)=1,"Feiertag",IF(C5="Samstag","",IF(C5="Sonntag","",Übersicht!$C$8)))</f>
        <v>Büro</v>
      </c>
      <c r="E5" s="19"/>
      <c r="F5" s="19"/>
      <c r="G5" s="66"/>
      <c r="H5" s="19"/>
      <c r="I5" s="18" t="str">
        <f t="shared" si="2"/>
        <v/>
      </c>
      <c r="J5" s="39" t="str">
        <f>IF(Übersicht!$C$9="Ja",IF(OR(E5=""),"",I5-$M$2/5),IF(OR(E5="",F5=""),"",I5-$M$2/5))</f>
        <v/>
      </c>
      <c r="K5" s="10">
        <f ca="1">IF(B5=TODAY(),ROW(),0)</f>
        <v>0</v>
      </c>
      <c r="L5" s="3" t="s">
        <v>32</v>
      </c>
      <c r="M5" s="29">
        <f>M4*M2-(SUM(A3:A32)*M2/7)</f>
        <v>7.3833333333333329</v>
      </c>
      <c r="Q5" s="38"/>
      <c r="R5" s="38"/>
    </row>
    <row r="6" spans="1:19" x14ac:dyDescent="0.25">
      <c r="A6" s="51"/>
      <c r="B6" s="33">
        <f t="shared" si="3"/>
        <v>43833</v>
      </c>
      <c r="C6" s="1" t="str">
        <f t="shared" si="4"/>
        <v>Donnerstag</v>
      </c>
      <c r="D6" s="21" t="str">
        <f>IF(COUNTIFS(Verweise!$A$2:$A$4542,Übersicht!$C$7,Verweise!$B$2:$B$4542,B6)=1,"Feiertag",IF(C6="Samstag","",IF(C6="Sonntag","",Übersicht!$C$8)))</f>
        <v>Büro</v>
      </c>
      <c r="E6" s="19"/>
      <c r="F6" s="19"/>
      <c r="G6" s="66"/>
      <c r="H6" s="19"/>
      <c r="I6" s="18" t="str">
        <f t="shared" si="2"/>
        <v/>
      </c>
      <c r="J6" s="39" t="str">
        <f>IF(Übersicht!$C$9="Ja",IF(OR(E6=""),"",I6-$M$2/5),IF(OR(E6="",F6=""),"",I6-$M$2/5))</f>
        <v/>
      </c>
      <c r="K6" s="10">
        <f t="shared" ca="1" si="1"/>
        <v>0</v>
      </c>
      <c r="L6" s="3" t="str">
        <f>IF(M6&lt;0,"Minustunden","Überstunden")</f>
        <v>Überstunden</v>
      </c>
      <c r="M6" s="6">
        <f>SUM(J:J)</f>
        <v>0</v>
      </c>
      <c r="Q6" s="38"/>
      <c r="R6" s="38"/>
      <c r="S6" s="38"/>
    </row>
    <row r="7" spans="1:19" x14ac:dyDescent="0.25">
      <c r="A7" s="51"/>
      <c r="B7" s="33">
        <f t="shared" si="3"/>
        <v>43834</v>
      </c>
      <c r="C7" s="1" t="str">
        <f t="shared" si="4"/>
        <v>Freitag</v>
      </c>
      <c r="D7" s="21" t="str">
        <f>IF(COUNTIFS(Verweise!$A$2:$A$4542,Übersicht!$C$7,Verweise!$B$2:$B$4542,B7)=1,"Feiertag",IF(C7="Samstag","",IF(C7="Sonntag","",Übersicht!$C$8)))</f>
        <v>Büro</v>
      </c>
      <c r="E7" s="19"/>
      <c r="F7" s="19"/>
      <c r="G7" s="66"/>
      <c r="H7" s="19"/>
      <c r="I7" s="18" t="str">
        <f t="shared" si="2"/>
        <v/>
      </c>
      <c r="J7" s="39" t="str">
        <f>IF(Übersicht!$C$9="Ja",IF(OR(E7=""),"",I7-$M$2/5),IF(OR(E7="",F7=""),"",I7-$M$2/5))</f>
        <v/>
      </c>
      <c r="K7" s="10">
        <f t="shared" ca="1" si="1"/>
        <v>0</v>
      </c>
      <c r="L7" s="3" t="str">
        <f ca="1">IF(M7&lt;0,"Minustunden gesamt","Überstunden gesamt")</f>
        <v>Überstunden gesamt</v>
      </c>
      <c r="M7" s="6">
        <f ca="1">Übersicht!C26</f>
        <v>0</v>
      </c>
      <c r="Q7" s="38"/>
      <c r="R7" s="38"/>
    </row>
    <row r="8" spans="1:19" x14ac:dyDescent="0.25">
      <c r="A8" s="51"/>
      <c r="B8" s="34">
        <f t="shared" si="3"/>
        <v>43835</v>
      </c>
      <c r="C8" s="1" t="str">
        <f t="shared" si="4"/>
        <v>Samstag</v>
      </c>
      <c r="D8" s="21" t="str">
        <f>IF(COUNTIFS(Verweise!$A$2:$A$4542,Übersicht!$C$7,Verweise!$B$2:$B$4542,B8)=1,"Feiertag",IF(C8="Samstag","",IF(C8="Sonntag","",Übersicht!$C$8)))</f>
        <v/>
      </c>
      <c r="E8" s="19"/>
      <c r="F8" s="19"/>
      <c r="G8" s="66"/>
      <c r="H8" s="19"/>
      <c r="I8" s="18" t="str">
        <f t="shared" si="2"/>
        <v/>
      </c>
      <c r="J8" s="39" t="str">
        <f>IF(Übersicht!$C$9="Ja",IF(OR(E8=""),"",I8-$M$2/5),IF(OR(E8="",F8=""),"",I8-$M$2/5))</f>
        <v/>
      </c>
      <c r="K8" s="10">
        <f t="shared" ca="1" si="1"/>
        <v>0</v>
      </c>
      <c r="Q8" s="38"/>
      <c r="R8" s="38"/>
    </row>
    <row r="9" spans="1:19" x14ac:dyDescent="0.25">
      <c r="A9" s="51"/>
      <c r="B9" s="34">
        <f t="shared" si="3"/>
        <v>43836</v>
      </c>
      <c r="C9" s="1" t="str">
        <f t="shared" si="4"/>
        <v>Sonntag</v>
      </c>
      <c r="D9" s="21" t="str">
        <f>IF(COUNTIFS(Verweise!$A$2:$A$4542,Übersicht!$C$7,Verweise!$B$2:$B$4542,B9)=1,"Feiertag",IF(C9="Samstag","",IF(C9="Sonntag","",Übersicht!$C$8)))</f>
        <v/>
      </c>
      <c r="E9" s="19"/>
      <c r="F9" s="19"/>
      <c r="G9" s="66"/>
      <c r="H9" s="19"/>
      <c r="I9" s="18" t="str">
        <f t="shared" si="2"/>
        <v/>
      </c>
      <c r="J9" s="39" t="str">
        <f>IF(Übersicht!$C$9="Ja",IF(OR(E9=""),"",I9-$M$2/5),IF(OR(E9="",F9=""),"",I9-$M$2/5))</f>
        <v/>
      </c>
      <c r="K9" s="10">
        <f t="shared" ca="1" si="1"/>
        <v>0</v>
      </c>
      <c r="Q9" s="38"/>
      <c r="R9" s="38"/>
    </row>
    <row r="10" spans="1:19" x14ac:dyDescent="0.25">
      <c r="A10" s="51"/>
      <c r="B10" s="34">
        <f t="shared" si="3"/>
        <v>43837</v>
      </c>
      <c r="C10" s="1" t="str">
        <f t="shared" si="4"/>
        <v>Montag</v>
      </c>
      <c r="D10" s="21" t="str">
        <f>IF(COUNTIFS(Verweise!$A$2:$A$4542,Übersicht!$C$7,Verweise!$B$2:$B$4542,B10)=1,"Feiertag",IF(C10="Samstag","",IF(C10="Sonntag","",Übersicht!$C$8)))</f>
        <v>Büro</v>
      </c>
      <c r="E10" s="19"/>
      <c r="F10" s="19"/>
      <c r="G10" s="67"/>
      <c r="H10" s="19"/>
      <c r="I10" s="18" t="str">
        <f t="shared" si="2"/>
        <v/>
      </c>
      <c r="J10" s="39" t="str">
        <f>IF(Übersicht!$C$9="Ja",IF(OR(E10=""),"",I10-$M$2/5),IF(OR(E10="",F10=""),"",I10-$M$2/5))</f>
        <v/>
      </c>
      <c r="K10" s="10">
        <f t="shared" ca="1" si="1"/>
        <v>0</v>
      </c>
    </row>
    <row r="11" spans="1:19" x14ac:dyDescent="0.25">
      <c r="A11" s="30"/>
      <c r="B11" s="34">
        <f t="shared" si="3"/>
        <v>43838</v>
      </c>
      <c r="C11" s="1" t="str">
        <f t="shared" si="4"/>
        <v>Dienstag</v>
      </c>
      <c r="D11" s="21" t="str">
        <f>IF(COUNTIFS(Verweise!$A$2:$A$4542,Übersicht!$C$7,Verweise!$B$2:$B$4542,B11)=1,"Feiertag",IF(C11="Samstag","",IF(C11="Sonntag","",Übersicht!$C$8)))</f>
        <v>Büro</v>
      </c>
      <c r="E11" s="19"/>
      <c r="F11" s="19"/>
      <c r="G11" s="66"/>
      <c r="H11" s="19"/>
      <c r="I11" s="18" t="str">
        <f t="shared" si="2"/>
        <v/>
      </c>
      <c r="J11" s="39" t="str">
        <f>IF(Übersicht!$C$9="Ja",IF(OR(E11=""),"",I11-$M$2/5),IF(OR(E11="",F11=""),"",I11-$M$2/5))</f>
        <v/>
      </c>
      <c r="K11" s="10">
        <f t="shared" ca="1" si="1"/>
        <v>0</v>
      </c>
    </row>
    <row r="12" spans="1:19" x14ac:dyDescent="0.25">
      <c r="A12" s="51"/>
      <c r="B12" s="34">
        <f t="shared" si="3"/>
        <v>43839</v>
      </c>
      <c r="C12" s="1" t="str">
        <f t="shared" si="4"/>
        <v>Mittwoch</v>
      </c>
      <c r="D12" s="21" t="str">
        <f>IF(COUNTIFS(Verweise!$A$2:$A$4542,Übersicht!$C$7,Verweise!$B$2:$B$4542,B12)=1,"Feiertag",IF(C12="Samstag","",IF(C12="Sonntag","",Übersicht!$C$8)))</f>
        <v>Büro</v>
      </c>
      <c r="E12" s="19"/>
      <c r="F12" s="19"/>
      <c r="G12" s="66"/>
      <c r="H12" s="19"/>
      <c r="I12" s="18" t="str">
        <f t="shared" si="2"/>
        <v/>
      </c>
      <c r="J12" s="39" t="str">
        <f>IF(Übersicht!$C$9="Ja",IF(OR(E12=""),"",I12-$M$2/5),IF(OR(E12="",F12=""),"",I12-$M$2/5))</f>
        <v/>
      </c>
      <c r="K12" s="10">
        <f t="shared" ca="1" si="1"/>
        <v>0</v>
      </c>
      <c r="Q12" s="38"/>
      <c r="R12" s="38"/>
    </row>
    <row r="13" spans="1:19" x14ac:dyDescent="0.25">
      <c r="A13" s="51"/>
      <c r="B13" s="34">
        <f t="shared" si="3"/>
        <v>43840</v>
      </c>
      <c r="C13" s="1" t="str">
        <f t="shared" si="4"/>
        <v>Donnerstag</v>
      </c>
      <c r="D13" s="21" t="str">
        <f>IF(COUNTIFS(Verweise!$A$2:$A$4542,Übersicht!$C$7,Verweise!$B$2:$B$4542,B13)=1,"Feiertag",IF(C13="Samstag","",IF(C13="Sonntag","",Übersicht!$C$8)))</f>
        <v>Büro</v>
      </c>
      <c r="E13" s="19"/>
      <c r="F13" s="19"/>
      <c r="G13" s="66"/>
      <c r="H13" s="19"/>
      <c r="I13" s="18" t="str">
        <f t="shared" si="2"/>
        <v/>
      </c>
      <c r="J13" s="39" t="str">
        <f>IF(Übersicht!$C$9="Ja",IF(OR(E13=""),"",I13-$M$2/5),IF(OR(E13="",F13=""),"",I13-$M$2/5))</f>
        <v/>
      </c>
      <c r="K13" s="10">
        <f t="shared" ca="1" si="1"/>
        <v>0</v>
      </c>
      <c r="Q13" s="38"/>
      <c r="R13" s="38"/>
    </row>
    <row r="14" spans="1:19" x14ac:dyDescent="0.25">
      <c r="A14" s="51"/>
      <c r="B14" s="34">
        <f t="shared" si="3"/>
        <v>43841</v>
      </c>
      <c r="C14" s="1" t="str">
        <f t="shared" si="4"/>
        <v>Freitag</v>
      </c>
      <c r="D14" s="21" t="str">
        <f>IF(COUNTIFS(Verweise!$A$2:$A$4542,Übersicht!$C$7,Verweise!$B$2:$B$4542,B14)=1,"Feiertag",IF(C14="Samstag","",IF(C14="Sonntag","",Übersicht!$C$8)))</f>
        <v>Büro</v>
      </c>
      <c r="E14" s="19"/>
      <c r="F14" s="19"/>
      <c r="G14" s="66"/>
      <c r="H14" s="19"/>
      <c r="I14" s="18" t="str">
        <f t="shared" si="2"/>
        <v/>
      </c>
      <c r="J14" s="39" t="str">
        <f>IF(Übersicht!$C$9="Ja",IF(OR(E14=""),"",I14-$M$2/5),IF(OR(E14="",F14=""),"",I14-$M$2/5))</f>
        <v/>
      </c>
      <c r="K14" s="10">
        <f t="shared" ca="1" si="1"/>
        <v>0</v>
      </c>
      <c r="L14" s="79" t="s">
        <v>85</v>
      </c>
      <c r="M14" s="22">
        <v>0.49583333333333335</v>
      </c>
      <c r="Q14" s="38"/>
      <c r="R14" s="38"/>
    </row>
    <row r="15" spans="1:19" x14ac:dyDescent="0.25">
      <c r="A15" s="51"/>
      <c r="B15" s="34">
        <f t="shared" si="3"/>
        <v>43842</v>
      </c>
      <c r="C15" s="1" t="str">
        <f t="shared" si="4"/>
        <v>Samstag</v>
      </c>
      <c r="D15" s="21" t="str">
        <f>IF(COUNTIFS(Verweise!$A$2:$A$4542,Übersicht!$C$7,Verweise!$B$2:$B$4542,B15)=1,"Feiertag",IF(C15="Samstag","",IF(C15="Sonntag","",Übersicht!$C$8)))</f>
        <v/>
      </c>
      <c r="E15" s="19"/>
      <c r="F15" s="19"/>
      <c r="G15" s="66"/>
      <c r="H15" s="19"/>
      <c r="I15" s="18" t="str">
        <f t="shared" si="2"/>
        <v/>
      </c>
      <c r="J15" s="39" t="str">
        <f>IF(Übersicht!$C$9="Ja",IF(OR(E15=""),"",I15-$M$2/5),IF(OR(E15="",F15=""),"",I15-$M$2/5))</f>
        <v/>
      </c>
      <c r="K15" s="10">
        <f t="shared" ca="1" si="1"/>
        <v>0</v>
      </c>
      <c r="L15" s="79" t="s">
        <v>86</v>
      </c>
      <c r="M15" s="22">
        <v>0.54027777777777775</v>
      </c>
      <c r="Q15" s="38"/>
      <c r="R15" s="38"/>
    </row>
    <row r="16" spans="1:19" x14ac:dyDescent="0.25">
      <c r="A16" s="51"/>
      <c r="B16" s="34">
        <f t="shared" si="3"/>
        <v>43843</v>
      </c>
      <c r="C16" s="1" t="str">
        <f t="shared" si="4"/>
        <v>Sonntag</v>
      </c>
      <c r="D16" s="21" t="str">
        <f>IF(COUNTIFS(Verweise!$A$2:$A$4542,Übersicht!$C$7,Verweise!$B$2:$B$4542,B16)=1,"Feiertag",IF(C16="Samstag","",IF(C16="Sonntag","",Übersicht!$C$8)))</f>
        <v/>
      </c>
      <c r="E16" s="19"/>
      <c r="F16" s="19"/>
      <c r="G16" s="66"/>
      <c r="H16" s="19"/>
      <c r="I16" s="18" t="str">
        <f t="shared" si="2"/>
        <v/>
      </c>
      <c r="J16" s="39" t="str">
        <f>IF(Übersicht!$C$9="Ja",IF(OR(E16=""),"",I16-$M$2/5),IF(OR(E16="",F16=""),"",I16-$M$2/5))</f>
        <v/>
      </c>
      <c r="K16" s="10">
        <f t="shared" ca="1" si="1"/>
        <v>0</v>
      </c>
      <c r="M16" s="22">
        <f>M15-M14</f>
        <v>4.4444444444444398E-2</v>
      </c>
      <c r="Q16" s="38"/>
      <c r="R16" s="38"/>
    </row>
    <row r="17" spans="1:18" x14ac:dyDescent="0.25">
      <c r="A17" s="51"/>
      <c r="B17" s="34">
        <f t="shared" si="3"/>
        <v>43844</v>
      </c>
      <c r="C17" s="1" t="str">
        <f t="shared" si="4"/>
        <v>Montag</v>
      </c>
      <c r="D17" s="21" t="str">
        <f>IF(COUNTIFS(Verweise!$A$2:$A$4542,Übersicht!$C$7,Verweise!$B$2:$B$4542,B17)=1,"Feiertag",IF(C17="Samstag","",IF(C17="Sonntag","",Übersicht!$C$8)))</f>
        <v>Büro</v>
      </c>
      <c r="E17" s="19"/>
      <c r="F17" s="19"/>
      <c r="G17" s="67"/>
      <c r="H17" s="19"/>
      <c r="I17" s="18" t="str">
        <f t="shared" si="2"/>
        <v/>
      </c>
      <c r="J17" s="39" t="str">
        <f>IF(Übersicht!$C$9="Ja",IF(OR(E17=""),"",I17-$M$2/5),IF(OR(E17="",F17=""),"",I17-$M$2/5))</f>
        <v/>
      </c>
      <c r="K17" s="10">
        <f t="shared" ca="1" si="1"/>
        <v>0</v>
      </c>
      <c r="L17" s="22"/>
      <c r="M17" s="22"/>
      <c r="Q17" s="38"/>
      <c r="R17" s="38"/>
    </row>
    <row r="18" spans="1:18" x14ac:dyDescent="0.25">
      <c r="A18" s="30"/>
      <c r="B18" s="34">
        <f t="shared" si="3"/>
        <v>43845</v>
      </c>
      <c r="C18" s="1" t="str">
        <f t="shared" si="4"/>
        <v>Dienstag</v>
      </c>
      <c r="D18" s="21" t="str">
        <f>IF(COUNTIFS(Verweise!$A$2:$A$4542,Übersicht!$C$7,Verweise!$B$2:$B$4542,B18)=1,"Feiertag",IF(C18="Samstag","",IF(C18="Sonntag","",Übersicht!$C$8)))</f>
        <v>Büro</v>
      </c>
      <c r="E18" s="19"/>
      <c r="F18" s="19"/>
      <c r="G18" s="66"/>
      <c r="H18" s="19"/>
      <c r="I18" s="18" t="str">
        <f t="shared" si="2"/>
        <v/>
      </c>
      <c r="J18" s="39" t="str">
        <f>IF(Übersicht!$C$9="Ja",IF(OR(E18=""),"",I18-$M$2/5),IF(OR(E18="",F18=""),"",I18-$M$2/5))</f>
        <v/>
      </c>
      <c r="K18" s="10">
        <f t="shared" ca="1" si="1"/>
        <v>0</v>
      </c>
      <c r="L18" s="22"/>
      <c r="M18" s="22"/>
      <c r="Q18" s="38"/>
      <c r="R18" s="38"/>
    </row>
    <row r="19" spans="1:18" x14ac:dyDescent="0.25">
      <c r="A19" s="51"/>
      <c r="B19" s="34">
        <f t="shared" si="3"/>
        <v>43846</v>
      </c>
      <c r="C19" s="1" t="str">
        <f t="shared" si="4"/>
        <v>Mittwoch</v>
      </c>
      <c r="D19" s="21" t="str">
        <f>IF(COUNTIFS(Verweise!$A$2:$A$4542,Übersicht!$C$7,Verweise!$B$2:$B$4542,B19)=1,"Feiertag",IF(C19="Samstag","",IF(C19="Sonntag","",Übersicht!$C$8)))</f>
        <v>Büro</v>
      </c>
      <c r="E19" s="19"/>
      <c r="F19" s="19"/>
      <c r="G19" s="66"/>
      <c r="H19" s="19"/>
      <c r="I19" s="18" t="str">
        <f t="shared" si="2"/>
        <v/>
      </c>
      <c r="J19" s="39" t="str">
        <f>IF(Übersicht!$C$9="Ja",IF(OR(E19=""),"",I19-$M$2/5),IF(OR(E19="",F19=""),"",I19-$M$2/5))</f>
        <v/>
      </c>
      <c r="K19" s="10">
        <f t="shared" ca="1" si="1"/>
        <v>0</v>
      </c>
      <c r="L19" s="22"/>
      <c r="M19" s="22"/>
      <c r="Q19" s="38"/>
      <c r="R19" s="38"/>
    </row>
    <row r="20" spans="1:18" x14ac:dyDescent="0.25">
      <c r="A20" s="51"/>
      <c r="B20" s="34">
        <f t="shared" si="3"/>
        <v>43847</v>
      </c>
      <c r="C20" s="1" t="str">
        <f t="shared" si="4"/>
        <v>Donnerstag</v>
      </c>
      <c r="D20" s="21" t="str">
        <f>IF(COUNTIFS(Verweise!$A$2:$A$4542,Übersicht!$C$7,Verweise!$B$2:$B$4542,B20)=1,"Feiertag",IF(C20="Samstag","",IF(C20="Sonntag","",Übersicht!$C$8)))</f>
        <v>Büro</v>
      </c>
      <c r="E20" s="19"/>
      <c r="F20" s="19"/>
      <c r="G20" s="66"/>
      <c r="H20" s="19"/>
      <c r="I20" s="18" t="str">
        <f t="shared" si="2"/>
        <v/>
      </c>
      <c r="J20" s="39" t="str">
        <f>IF(Übersicht!$C$9="Ja",IF(OR(E20=""),"",I20-$M$2/5),IF(OR(E20="",F20=""),"",I20-$M$2/5))</f>
        <v/>
      </c>
      <c r="K20" s="10">
        <f t="shared" ca="1" si="1"/>
        <v>0</v>
      </c>
      <c r="L20" s="22"/>
      <c r="M20" s="22"/>
      <c r="Q20" s="38"/>
      <c r="R20" s="38"/>
    </row>
    <row r="21" spans="1:18" x14ac:dyDescent="0.25">
      <c r="A21" s="51" t="s">
        <v>92</v>
      </c>
      <c r="B21" s="34">
        <f t="shared" si="3"/>
        <v>43848</v>
      </c>
      <c r="C21" s="1" t="str">
        <f t="shared" si="4"/>
        <v>Freitag</v>
      </c>
      <c r="D21" s="21" t="str">
        <f>IF(COUNTIFS(Verweise!$A$2:$A$4542,Übersicht!$C$7,Verweise!$B$2:$B$4542,B21)=1,"Feiertag",IF(C21="Samstag","",IF(C21="Sonntag","",Übersicht!$C$8)))</f>
        <v>Büro</v>
      </c>
      <c r="E21" s="19"/>
      <c r="F21" s="19"/>
      <c r="G21" s="66"/>
      <c r="H21" s="19"/>
      <c r="I21" s="18" t="str">
        <f t="shared" si="2"/>
        <v/>
      </c>
      <c r="J21" s="39" t="str">
        <f>IF(Übersicht!$C$9="Ja",IF(OR(E21=""),"",I21-$M$2/5),IF(OR(E21="",F21=""),"",I21-$M$2/5))</f>
        <v/>
      </c>
      <c r="K21" s="10">
        <f t="shared" ca="1" si="1"/>
        <v>0</v>
      </c>
      <c r="L21" s="82"/>
      <c r="Q21" s="38"/>
      <c r="R21" s="38"/>
    </row>
    <row r="22" spans="1:18" x14ac:dyDescent="0.25">
      <c r="A22" s="51"/>
      <c r="B22" s="34">
        <f t="shared" si="3"/>
        <v>43849</v>
      </c>
      <c r="C22" s="1" t="str">
        <f t="shared" si="4"/>
        <v>Samstag</v>
      </c>
      <c r="D22" s="21" t="str">
        <f>IF(COUNTIFS(Verweise!$A$2:$A$4542,Übersicht!$C$7,Verweise!$B$2:$B$4542,B22)=1,"Feiertag",IF(C22="Samstag","",IF(C22="Sonntag","",Übersicht!$C$8)))</f>
        <v/>
      </c>
      <c r="E22" s="19"/>
      <c r="F22" s="83"/>
      <c r="G22" s="66"/>
      <c r="H22" s="19"/>
      <c r="I22" s="18" t="str">
        <f t="shared" si="2"/>
        <v/>
      </c>
      <c r="J22" s="39" t="str">
        <f>IF(Übersicht!$C$9="Ja",IF(OR(E22=""),"",I22-$M$2/5),IF(OR(E22="",F22=""),"",I22-$M$2/5))</f>
        <v/>
      </c>
      <c r="K22" s="10">
        <f t="shared" ca="1" si="1"/>
        <v>0</v>
      </c>
      <c r="L22" s="82"/>
      <c r="Q22" s="38"/>
      <c r="R22" s="38"/>
    </row>
    <row r="23" spans="1:18" x14ac:dyDescent="0.25">
      <c r="A23" s="51"/>
      <c r="B23" s="34">
        <f t="shared" si="3"/>
        <v>43850</v>
      </c>
      <c r="C23" s="1" t="str">
        <f t="shared" si="4"/>
        <v>Sonntag</v>
      </c>
      <c r="D23" s="21" t="str">
        <f>IF(COUNTIFS(Verweise!$A$2:$A$4542,Übersicht!$C$7,Verweise!$B$2:$B$4542,B23)=1,"Feiertag",IF(C23="Samstag","",IF(C23="Sonntag","",Übersicht!$C$8)))</f>
        <v/>
      </c>
      <c r="E23" s="19"/>
      <c r="F23" s="19"/>
      <c r="G23" s="66"/>
      <c r="H23" s="19"/>
      <c r="I23" s="18" t="str">
        <f t="shared" si="2"/>
        <v/>
      </c>
      <c r="J23" s="39" t="str">
        <f>IF(Übersicht!$C$9="Ja",IF(OR(E23=""),"",I23-$M$2/5),IF(OR(E23="",F23=""),"",I23-$M$2/5))</f>
        <v/>
      </c>
      <c r="K23" s="10">
        <f t="shared" ca="1" si="1"/>
        <v>0</v>
      </c>
      <c r="L23" s="84"/>
      <c r="Q23" s="38"/>
      <c r="R23" s="38"/>
    </row>
    <row r="24" spans="1:18" x14ac:dyDescent="0.25">
      <c r="A24" s="51"/>
      <c r="B24" s="34">
        <f t="shared" si="3"/>
        <v>43851</v>
      </c>
      <c r="C24" s="1" t="str">
        <f t="shared" si="4"/>
        <v>Montag</v>
      </c>
      <c r="D24" s="21" t="str">
        <f>IF(COUNTIFS(Verweise!$A$2:$A$4542,Übersicht!$C$7,Verweise!$B$2:$B$4542,B24)=1,"Feiertag",IF(C24="Samstag","",IF(C24="Sonntag","",Übersicht!$C$8)))</f>
        <v>Büro</v>
      </c>
      <c r="E24" s="19"/>
      <c r="F24" s="19"/>
      <c r="G24" s="67"/>
      <c r="H24" s="19"/>
      <c r="I24" s="18" t="str">
        <f t="shared" si="2"/>
        <v/>
      </c>
      <c r="J24" s="39" t="str">
        <f>IF(Übersicht!$C$9="Ja",IF(OR(E24=""),"",I24-$M$2/5),IF(OR(E24="",F24=""),"",I24-$M$2/5))</f>
        <v/>
      </c>
      <c r="K24" s="10">
        <f t="shared" ca="1" si="1"/>
        <v>0</v>
      </c>
      <c r="L24" s="84"/>
    </row>
    <row r="25" spans="1:18" x14ac:dyDescent="0.25">
      <c r="A25" s="30"/>
      <c r="B25" s="34">
        <f t="shared" si="3"/>
        <v>43852</v>
      </c>
      <c r="C25" s="1" t="str">
        <f t="shared" si="4"/>
        <v>Dienstag</v>
      </c>
      <c r="D25" s="21" t="str">
        <f>IF(COUNTIFS(Verweise!$A$2:$A$4542,Übersicht!$C$7,Verweise!$B$2:$B$4542,B25)=1,"Feiertag",IF(C25="Samstag","",IF(C25="Sonntag","",Übersicht!$C$8)))</f>
        <v>Büro</v>
      </c>
      <c r="E25" s="19"/>
      <c r="F25" s="19"/>
      <c r="G25" s="66"/>
      <c r="H25" s="19"/>
      <c r="I25" s="18" t="str">
        <f t="shared" si="2"/>
        <v/>
      </c>
      <c r="J25" s="39" t="str">
        <f>IF(Übersicht!$C$9="Ja",IF(OR(E25=""),"",I25-$M$2/5),IF(OR(E25="",F25=""),"",I25-$M$2/5))</f>
        <v/>
      </c>
      <c r="K25" s="10">
        <f t="shared" ca="1" si="1"/>
        <v>0</v>
      </c>
      <c r="L25" s="22"/>
    </row>
    <row r="26" spans="1:18" x14ac:dyDescent="0.25">
      <c r="A26" s="51"/>
      <c r="B26" s="34">
        <f t="shared" si="3"/>
        <v>43853</v>
      </c>
      <c r="C26" s="1" t="str">
        <f t="shared" si="4"/>
        <v>Mittwoch</v>
      </c>
      <c r="D26" s="21" t="str">
        <f>IF(COUNTIFS(Verweise!$A$2:$A$4542,Übersicht!$C$7,Verweise!$B$2:$B$4542,B26)=1,"Feiertag",IF(C26="Samstag","",IF(C26="Sonntag","",Übersicht!$C$8)))</f>
        <v>Büro</v>
      </c>
      <c r="E26" s="19"/>
      <c r="F26" s="19"/>
      <c r="G26" s="66"/>
      <c r="H26" s="19"/>
      <c r="I26" s="18" t="str">
        <f t="shared" si="2"/>
        <v/>
      </c>
      <c r="J26" s="39" t="str">
        <f>IF(Übersicht!$C$9="Ja",IF(OR(E26=""),"",I26-$M$2/5),IF(OR(E26="",F26=""),"",I26-$M$2/5))</f>
        <v/>
      </c>
      <c r="K26" s="10">
        <f t="shared" ca="1" si="1"/>
        <v>0</v>
      </c>
      <c r="L26" s="22"/>
      <c r="Q26" s="38"/>
      <c r="R26" s="38"/>
    </row>
    <row r="27" spans="1:18" x14ac:dyDescent="0.25">
      <c r="A27" s="51"/>
      <c r="B27" s="34">
        <f t="shared" si="3"/>
        <v>43854</v>
      </c>
      <c r="C27" s="1" t="str">
        <f t="shared" si="4"/>
        <v>Donnerstag</v>
      </c>
      <c r="D27" s="21" t="str">
        <f>IF(COUNTIFS(Verweise!$A$2:$A$4542,Übersicht!$C$7,Verweise!$B$2:$B$4542,B27)=1,"Feiertag",IF(C27="Samstag","",IF(C27="Sonntag","",Übersicht!$C$8)))</f>
        <v>Büro</v>
      </c>
      <c r="E27" s="19"/>
      <c r="F27" s="19"/>
      <c r="G27" s="66"/>
      <c r="H27" s="19"/>
      <c r="I27" s="18" t="str">
        <f t="shared" si="2"/>
        <v/>
      </c>
      <c r="J27" s="39" t="str">
        <f>IF(Übersicht!$C$9="Ja",IF(OR(E27=""),"",I27-$M$2/5),IF(OR(E27="",F27=""),"",I27-$M$2/5))</f>
        <v/>
      </c>
      <c r="K27" s="10">
        <f t="shared" ca="1" si="1"/>
        <v>0</v>
      </c>
      <c r="L27" s="22"/>
    </row>
    <row r="28" spans="1:18" x14ac:dyDescent="0.25">
      <c r="A28" s="51"/>
      <c r="B28" s="34">
        <f t="shared" si="3"/>
        <v>43855</v>
      </c>
      <c r="C28" s="1" t="str">
        <f t="shared" si="4"/>
        <v>Freitag</v>
      </c>
      <c r="D28" s="21" t="str">
        <f>IF(COUNTIFS(Verweise!$A$2:$A$4542,Übersicht!$C$7,Verweise!$B$2:$B$4542,B28)=1,"Feiertag",IF(C28="Samstag","",IF(C28="Sonntag","",Übersicht!$C$8)))</f>
        <v>Büro</v>
      </c>
      <c r="E28" s="19"/>
      <c r="F28" s="19"/>
      <c r="G28" s="66"/>
      <c r="H28" s="19"/>
      <c r="I28" s="18" t="str">
        <f t="shared" si="2"/>
        <v/>
      </c>
      <c r="J28" s="39" t="str">
        <f>IF(Übersicht!$C$9="Ja",IF(OR(E28=""),"",I28-$M$2/5),IF(OR(E28="",F28=""),"",I28-$M$2/5))</f>
        <v/>
      </c>
      <c r="K28" s="10">
        <f t="shared" ca="1" si="1"/>
        <v>0</v>
      </c>
      <c r="L28" s="22"/>
    </row>
    <row r="29" spans="1:18" x14ac:dyDescent="0.25">
      <c r="A29" s="51"/>
      <c r="B29" s="34">
        <f t="shared" si="3"/>
        <v>43856</v>
      </c>
      <c r="C29" s="1" t="str">
        <f t="shared" si="4"/>
        <v>Samstag</v>
      </c>
      <c r="D29" s="21" t="str">
        <f>IF(COUNTIFS(Verweise!$A$2:$A$4542,Übersicht!$C$7,Verweise!$B$2:$B$4542,B29)=1,"Feiertag",IF(C29="Samstag","",IF(C29="Sonntag","",Übersicht!$C$8)))</f>
        <v/>
      </c>
      <c r="E29" s="19"/>
      <c r="F29" s="19"/>
      <c r="G29" s="66"/>
      <c r="H29" s="19"/>
      <c r="I29" s="18" t="str">
        <f t="shared" si="2"/>
        <v/>
      </c>
      <c r="J29" s="39" t="str">
        <f>IF(Übersicht!$C$9="Ja",IF(OR(E29=""),"",I29-$M$2/5),IF(OR(E29="",F29=""),"",I29-$M$2/5))</f>
        <v/>
      </c>
      <c r="K29" s="10">
        <f t="shared" ca="1" si="1"/>
        <v>0</v>
      </c>
    </row>
    <row r="30" spans="1:18" x14ac:dyDescent="0.25">
      <c r="A30" s="51"/>
      <c r="B30" s="34">
        <f t="shared" si="3"/>
        <v>43857</v>
      </c>
      <c r="C30" s="1" t="str">
        <f t="shared" si="4"/>
        <v>Sonntag</v>
      </c>
      <c r="D30" s="21" t="str">
        <f>IF(COUNTIFS(Verweise!$A$2:$A$4542,Übersicht!$C$7,Verweise!$B$2:$B$4542,B30)=1,"Feiertag",IF(C30="Samstag","",IF(C30="Sonntag","",Übersicht!$C$8)))</f>
        <v/>
      </c>
      <c r="E30" s="19"/>
      <c r="F30" s="19"/>
      <c r="G30" s="66"/>
      <c r="H30" s="19"/>
      <c r="I30" s="18" t="str">
        <f t="shared" si="2"/>
        <v/>
      </c>
      <c r="J30" s="39" t="str">
        <f>IF(Übersicht!$C$9="Ja",IF(OR(E30=""),"",I30-$M$2/5),IF(OR(E30="",F30=""),"",I30-$M$2/5))</f>
        <v/>
      </c>
      <c r="K30" s="10">
        <f t="shared" ca="1" si="1"/>
        <v>0</v>
      </c>
    </row>
    <row r="31" spans="1:18" x14ac:dyDescent="0.25">
      <c r="A31" s="51"/>
      <c r="B31" s="34">
        <f t="shared" si="3"/>
        <v>43858</v>
      </c>
      <c r="C31" s="1" t="str">
        <f t="shared" si="4"/>
        <v>Montag</v>
      </c>
      <c r="D31" s="21" t="str">
        <f>IF(COUNTIFS(Verweise!$A$2:$A$4542,Übersicht!$C$7,Verweise!$B$2:$B$4542,B31)=1,"Feiertag",IF(C31="Samstag","",IF(C31="Sonntag","",Übersicht!$C$8)))</f>
        <v>Büro</v>
      </c>
      <c r="E31" s="19"/>
      <c r="F31" s="19"/>
      <c r="G31" s="67"/>
      <c r="H31" s="19"/>
      <c r="I31" s="18" t="str">
        <f t="shared" si="2"/>
        <v/>
      </c>
      <c r="J31" s="39" t="str">
        <f>IF(Übersicht!$C$9="Ja",IF(OR(E31=""),"",I31-$M$2/5),IF(OR(E31="",F31=""),"",I31-$M$2/5))</f>
        <v/>
      </c>
      <c r="K31" s="10">
        <f t="shared" ca="1" si="1"/>
        <v>0</v>
      </c>
    </row>
    <row r="32" spans="1:18" x14ac:dyDescent="0.25">
      <c r="A32" s="30"/>
      <c r="B32" s="33">
        <f t="shared" si="3"/>
        <v>43859</v>
      </c>
      <c r="C32" s="1" t="str">
        <f t="shared" si="4"/>
        <v>Dienstag</v>
      </c>
      <c r="D32" s="21" t="str">
        <f>IF(COUNTIFS(Verweise!$A$2:$A$4542,Übersicht!$C$7,Verweise!$B$2:$B$4542,B32)=1,"Feiertag",IF(C32="Samstag","",IF(C32="Sonntag","",Übersicht!$C$8)))</f>
        <v>Büro</v>
      </c>
      <c r="E32" s="19"/>
      <c r="F32" s="19"/>
      <c r="G32" s="66"/>
      <c r="H32" s="19"/>
      <c r="I32" s="18" t="str">
        <f t="shared" si="2"/>
        <v/>
      </c>
      <c r="J32" s="39" t="str">
        <f>IF(Übersicht!$C$9="Ja",IF(OR(E32=""),"",I32-$M$2/5),IF(OR(E32="",F32=""),"",I32-$M$2/5))</f>
        <v/>
      </c>
      <c r="K32" s="10">
        <f t="shared" ca="1" si="1"/>
        <v>0</v>
      </c>
    </row>
    <row r="33" spans="1:11" x14ac:dyDescent="0.25">
      <c r="A33" s="51"/>
      <c r="B33" s="33">
        <f t="shared" si="3"/>
        <v>43860</v>
      </c>
      <c r="C33" s="1" t="str">
        <f t="shared" si="4"/>
        <v>Mittwoch</v>
      </c>
      <c r="D33" s="21" t="str">
        <f>IF(COUNTIFS(Verweise!$A$2:$A$4542,Übersicht!$C$7,Verweise!$B$2:$B$4542,B33)=1,"Feiertag",IF(C33="Samstag","",IF(C33="Sonntag","",Übersicht!$C$8)))</f>
        <v>Büro</v>
      </c>
      <c r="E33" s="19"/>
      <c r="F33" s="19"/>
      <c r="G33" s="66"/>
      <c r="H33" s="19"/>
      <c r="I33" s="18" t="str">
        <f t="shared" si="2"/>
        <v/>
      </c>
      <c r="J33" s="39" t="str">
        <f>IF(Übersicht!$C$9="Ja",IF(OR(E33=""),"",I33-$M$2/5),IF(OR(E33="",F33=""),"",I33-$M$2/5))</f>
        <v/>
      </c>
      <c r="K33" s="10">
        <f t="shared" ca="1" si="1"/>
        <v>0</v>
      </c>
    </row>
    <row r="34" spans="1:11" x14ac:dyDescent="0.25">
      <c r="A34" s="22"/>
    </row>
  </sheetData>
  <conditionalFormatting sqref="B3:C3 B4:I33">
    <cfRule type="expression" dxfId="514" priority="49">
      <formula>OR($C3="Samstag",$C3="Sonntag",$D3="Feiertag")</formula>
    </cfRule>
    <cfRule type="expression" dxfId="513" priority="50">
      <formula>OR($D3="Frei",$D3="Urlaub")</formula>
    </cfRule>
    <cfRule type="expression" dxfId="512" priority="52">
      <formula>$D3="Krank"</formula>
    </cfRule>
  </conditionalFormatting>
  <conditionalFormatting sqref="E3:G3">
    <cfRule type="expression" dxfId="511" priority="25">
      <formula>OR($C3="Samstag",$C3="Sonntag",$D3="Feiertag")</formula>
    </cfRule>
    <cfRule type="expression" dxfId="510" priority="26">
      <formula>OR($D3="Frei",$D3="Urlaub")</formula>
    </cfRule>
    <cfRule type="expression" dxfId="509" priority="27">
      <formula>$D3="Krank"</formula>
    </cfRule>
  </conditionalFormatting>
  <conditionalFormatting sqref="H3:I3 I3:I33">
    <cfRule type="expression" dxfId="508" priority="22">
      <formula>OR($C3="Samstag",$C3="Sonntag",$D3="Feiertag")</formula>
    </cfRule>
    <cfRule type="expression" dxfId="507" priority="23">
      <formula>OR($D3="Frei",$D3="Urlaub")</formula>
    </cfRule>
    <cfRule type="expression" dxfId="506" priority="24">
      <formula>$D3="Krank"</formula>
    </cfRule>
  </conditionalFormatting>
  <conditionalFormatting sqref="D3">
    <cfRule type="expression" dxfId="505" priority="19">
      <formula>OR($C3="Samstag",$C3="Sonntag",$D3="Feiertag")</formula>
    </cfRule>
    <cfRule type="expression" dxfId="504" priority="20">
      <formula>OR($D3="Frei",$D3="Urlaub")</formula>
    </cfRule>
    <cfRule type="expression" dxfId="503" priority="21">
      <formula>$D3="Krank"</formula>
    </cfRule>
  </conditionalFormatting>
  <conditionalFormatting sqref="L33">
    <cfRule type="expression" dxfId="502" priority="6">
      <formula>OR($C33="Samstag",$C33="Sonntag",$D33="Feiertag")</formula>
    </cfRule>
    <cfRule type="expression" dxfId="501" priority="7">
      <formula>OR($D33="Frei",$D33="Urlaub")</formula>
    </cfRule>
    <cfRule type="expression" dxfId="500" priority="8">
      <formula>$D33="Krank"</formula>
    </cfRule>
  </conditionalFormatting>
  <conditionalFormatting sqref="J3:J33">
    <cfRule type="cellIs" dxfId="499" priority="1" operator="greaterThan">
      <formula>0</formula>
    </cfRule>
    <cfRule type="cellIs" dxfId="498" priority="2" operator="lessThan">
      <formula>0</formula>
    </cfRule>
    <cfRule type="expression" dxfId="497" priority="3">
      <formula>OR($C3="Samstag",$C3="Sonntag",$D3="Feiertag")</formula>
    </cfRule>
    <cfRule type="expression" dxfId="496" priority="4">
      <formula>OR($D3="Frei",$D3="Urlaub")</formula>
    </cfRule>
    <cfRule type="expression" dxfId="495" priority="5">
      <formula>$D3="Krank"</formula>
    </cfRule>
  </conditionalFormatting>
  <pageMargins left="0.7" right="0.7" top="0.78740157499999996" bottom="0.78740157499999996" header="0.3" footer="0.3"/>
  <pageSetup paperSize="9" orientation="portrait" r:id="rId1"/>
  <customProperties>
    <customPr name="ORB_SHEETNAM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5" name="Button 9">
              <controlPr defaultSize="0" print="0" autoFill="0" autoPict="0" macro="[0]!TimeStampStart">
                <anchor moveWithCells="1" sizeWithCells="1">
                  <from>
                    <xdr:col>10</xdr:col>
                    <xdr:colOff>228600</xdr:colOff>
                    <xdr:row>7</xdr:row>
                    <xdr:rowOff>114300</xdr:rowOff>
                  </from>
                  <to>
                    <xdr:col>11</xdr:col>
                    <xdr:colOff>1428750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TimeStampEnd">
                <anchor moveWithCells="1" sizeWithCells="1">
                  <from>
                    <xdr:col>11</xdr:col>
                    <xdr:colOff>1590675</xdr:colOff>
                    <xdr:row>7</xdr:row>
                    <xdr:rowOff>104775</xdr:rowOff>
                  </from>
                  <to>
                    <xdr:col>13</xdr:col>
                    <xdr:colOff>19050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Button 11">
              <controlPr defaultSize="0" print="0" autoFill="0" autoPict="0" macro="[0]!PauseStart">
                <anchor moveWithCells="1" sizeWithCells="1">
                  <from>
                    <xdr:col>10</xdr:col>
                    <xdr:colOff>228600</xdr:colOff>
                    <xdr:row>9</xdr:row>
                    <xdr:rowOff>152400</xdr:rowOff>
                  </from>
                  <to>
                    <xdr:col>11</xdr:col>
                    <xdr:colOff>1428750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8" name="Button 12">
              <controlPr defaultSize="0" print="0" autoFill="0" autoPict="0" macro="[0]!PauseEnd">
                <anchor moveWithCells="1" sizeWithCells="1">
                  <from>
                    <xdr:col>11</xdr:col>
                    <xdr:colOff>1590675</xdr:colOff>
                    <xdr:row>9</xdr:row>
                    <xdr:rowOff>142875</xdr:rowOff>
                  </from>
                  <to>
                    <xdr:col>13</xdr:col>
                    <xdr:colOff>19050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9" name="Button 13">
              <controlPr defaultSize="0" print="0" autoFill="0" autoPict="0" macro="[0]!TimeStampStart">
                <anchor moveWithCells="1" sizeWithCells="1">
                  <from>
                    <xdr:col>10</xdr:col>
                    <xdr:colOff>228600</xdr:colOff>
                    <xdr:row>7</xdr:row>
                    <xdr:rowOff>114300</xdr:rowOff>
                  </from>
                  <to>
                    <xdr:col>11</xdr:col>
                    <xdr:colOff>1428750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0" name="Button 14">
              <controlPr defaultSize="0" print="0" autoFill="0" autoPict="0" macro="[0]!PauseStart">
                <anchor moveWithCells="1" sizeWithCells="1">
                  <from>
                    <xdr:col>10</xdr:col>
                    <xdr:colOff>228600</xdr:colOff>
                    <xdr:row>9</xdr:row>
                    <xdr:rowOff>152400</xdr:rowOff>
                  </from>
                  <to>
                    <xdr:col>11</xdr:col>
                    <xdr:colOff>1428750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Verweise!$F$24:$F$30</xm:f>
          </x14:formula1>
          <xm:sqref>D3:D33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>
    <tabColor theme="4" tint="0.79998168889431442"/>
  </sheetPr>
  <dimension ref="A1:Y33"/>
  <sheetViews>
    <sheetView workbookViewId="0">
      <selection activeCell="D15" sqref="D15"/>
    </sheetView>
  </sheetViews>
  <sheetFormatPr defaultColWidth="0" defaultRowHeight="15" zeroHeight="1" x14ac:dyDescent="0.25"/>
  <cols>
    <col min="1" max="1" width="2.7109375" style="10" customWidth="1"/>
    <col min="2" max="2" width="10.7109375" style="7" customWidth="1"/>
    <col min="3" max="3" width="11.5703125" style="7" customWidth="1"/>
    <col min="4" max="4" width="26.42578125" style="7" customWidth="1"/>
    <col min="5" max="5" width="14.42578125" style="7" customWidth="1"/>
    <col min="6" max="6" width="12.140625" style="7" customWidth="1"/>
    <col min="7" max="7" width="12.140625" style="55" customWidth="1"/>
    <col min="8" max="9" width="13.5703125" style="7" customWidth="1"/>
    <col min="10" max="10" width="14.28515625" style="7" customWidth="1"/>
    <col min="11" max="11" width="2.7109375" style="7" customWidth="1"/>
    <col min="12" max="12" width="33.7109375" style="7" bestFit="1" customWidth="1"/>
    <col min="13" max="13" width="11.42578125" style="7" customWidth="1"/>
    <col min="14" max="14" width="2.7109375" style="7" customWidth="1"/>
    <col min="15" max="25" width="0" style="7" hidden="1" customWidth="1"/>
    <col min="26" max="16384" width="11.42578125" style="7" hidden="1"/>
  </cols>
  <sheetData>
    <row r="1" spans="1:22" x14ac:dyDescent="0.25"/>
    <row r="2" spans="1:22" ht="15.75" thickBot="1" x14ac:dyDescent="0.3">
      <c r="B2" s="16" t="s">
        <v>0</v>
      </c>
      <c r="C2" s="16" t="s">
        <v>1</v>
      </c>
      <c r="D2" s="16" t="s">
        <v>2</v>
      </c>
      <c r="E2" s="16" t="s">
        <v>3</v>
      </c>
      <c r="F2" s="16" t="s">
        <v>4</v>
      </c>
      <c r="G2" s="56" t="s">
        <v>81</v>
      </c>
      <c r="H2" s="54" t="s">
        <v>83</v>
      </c>
      <c r="I2" s="16" t="s">
        <v>5</v>
      </c>
      <c r="J2" s="16" t="s">
        <v>82</v>
      </c>
      <c r="L2" s="3" t="s">
        <v>6</v>
      </c>
      <c r="M2" s="6">
        <f>Übersicht!C2</f>
        <v>1.6666666666666667</v>
      </c>
      <c r="Q2" s="10" t="s">
        <v>30</v>
      </c>
      <c r="R2" s="10" t="s">
        <v>31</v>
      </c>
    </row>
    <row r="3" spans="1:22" x14ac:dyDescent="0.25">
      <c r="A3" s="51"/>
      <c r="B3" s="34">
        <f>("01.02."&amp;Übersicht!$C$6)*1</f>
        <v>43861</v>
      </c>
      <c r="C3" s="15" t="str">
        <f>TEXT(B3,"TTTT")</f>
        <v>Donnerstag</v>
      </c>
      <c r="D3" s="21" t="str">
        <f>IF(COUNTIFS(Verweise!$A$2:$A$4542,Übersicht!$C$7,Verweise!$B$2:$B$4542,B3)=1,"Feiertag",IF(C3="Samstag","",IF(C3="Sonntag","",Übersicht!$C$8)))</f>
        <v>Büro</v>
      </c>
      <c r="E3" s="17"/>
      <c r="F3" s="17"/>
      <c r="G3" s="57"/>
      <c r="H3" s="52"/>
      <c r="I3" s="18" t="str">
        <f t="shared" ref="I3" si="0">IF(E3="","",F3-E3-H3)</f>
        <v/>
      </c>
      <c r="J3" s="39" t="str">
        <f>IF(Übersicht!$C$9="Ja",IF(OR(E3=""),"",I3-$M$2/5),IF(OR(E3="",F3=""),"",I3-$M$2/5))</f>
        <v/>
      </c>
      <c r="K3" s="10" t="s">
        <v>84</v>
      </c>
      <c r="L3" s="3" t="str">
        <f>"Ist Arbeitszeit im "&amp;TEXT(B3,"MMMM")</f>
        <v>Ist Arbeitszeit im Februar</v>
      </c>
      <c r="M3" s="29">
        <f>SUM(I3:I32)</f>
        <v>0</v>
      </c>
      <c r="P3" s="10" t="s">
        <v>24</v>
      </c>
      <c r="Q3" s="22"/>
      <c r="R3" s="22"/>
      <c r="V3" s="9">
        <v>0</v>
      </c>
    </row>
    <row r="4" spans="1:22" x14ac:dyDescent="0.25">
      <c r="A4" s="51"/>
      <c r="B4" s="34">
        <f>B3+1</f>
        <v>43862</v>
      </c>
      <c r="C4" s="1" t="str">
        <f t="shared" ref="C4:C30" si="1">TEXT(B4,"TTTT")</f>
        <v>Freitag</v>
      </c>
      <c r="D4" s="21" t="str">
        <f>IF(COUNTIFS(Verweise!$A$2:$A$4542,Übersicht!$C$7,Verweise!$B$2:$B$4542,B4)=1,"Feiertag",IF(C4="Samstag","",IF(C4="Sonntag","",Übersicht!$C$8)))</f>
        <v>Büro</v>
      </c>
      <c r="E4" s="19"/>
      <c r="F4" s="19"/>
      <c r="G4" s="66"/>
      <c r="H4" s="19"/>
      <c r="I4" s="18" t="str">
        <f t="shared" ref="I4:I30" si="2">IF(E4="","",F4-E4-H4)</f>
        <v/>
      </c>
      <c r="J4" s="39" t="str">
        <f>IF(Übersicht!$C$9="Ja",IF(OR(E4=""),"",I4-$M$2/5),IF(OR(E4="",F4=""),"",I4-$M$2/5))</f>
        <v/>
      </c>
      <c r="K4" s="10">
        <f t="shared" ref="K4:K30" ca="1" si="3">IF(B4=TODAY(),ROW(),0)</f>
        <v>0</v>
      </c>
      <c r="L4" s="3" t="str">
        <f>"Wochen im "&amp;TEXT(B3,"MMMM")</f>
        <v>Wochen im Februar</v>
      </c>
      <c r="M4" s="2">
        <f>ROUND(COUNTA(C3:C33)/7,2)</f>
        <v>4</v>
      </c>
      <c r="P4" s="10" t="s">
        <v>25</v>
      </c>
      <c r="V4" s="9">
        <v>6.9444444444444447E-4</v>
      </c>
    </row>
    <row r="5" spans="1:22" x14ac:dyDescent="0.25">
      <c r="A5" s="51"/>
      <c r="B5" s="34">
        <f t="shared" ref="B5:B30" si="4">B4+1</f>
        <v>43863</v>
      </c>
      <c r="C5" s="1" t="str">
        <f t="shared" si="1"/>
        <v>Samstag</v>
      </c>
      <c r="D5" s="21" t="str">
        <f>IF(COUNTIFS(Verweise!$A$2:$A$4542,Übersicht!$C$7,Verweise!$B$2:$B$4542,B5)=1,"Feiertag",IF(C5="Samstag","",IF(C5="Sonntag","",Übersicht!$C$8)))</f>
        <v/>
      </c>
      <c r="E5" s="19"/>
      <c r="F5" s="19"/>
      <c r="G5" s="66"/>
      <c r="H5" s="19"/>
      <c r="I5" s="18" t="str">
        <f t="shared" si="2"/>
        <v/>
      </c>
      <c r="J5" s="39" t="str">
        <f>IF(Übersicht!$C$9="Ja",IF(OR(E5=""),"",I5-$M$2/5),IF(OR(E5="",F5=""),"",I5-$M$2/5))</f>
        <v/>
      </c>
      <c r="K5" s="10">
        <f t="shared" ca="1" si="3"/>
        <v>0</v>
      </c>
      <c r="L5" s="3" t="s">
        <v>32</v>
      </c>
      <c r="M5" s="29">
        <f>M4*M2-(SUM(A3:A32)*M2/7)</f>
        <v>6.5018187830687832</v>
      </c>
      <c r="P5" s="10" t="s">
        <v>26</v>
      </c>
      <c r="V5" s="9">
        <v>1.38888888888889E-3</v>
      </c>
    </row>
    <row r="6" spans="1:22" x14ac:dyDescent="0.25">
      <c r="A6" s="51"/>
      <c r="B6" s="34">
        <f t="shared" si="4"/>
        <v>43864</v>
      </c>
      <c r="C6" s="1" t="str">
        <f t="shared" si="1"/>
        <v>Sonntag</v>
      </c>
      <c r="D6" s="21" t="str">
        <f>IF(COUNTIFS(Verweise!$A$2:$A$4542,Übersicht!$C$7,Verweise!$B$2:$B$4542,B6)=1,"Feiertag",IF(C6="Samstag","",IF(C6="Sonntag","",Übersicht!$C$8)))</f>
        <v/>
      </c>
      <c r="E6" s="19"/>
      <c r="F6" s="19"/>
      <c r="G6" s="66"/>
      <c r="H6" s="19"/>
      <c r="I6" s="18" t="str">
        <f t="shared" si="2"/>
        <v/>
      </c>
      <c r="J6" s="39" t="str">
        <f>IF(Übersicht!$C$9="Ja",IF(OR(E6=""),"",I6-$M$2/5),IF(OR(E6="",F6=""),"",I6-$M$2/5))</f>
        <v/>
      </c>
      <c r="K6" s="10">
        <f t="shared" ca="1" si="3"/>
        <v>0</v>
      </c>
      <c r="L6" s="3" t="str">
        <f>IF(M6&lt;0,"Minustunden","Überstunden")</f>
        <v>Überstunden</v>
      </c>
      <c r="M6" s="6">
        <f>SUM(J:J)</f>
        <v>0</v>
      </c>
      <c r="P6" s="10" t="s">
        <v>27</v>
      </c>
      <c r="V6" s="9">
        <v>2.0833333333333298E-3</v>
      </c>
    </row>
    <row r="7" spans="1:22" x14ac:dyDescent="0.25">
      <c r="A7" s="51"/>
      <c r="B7" s="34">
        <f t="shared" si="4"/>
        <v>43865</v>
      </c>
      <c r="C7" s="1" t="str">
        <f t="shared" si="1"/>
        <v>Montag</v>
      </c>
      <c r="D7" s="21" t="str">
        <f>IF(COUNTIFS(Verweise!$A$2:$A$4542,Übersicht!$C$7,Verweise!$B$2:$B$4542,B7)=1,"Feiertag",IF(C7="Samstag","",IF(C7="Sonntag","",Übersicht!$C$8)))</f>
        <v>Büro</v>
      </c>
      <c r="E7" s="19"/>
      <c r="F7" s="19"/>
      <c r="G7" s="67"/>
      <c r="H7" s="19"/>
      <c r="I7" s="18" t="str">
        <f t="shared" si="2"/>
        <v/>
      </c>
      <c r="J7" s="39" t="str">
        <f>IF(Übersicht!$C$9="Ja",IF(OR(E7=""),"",I7-$M$2/5),IF(OR(E7="",F7=""),"",I7-$M$2/5))</f>
        <v/>
      </c>
      <c r="K7" s="10">
        <f t="shared" ca="1" si="3"/>
        <v>0</v>
      </c>
      <c r="L7" s="3" t="str">
        <f ca="1">IF(M7&lt;0,"Minustunden gesamt","Überstunden gesamt")</f>
        <v>Überstunden gesamt</v>
      </c>
      <c r="M7" s="6">
        <f ca="1">Übersicht!C26</f>
        <v>0</v>
      </c>
      <c r="P7" s="10" t="s">
        <v>28</v>
      </c>
      <c r="V7" s="9">
        <v>2.7777777777777801E-3</v>
      </c>
    </row>
    <row r="8" spans="1:22" x14ac:dyDescent="0.25">
      <c r="A8" s="30"/>
      <c r="B8" s="34">
        <f t="shared" si="4"/>
        <v>43866</v>
      </c>
      <c r="C8" s="1" t="str">
        <f t="shared" si="1"/>
        <v>Dienstag</v>
      </c>
      <c r="D8" s="21" t="str">
        <f>IF(COUNTIFS(Verweise!$A$2:$A$4542,Übersicht!$C$7,Verweise!$B$2:$B$4542,B8)=1,"Feiertag",IF(C8="Samstag","",IF(C8="Sonntag","",Übersicht!$C$8)))</f>
        <v>Büro</v>
      </c>
      <c r="E8" s="19"/>
      <c r="F8" s="19"/>
      <c r="G8" s="66"/>
      <c r="H8" s="19"/>
      <c r="I8" s="18" t="str">
        <f t="shared" si="2"/>
        <v/>
      </c>
      <c r="J8" s="39" t="str">
        <f>IF(Übersicht!$C$9="Ja",IF(OR(E8=""),"",I8-$M$2/5),IF(OR(E8="",F8=""),"",I8-$M$2/5))</f>
        <v/>
      </c>
      <c r="K8" s="10">
        <f t="shared" ca="1" si="3"/>
        <v>0</v>
      </c>
      <c r="P8" s="10" t="s">
        <v>29</v>
      </c>
      <c r="V8" s="9">
        <v>3.4722222222222199E-3</v>
      </c>
    </row>
    <row r="9" spans="1:22" x14ac:dyDescent="0.25">
      <c r="A9" s="51"/>
      <c r="B9" s="34">
        <f t="shared" si="4"/>
        <v>43867</v>
      </c>
      <c r="C9" s="1" t="str">
        <f t="shared" si="1"/>
        <v>Mittwoch</v>
      </c>
      <c r="D9" s="21" t="str">
        <f>IF(COUNTIFS(Verweise!$A$2:$A$4542,Übersicht!$C$7,Verweise!$B$2:$B$4542,B9)=1,"Feiertag",IF(C9="Samstag","",IF(C9="Sonntag","",Übersicht!$C$8)))</f>
        <v>Büro</v>
      </c>
      <c r="E9" s="19"/>
      <c r="F9" s="19"/>
      <c r="G9" s="66"/>
      <c r="H9" s="19"/>
      <c r="I9" s="18" t="str">
        <f t="shared" si="2"/>
        <v/>
      </c>
      <c r="J9" s="39" t="str">
        <f>IF(Übersicht!$C$9="Ja",IF(OR(E9=""),"",I9-$M$2/5),IF(OR(E9="",F9=""),"",I9-$M$2/5))</f>
        <v/>
      </c>
      <c r="K9" s="10">
        <f t="shared" ca="1" si="3"/>
        <v>0</v>
      </c>
      <c r="V9" s="9">
        <v>4.1666666666666701E-3</v>
      </c>
    </row>
    <row r="10" spans="1:22" x14ac:dyDescent="0.25">
      <c r="A10" s="51"/>
      <c r="B10" s="34">
        <f t="shared" si="4"/>
        <v>43868</v>
      </c>
      <c r="C10" s="1" t="str">
        <f t="shared" si="1"/>
        <v>Donnerstag</v>
      </c>
      <c r="D10" s="21" t="str">
        <f>IF(COUNTIFS(Verweise!$A$2:$A$4542,Übersicht!$C$7,Verweise!$B$2:$B$4542,B10)=1,"Feiertag",IF(C10="Samstag","",IF(C10="Sonntag","",Übersicht!$C$8)))</f>
        <v>Büro</v>
      </c>
      <c r="E10" s="19"/>
      <c r="F10" s="19"/>
      <c r="G10" s="66"/>
      <c r="H10" s="19"/>
      <c r="I10" s="18" t="str">
        <f t="shared" si="2"/>
        <v/>
      </c>
      <c r="J10" s="39" t="str">
        <f>IF(Übersicht!$C$9="Ja",IF(OR(E10=""),"",I10-$M$2/5),IF(OR(E10="",F10=""),"",I10-$M$2/5))</f>
        <v/>
      </c>
      <c r="K10" s="10">
        <f t="shared" ca="1" si="3"/>
        <v>0</v>
      </c>
      <c r="V10" s="9">
        <v>4.8611111111111103E-3</v>
      </c>
    </row>
    <row r="11" spans="1:22" x14ac:dyDescent="0.25">
      <c r="A11" s="51"/>
      <c r="B11" s="34">
        <f t="shared" si="4"/>
        <v>43869</v>
      </c>
      <c r="C11" s="1" t="str">
        <f t="shared" si="1"/>
        <v>Freitag</v>
      </c>
      <c r="D11" s="21" t="str">
        <f>IF(COUNTIFS(Verweise!$A$2:$A$4542,Übersicht!$C$7,Verweise!$B$2:$B$4542,B11)=1,"Feiertag",IF(C11="Samstag","",IF(C11="Sonntag","",Übersicht!$C$8)))</f>
        <v>Büro</v>
      </c>
      <c r="E11" s="19"/>
      <c r="F11" s="19"/>
      <c r="G11" s="66"/>
      <c r="H11" s="19"/>
      <c r="I11" s="18" t="str">
        <f t="shared" si="2"/>
        <v/>
      </c>
      <c r="J11" s="39" t="str">
        <f>IF(Übersicht!$C$9="Ja",IF(OR(E11=""),"",I11-$M$2/5),IF(OR(E11="",F11=""),"",I11-$M$2/5))</f>
        <v/>
      </c>
      <c r="K11" s="10">
        <f t="shared" ca="1" si="3"/>
        <v>0</v>
      </c>
      <c r="V11" s="9">
        <v>5.5555555555555601E-3</v>
      </c>
    </row>
    <row r="12" spans="1:22" x14ac:dyDescent="0.25">
      <c r="A12" s="51"/>
      <c r="B12" s="34">
        <f t="shared" si="4"/>
        <v>43870</v>
      </c>
      <c r="C12" s="1" t="str">
        <f t="shared" si="1"/>
        <v>Samstag</v>
      </c>
      <c r="D12" s="21" t="str">
        <f>IF(COUNTIFS(Verweise!$A$2:$A$4542,Übersicht!$C$7,Verweise!$B$2:$B$4542,B12)=1,"Feiertag",IF(C12="Samstag","",IF(C12="Sonntag","",Übersicht!$C$8)))</f>
        <v/>
      </c>
      <c r="E12" s="19"/>
      <c r="F12" s="19"/>
      <c r="G12" s="66"/>
      <c r="H12" s="19"/>
      <c r="I12" s="18" t="str">
        <f t="shared" si="2"/>
        <v/>
      </c>
      <c r="J12" s="39" t="str">
        <f>IF(Übersicht!$C$9="Ja",IF(OR(E12=""),"",I12-$M$2/5),IF(OR(E12="",F12=""),"",I12-$M$2/5))</f>
        <v/>
      </c>
      <c r="K12" s="10">
        <f t="shared" ca="1" si="3"/>
        <v>0</v>
      </c>
      <c r="V12" s="9">
        <v>6.2500000000000003E-3</v>
      </c>
    </row>
    <row r="13" spans="1:22" x14ac:dyDescent="0.25">
      <c r="A13" s="51"/>
      <c r="B13" s="34">
        <f t="shared" si="4"/>
        <v>43871</v>
      </c>
      <c r="C13" s="1" t="str">
        <f t="shared" si="1"/>
        <v>Sonntag</v>
      </c>
      <c r="D13" s="21" t="str">
        <f>IF(COUNTIFS(Verweise!$A$2:$A$4542,Übersicht!$C$7,Verweise!$B$2:$B$4542,B13)=1,"Feiertag",IF(C13="Samstag","",IF(C13="Sonntag","",Übersicht!$C$8)))</f>
        <v/>
      </c>
      <c r="E13" s="19"/>
      <c r="F13" s="19"/>
      <c r="G13" s="66"/>
      <c r="H13" s="19"/>
      <c r="I13" s="18" t="str">
        <f t="shared" si="2"/>
        <v/>
      </c>
      <c r="J13" s="39" t="str">
        <f>IF(Übersicht!$C$9="Ja",IF(OR(E13=""),"",I13-$M$2/5),IF(OR(E13="",F13=""),"",I13-$M$2/5))</f>
        <v/>
      </c>
      <c r="K13" s="10">
        <f t="shared" ca="1" si="3"/>
        <v>0</v>
      </c>
      <c r="V13" s="9">
        <v>6.9444444444444397E-3</v>
      </c>
    </row>
    <row r="14" spans="1:22" x14ac:dyDescent="0.25">
      <c r="A14" s="51"/>
      <c r="B14" s="34">
        <f t="shared" si="4"/>
        <v>43872</v>
      </c>
      <c r="C14" s="1" t="str">
        <f t="shared" si="1"/>
        <v>Montag</v>
      </c>
      <c r="D14" s="21" t="str">
        <f>IF(COUNTIFS(Verweise!$A$2:$A$4542,Übersicht!$C$7,Verweise!$B$2:$B$4542,B14)=1,"Feiertag",IF(C14="Samstag","",IF(C14="Sonntag","",Übersicht!$C$8)))</f>
        <v>Büro</v>
      </c>
      <c r="E14" s="19"/>
      <c r="F14" s="19"/>
      <c r="G14" s="67"/>
      <c r="H14" s="19"/>
      <c r="I14" s="18" t="str">
        <f t="shared" si="2"/>
        <v/>
      </c>
      <c r="J14" s="39" t="str">
        <f>IF(Übersicht!$C$9="Ja",IF(OR(E14=""),"",I14-$M$2/5),IF(OR(E14="",F14=""),"",I14-$M$2/5))</f>
        <v/>
      </c>
      <c r="K14" s="10">
        <f t="shared" ca="1" si="3"/>
        <v>0</v>
      </c>
      <c r="L14" s="79" t="s">
        <v>85</v>
      </c>
      <c r="M14" s="22">
        <v>0.5229166666666667</v>
      </c>
      <c r="V14" s="9">
        <v>7.6388888888888904E-3</v>
      </c>
    </row>
    <row r="15" spans="1:22" x14ac:dyDescent="0.25">
      <c r="A15" s="30"/>
      <c r="B15" s="34">
        <f t="shared" si="4"/>
        <v>43873</v>
      </c>
      <c r="C15" s="1" t="str">
        <f t="shared" si="1"/>
        <v>Dienstag</v>
      </c>
      <c r="D15" s="21" t="str">
        <f>IF(COUNTIFS(Verweise!$A$2:$A$4542,Übersicht!$C$7,Verweise!$B$2:$B$4542,B15)=1,"Feiertag",IF(C15="Samstag","",IF(C15="Sonntag","",Übersicht!$C$8)))</f>
        <v>Büro</v>
      </c>
      <c r="E15" s="19"/>
      <c r="F15" s="19"/>
      <c r="G15" s="66"/>
      <c r="H15" s="19"/>
      <c r="I15" s="18" t="str">
        <f t="shared" si="2"/>
        <v/>
      </c>
      <c r="J15" s="39" t="str">
        <f>IF(Übersicht!$C$9="Ja",IF(OR(E15=""),"",I15-$M$2/5),IF(OR(E15="",F15=""),"",I15-$M$2/5))</f>
        <v/>
      </c>
      <c r="K15" s="10">
        <f t="shared" ca="1" si="3"/>
        <v>0</v>
      </c>
      <c r="L15" s="79" t="s">
        <v>86</v>
      </c>
      <c r="M15" s="22">
        <v>0.54791666666666672</v>
      </c>
      <c r="V15" s="9">
        <v>8.3333333333333297E-3</v>
      </c>
    </row>
    <row r="16" spans="1:22" x14ac:dyDescent="0.25">
      <c r="A16" s="51"/>
      <c r="B16" s="34">
        <f t="shared" si="4"/>
        <v>43874</v>
      </c>
      <c r="C16" s="1" t="str">
        <f t="shared" si="1"/>
        <v>Mittwoch</v>
      </c>
      <c r="D16" s="21" t="str">
        <f>IF(COUNTIFS(Verweise!$A$2:$A$4542,Übersicht!$C$7,Verweise!$B$2:$B$4542,B16)=1,"Feiertag",IF(C16="Samstag","",IF(C16="Sonntag","",Übersicht!$C$8)))</f>
        <v>Büro</v>
      </c>
      <c r="E16" s="19"/>
      <c r="F16" s="19"/>
      <c r="G16" s="66"/>
      <c r="H16" s="19"/>
      <c r="I16" s="18" t="str">
        <f t="shared" si="2"/>
        <v/>
      </c>
      <c r="J16" s="39" t="str">
        <f>IF(Übersicht!$C$9="Ja",IF(OR(E16=""),"",I16-$M$2/5),IF(OR(E16="",F16=""),"",I16-$M$2/5))</f>
        <v/>
      </c>
      <c r="K16" s="10">
        <f t="shared" ca="1" si="3"/>
        <v>0</v>
      </c>
      <c r="M16" s="22">
        <f>M15-M14</f>
        <v>2.5000000000000022E-2</v>
      </c>
      <c r="V16" s="9">
        <v>9.0277777777777804E-3</v>
      </c>
    </row>
    <row r="17" spans="1:22" x14ac:dyDescent="0.25">
      <c r="A17" s="51">
        <v>0.69236111111111109</v>
      </c>
      <c r="B17" s="34">
        <f t="shared" si="4"/>
        <v>43875</v>
      </c>
      <c r="C17" s="1" t="str">
        <f t="shared" si="1"/>
        <v>Donnerstag</v>
      </c>
      <c r="D17" s="21" t="str">
        <f>IF(COUNTIFS(Verweise!$A$2:$A$4542,Übersicht!$C$7,Verweise!$B$2:$B$4542,B17)=1,"Feiertag",IF(C17="Samstag","",IF(C17="Sonntag","",Übersicht!$C$8)))</f>
        <v>Büro</v>
      </c>
      <c r="E17" s="19"/>
      <c r="F17" s="19"/>
      <c r="G17" s="68"/>
      <c r="H17" s="19"/>
      <c r="I17" s="18" t="str">
        <f t="shared" si="2"/>
        <v/>
      </c>
      <c r="J17" s="39" t="str">
        <f>IF(Übersicht!$C$9="Ja",IF(OR(E17=""),"",I17-$M$2/5),IF(OR(E17="",F17=""),"",I17-$M$2/5))</f>
        <v/>
      </c>
      <c r="K17" s="10">
        <f t="shared" ca="1" si="3"/>
        <v>0</v>
      </c>
      <c r="M17" s="22"/>
      <c r="V17" s="9">
        <v>9.7222222222222206E-3</v>
      </c>
    </row>
    <row r="18" spans="1:22" x14ac:dyDescent="0.25">
      <c r="A18" s="51"/>
      <c r="B18" s="34">
        <f t="shared" si="4"/>
        <v>43876</v>
      </c>
      <c r="C18" s="1" t="str">
        <f t="shared" si="1"/>
        <v>Freitag</v>
      </c>
      <c r="D18" s="21" t="str">
        <f>IF(COUNTIFS(Verweise!$A$2:$A$4542,Übersicht!$C$7,Verweise!$B$2:$B$4542,B18)=1,"Feiertag",IF(C18="Samstag","",IF(C18="Sonntag","",Übersicht!$C$8)))</f>
        <v>Büro</v>
      </c>
      <c r="E18" s="19"/>
      <c r="F18" s="19"/>
      <c r="G18" s="66"/>
      <c r="H18" s="19"/>
      <c r="I18" s="18" t="str">
        <f t="shared" si="2"/>
        <v/>
      </c>
      <c r="J18" s="39" t="str">
        <f>IF(Übersicht!$C$9="Ja",IF(OR(E18=""),"",I18-$M$2/5),IF(OR(E18="",F18=""),"",I18-$M$2/5))</f>
        <v/>
      </c>
      <c r="K18" s="10">
        <f t="shared" ca="1" si="3"/>
        <v>0</v>
      </c>
      <c r="V18" s="9">
        <v>1.0416666666666701E-2</v>
      </c>
    </row>
    <row r="19" spans="1:22" x14ac:dyDescent="0.25">
      <c r="A19" s="51"/>
      <c r="B19" s="34">
        <f t="shared" si="4"/>
        <v>43877</v>
      </c>
      <c r="C19" s="1" t="str">
        <f t="shared" si="1"/>
        <v>Samstag</v>
      </c>
      <c r="D19" s="21" t="str">
        <f>IF(COUNTIFS(Verweise!$A$2:$A$4542,Übersicht!$C$7,Verweise!$B$2:$B$4542,B19)=1,"Feiertag",IF(C19="Samstag","",IF(C19="Sonntag","",Übersicht!$C$8)))</f>
        <v/>
      </c>
      <c r="E19" s="19"/>
      <c r="F19" s="19"/>
      <c r="G19" s="66"/>
      <c r="H19" s="19"/>
      <c r="I19" s="18" t="str">
        <f t="shared" si="2"/>
        <v/>
      </c>
      <c r="J19" s="39" t="str">
        <f>IF(Übersicht!$C$9="Ja",IF(OR(E19=""),"",I19-$M$2/5),IF(OR(E19="",F19=""),"",I19-$M$2/5))</f>
        <v/>
      </c>
      <c r="K19" s="10">
        <f t="shared" ca="1" si="3"/>
        <v>0</v>
      </c>
      <c r="V19" s="9">
        <v>1.1111111111111099E-2</v>
      </c>
    </row>
    <row r="20" spans="1:22" x14ac:dyDescent="0.25">
      <c r="A20" s="51"/>
      <c r="B20" s="34">
        <f t="shared" si="4"/>
        <v>43878</v>
      </c>
      <c r="C20" s="1" t="str">
        <f t="shared" si="1"/>
        <v>Sonntag</v>
      </c>
      <c r="D20" s="21" t="str">
        <f>IF(COUNTIFS(Verweise!$A$2:$A$4542,Übersicht!$C$7,Verweise!$B$2:$B$4542,B20)=1,"Feiertag",IF(C20="Samstag","",IF(C20="Sonntag","",Übersicht!$C$8)))</f>
        <v/>
      </c>
      <c r="E20" s="19"/>
      <c r="F20" s="19"/>
      <c r="G20" s="66"/>
      <c r="H20" s="19"/>
      <c r="I20" s="18" t="str">
        <f t="shared" si="2"/>
        <v/>
      </c>
      <c r="J20" s="39" t="str">
        <f>IF(Übersicht!$C$9="Ja",IF(OR(E20=""),"",I20-$M$2/5),IF(OR(E20="",F20=""),"",I20-$M$2/5))</f>
        <v/>
      </c>
      <c r="K20" s="10">
        <f t="shared" ca="1" si="3"/>
        <v>0</v>
      </c>
      <c r="V20" s="9">
        <v>1.18055555555556E-2</v>
      </c>
    </row>
    <row r="21" spans="1:22" x14ac:dyDescent="0.25">
      <c r="A21" s="51"/>
      <c r="B21" s="34">
        <f t="shared" si="4"/>
        <v>43879</v>
      </c>
      <c r="C21" s="1" t="str">
        <f t="shared" si="1"/>
        <v>Montag</v>
      </c>
      <c r="D21" s="21" t="str">
        <f>IF(COUNTIFS(Verweise!$A$2:$A$4542,Übersicht!$C$7,Verweise!$B$2:$B$4542,B21)=1,"Feiertag",IF(C21="Samstag","",IF(C21="Sonntag","",Übersicht!$C$8)))</f>
        <v>Büro</v>
      </c>
      <c r="E21" s="19"/>
      <c r="F21" s="19"/>
      <c r="G21" s="67"/>
      <c r="H21" s="19"/>
      <c r="I21" s="18" t="str">
        <f t="shared" si="2"/>
        <v/>
      </c>
      <c r="J21" s="39" t="str">
        <f>IF(Übersicht!$C$9="Ja",IF(OR(E21=""),"",I21-$M$2/5),IF(OR(E21="",F21=""),"",I21-$M$2/5))</f>
        <v/>
      </c>
      <c r="K21" s="10">
        <f t="shared" ca="1" si="3"/>
        <v>0</v>
      </c>
      <c r="V21" s="9">
        <v>1.2500000000000001E-2</v>
      </c>
    </row>
    <row r="22" spans="1:22" x14ac:dyDescent="0.25">
      <c r="A22" s="30"/>
      <c r="B22" s="34">
        <f t="shared" si="4"/>
        <v>43880</v>
      </c>
      <c r="C22" s="1" t="str">
        <f t="shared" si="1"/>
        <v>Dienstag</v>
      </c>
      <c r="D22" s="21" t="str">
        <f>IF(COUNTIFS(Verweise!$A$2:$A$4542,Übersicht!$C$7,Verweise!$B$2:$B$4542,B22)=1,"Feiertag",IF(C22="Samstag","",IF(C22="Sonntag","",Übersicht!$C$8)))</f>
        <v>Büro</v>
      </c>
      <c r="E22" s="19"/>
      <c r="F22" s="19"/>
      <c r="G22" s="67"/>
      <c r="H22" s="19"/>
      <c r="I22" s="18" t="str">
        <f t="shared" si="2"/>
        <v/>
      </c>
      <c r="J22" s="39" t="str">
        <f>IF(Übersicht!$C$9="Ja",IF(OR(E22=""),"",I22-$M$2/5),IF(OR(E22="",F22=""),"",I22-$M$2/5))</f>
        <v/>
      </c>
      <c r="K22" s="10">
        <f t="shared" ca="1" si="3"/>
        <v>0</v>
      </c>
      <c r="V22" s="9">
        <v>1.3194444444444399E-2</v>
      </c>
    </row>
    <row r="23" spans="1:22" x14ac:dyDescent="0.25">
      <c r="A23" s="51"/>
      <c r="B23" s="34">
        <f t="shared" si="4"/>
        <v>43881</v>
      </c>
      <c r="C23" s="1" t="str">
        <f t="shared" si="1"/>
        <v>Mittwoch</v>
      </c>
      <c r="D23" s="21" t="str">
        <f>IF(COUNTIFS(Verweise!$A$2:$A$4542,Übersicht!$C$7,Verweise!$B$2:$B$4542,B23)=1,"Feiertag",IF(C23="Samstag","",IF(C23="Sonntag","",Übersicht!$C$8)))</f>
        <v>Büro</v>
      </c>
      <c r="E23" s="19"/>
      <c r="F23" s="19"/>
      <c r="G23" s="66"/>
      <c r="H23" s="19"/>
      <c r="I23" s="18" t="str">
        <f t="shared" si="2"/>
        <v/>
      </c>
      <c r="J23" s="39" t="str">
        <f>IF(Übersicht!$C$9="Ja",IF(OR(E23=""),"",I23-$M$2/5),IF(OR(E23="",F23=""),"",I23-$M$2/5))</f>
        <v/>
      </c>
      <c r="K23" s="10">
        <f t="shared" ca="1" si="3"/>
        <v>0</v>
      </c>
      <c r="V23" s="9">
        <v>1.38888888888889E-2</v>
      </c>
    </row>
    <row r="24" spans="1:22" x14ac:dyDescent="0.25">
      <c r="A24" s="51"/>
      <c r="B24" s="34">
        <f t="shared" si="4"/>
        <v>43882</v>
      </c>
      <c r="C24" s="1" t="str">
        <f t="shared" si="1"/>
        <v>Donnerstag</v>
      </c>
      <c r="D24" s="21" t="str">
        <f>IF(COUNTIFS(Verweise!$A$2:$A$4542,Übersicht!$C$7,Verweise!$B$2:$B$4542,B24)=1,"Feiertag",IF(C24="Samstag","",IF(C24="Sonntag","",Übersicht!$C$8)))</f>
        <v>Büro</v>
      </c>
      <c r="E24" s="19"/>
      <c r="F24" s="19"/>
      <c r="G24" s="66"/>
      <c r="H24" s="19"/>
      <c r="I24" s="18" t="str">
        <f t="shared" si="2"/>
        <v/>
      </c>
      <c r="J24" s="39" t="str">
        <f>IF(Übersicht!$C$9="Ja",IF(OR(E24=""),"",I24-$M$2/5),IF(OR(E24="",F24=""),"",I24-$M$2/5))</f>
        <v/>
      </c>
      <c r="K24" s="10">
        <f t="shared" ca="1" si="3"/>
        <v>0</v>
      </c>
      <c r="V24" s="9">
        <v>1.4583333333333301E-2</v>
      </c>
    </row>
    <row r="25" spans="1:22" x14ac:dyDescent="0.25">
      <c r="A25" s="51"/>
      <c r="B25" s="34">
        <f t="shared" si="4"/>
        <v>43883</v>
      </c>
      <c r="C25" s="1" t="str">
        <f t="shared" si="1"/>
        <v>Freitag</v>
      </c>
      <c r="D25" s="21" t="str">
        <f>IF(COUNTIFS(Verweise!$A$2:$A$4542,Übersicht!$C$7,Verweise!$B$2:$B$4542,B25)=1,"Feiertag",IF(C25="Samstag","",IF(C25="Sonntag","",Übersicht!$C$8)))</f>
        <v>Büro</v>
      </c>
      <c r="E25" s="19"/>
      <c r="F25" s="19"/>
      <c r="G25" s="66"/>
      <c r="H25" s="19"/>
      <c r="I25" s="18" t="str">
        <f t="shared" si="2"/>
        <v/>
      </c>
      <c r="J25" s="39" t="str">
        <f>IF(Übersicht!$C$9="Ja",IF(OR(E25=""),"",I25-$M$2/5),IF(OR(E25="",F25=""),"",I25-$M$2/5))</f>
        <v/>
      </c>
      <c r="K25" s="10">
        <f t="shared" ca="1" si="3"/>
        <v>0</v>
      </c>
      <c r="V25" s="9">
        <v>1.52777777777778E-2</v>
      </c>
    </row>
    <row r="26" spans="1:22" x14ac:dyDescent="0.25">
      <c r="A26" s="51"/>
      <c r="B26" s="34">
        <f t="shared" si="4"/>
        <v>43884</v>
      </c>
      <c r="C26" s="1" t="str">
        <f t="shared" si="1"/>
        <v>Samstag</v>
      </c>
      <c r="D26" s="21" t="str">
        <f>IF(COUNTIFS(Verweise!$A$2:$A$4542,Übersicht!$C$7,Verweise!$B$2:$B$4542,B26)=1,"Feiertag",IF(C26="Samstag","",IF(C26="Sonntag","",Übersicht!$C$8)))</f>
        <v/>
      </c>
      <c r="E26" s="19"/>
      <c r="F26" s="19"/>
      <c r="G26" s="66"/>
      <c r="H26" s="19"/>
      <c r="I26" s="18" t="str">
        <f t="shared" si="2"/>
        <v/>
      </c>
      <c r="J26" s="39" t="str">
        <f>IF(Übersicht!$C$9="Ja",IF(OR(E26=""),"",I26-$M$2/5),IF(OR(E26="",F26=""),"",I26-$M$2/5))</f>
        <v/>
      </c>
      <c r="K26" s="10">
        <f t="shared" ca="1" si="3"/>
        <v>0</v>
      </c>
      <c r="V26" s="9">
        <v>1.59722222222222E-2</v>
      </c>
    </row>
    <row r="27" spans="1:22" x14ac:dyDescent="0.25">
      <c r="A27" s="51"/>
      <c r="B27" s="34">
        <f t="shared" si="4"/>
        <v>43885</v>
      </c>
      <c r="C27" s="1" t="str">
        <f t="shared" si="1"/>
        <v>Sonntag</v>
      </c>
      <c r="D27" s="21" t="str">
        <f>IF(COUNTIFS(Verweise!$A$2:$A$4542,Übersicht!$C$7,Verweise!$B$2:$B$4542,B27)=1,"Feiertag",IF(C27="Samstag","",IF(C27="Sonntag","",Übersicht!$C$8)))</f>
        <v/>
      </c>
      <c r="E27" s="19"/>
      <c r="F27" s="19"/>
      <c r="G27" s="66"/>
      <c r="H27" s="19"/>
      <c r="I27" s="18" t="str">
        <f t="shared" si="2"/>
        <v/>
      </c>
      <c r="J27" s="39" t="str">
        <f>IF(Übersicht!$C$9="Ja",IF(OR(E27=""),"",I27-$M$2/5),IF(OR(E27="",F27=""),"",I27-$M$2/5))</f>
        <v/>
      </c>
      <c r="K27" s="10">
        <f t="shared" ca="1" si="3"/>
        <v>0</v>
      </c>
      <c r="V27" s="9">
        <v>1.6666666666666701E-2</v>
      </c>
    </row>
    <row r="28" spans="1:22" x14ac:dyDescent="0.25">
      <c r="A28" s="51"/>
      <c r="B28" s="34">
        <f t="shared" si="4"/>
        <v>43886</v>
      </c>
      <c r="C28" s="1" t="str">
        <f t="shared" si="1"/>
        <v>Montag</v>
      </c>
      <c r="D28" s="21" t="str">
        <f>IF(COUNTIFS(Verweise!$A$2:$A$4542,Übersicht!$C$7,Verweise!$B$2:$B$4542,B28)=1,"Feiertag",IF(C28="Samstag","",IF(C28="Sonntag","",Übersicht!$C$8)))</f>
        <v>Büro</v>
      </c>
      <c r="E28" s="19"/>
      <c r="F28" s="19"/>
      <c r="G28" s="67"/>
      <c r="H28" s="19"/>
      <c r="I28" s="18" t="str">
        <f t="shared" si="2"/>
        <v/>
      </c>
      <c r="J28" s="39" t="str">
        <f>IF(Übersicht!$C$9="Ja",IF(OR(E28=""),"",I28-$M$2/5),IF(OR(E28="",F28=""),"",I28-$M$2/5))</f>
        <v/>
      </c>
      <c r="K28" s="10">
        <f t="shared" ca="1" si="3"/>
        <v>0</v>
      </c>
      <c r="V28" s="9">
        <v>1.7361111111111101E-2</v>
      </c>
    </row>
    <row r="29" spans="1:22" x14ac:dyDescent="0.25">
      <c r="A29" s="30"/>
      <c r="B29" s="34">
        <f t="shared" si="4"/>
        <v>43887</v>
      </c>
      <c r="C29" s="1" t="str">
        <f t="shared" si="1"/>
        <v>Dienstag</v>
      </c>
      <c r="D29" s="21" t="str">
        <f>IF(COUNTIFS(Verweise!$A$2:$A$4542,Übersicht!$C$7,Verweise!$B$2:$B$4542,B29)=1,"Feiertag",IF(C29="Samstag","",IF(C29="Sonntag","",Übersicht!$C$8)))</f>
        <v>Büro</v>
      </c>
      <c r="E29" s="19"/>
      <c r="F29" s="19"/>
      <c r="G29" s="66"/>
      <c r="H29" s="19"/>
      <c r="I29" s="18" t="str">
        <f t="shared" si="2"/>
        <v/>
      </c>
      <c r="J29" s="39" t="str">
        <f>IF(Übersicht!$C$9="Ja",IF(OR(E29=""),"",I29-$M$2/5),IF(OR(E29="",F29=""),"",I29-$M$2/5))</f>
        <v/>
      </c>
      <c r="K29" s="10">
        <f t="shared" ca="1" si="3"/>
        <v>0</v>
      </c>
      <c r="V29" s="9">
        <v>1.8055555555555599E-2</v>
      </c>
    </row>
    <row r="30" spans="1:22" x14ac:dyDescent="0.25">
      <c r="A30" s="30"/>
      <c r="B30" s="34">
        <f t="shared" si="4"/>
        <v>43888</v>
      </c>
      <c r="C30" s="1" t="str">
        <f t="shared" si="1"/>
        <v>Mittwoch</v>
      </c>
      <c r="D30" s="21" t="str">
        <f>IF(COUNTIFS(Verweise!$A$2:$A$4542,Übersicht!$C$7,Verweise!$B$2:$B$4542,B30)=1,"Feiertag",IF(C30="Samstag","",IF(C30="Sonntag","",Übersicht!$C$8)))</f>
        <v>Büro</v>
      </c>
      <c r="E30" s="19"/>
      <c r="F30" s="19"/>
      <c r="G30" s="67"/>
      <c r="H30" s="19"/>
      <c r="I30" s="18" t="str">
        <f t="shared" si="2"/>
        <v/>
      </c>
      <c r="J30" s="39" t="str">
        <f>IF(Übersicht!$C$9="Ja",IF(OR(E30=""),"",I30-$M$2/5),IF(OR(E30="",F30=""),"",I30-$M$2/5))</f>
        <v/>
      </c>
      <c r="K30" s="10">
        <f t="shared" ca="1" si="3"/>
        <v>0</v>
      </c>
      <c r="V30" s="9">
        <v>1.8749999999999999E-2</v>
      </c>
    </row>
    <row r="31" spans="1:22" x14ac:dyDescent="0.25">
      <c r="A31" s="30"/>
      <c r="V31" s="9">
        <v>1.94444444444444E-2</v>
      </c>
    </row>
    <row r="32" spans="1:22" hidden="1" x14ac:dyDescent="0.25">
      <c r="J32" s="39" t="str">
        <f>IF(Übersicht!$C$9="Ja",IF(OR(E32=""),"",I32-$M$2/5),IF(OR(E32="",F32=""),"",I32-$M$3/5))</f>
        <v/>
      </c>
    </row>
    <row r="33" spans="10:10" hidden="1" x14ac:dyDescent="0.25">
      <c r="J33" s="39" t="str">
        <f>IF(Übersicht!$C$9="Ja",IF(OR(E33=""),"",I33-$M$2/5),IF(OR(E33="",F33=""),"",I33-$M$3/5))</f>
        <v/>
      </c>
    </row>
  </sheetData>
  <conditionalFormatting sqref="B31:I33 B3:C30">
    <cfRule type="expression" dxfId="494" priority="71">
      <formula>OR($C3="Samstag",$C3="Sonntag",$D3="Feiertag")</formula>
    </cfRule>
    <cfRule type="expression" dxfId="493" priority="72">
      <formula>OR($D3="Frei",$D3="Urlaub")</formula>
    </cfRule>
    <cfRule type="expression" dxfId="492" priority="73">
      <formula>$D3="Krank"</formula>
    </cfRule>
  </conditionalFormatting>
  <conditionalFormatting sqref="E4:I30">
    <cfRule type="expression" dxfId="491" priority="60">
      <formula>OR($C4="Samstag",$C4="Sonntag",$D4="Feiertag")</formula>
    </cfRule>
    <cfRule type="expression" dxfId="490" priority="61">
      <formula>OR($D4="Frei",$D4="Urlaub")</formula>
    </cfRule>
    <cfRule type="expression" dxfId="489" priority="62">
      <formula>$D4="Krank"</formula>
    </cfRule>
  </conditionalFormatting>
  <conditionalFormatting sqref="D4:D9 D11:D30">
    <cfRule type="expression" dxfId="488" priority="44">
      <formula>OR($C4="Samstag",$C4="Sonntag",$D4="Feiertag")</formula>
    </cfRule>
    <cfRule type="expression" dxfId="487" priority="45">
      <formula>OR($D4="Frei",$D4="Urlaub")</formula>
    </cfRule>
    <cfRule type="expression" dxfId="486" priority="46">
      <formula>$D4="Krank"</formula>
    </cfRule>
  </conditionalFormatting>
  <conditionalFormatting sqref="E3:G3">
    <cfRule type="expression" dxfId="485" priority="36">
      <formula>OR($C3="Samstag",$C3="Sonntag",$D3="Feiertag")</formula>
    </cfRule>
    <cfRule type="expression" dxfId="484" priority="37">
      <formula>OR($D3="Frei",$D3="Urlaub")</formula>
    </cfRule>
    <cfRule type="expression" dxfId="483" priority="38">
      <formula>$D3="Krank"</formula>
    </cfRule>
  </conditionalFormatting>
  <conditionalFormatting sqref="H3:I3 I3:I30">
    <cfRule type="expression" dxfId="482" priority="33">
      <formula>OR($C3="Samstag",$C3="Sonntag",$D3="Feiertag")</formula>
    </cfRule>
    <cfRule type="expression" dxfId="481" priority="34">
      <formula>OR($D3="Frei",$D3="Urlaub")</formula>
    </cfRule>
    <cfRule type="expression" dxfId="480" priority="35">
      <formula>$D3="Krank"</formula>
    </cfRule>
  </conditionalFormatting>
  <conditionalFormatting sqref="J32:J33">
    <cfRule type="cellIs" dxfId="479" priority="15" operator="greaterThan">
      <formula>0</formula>
    </cfRule>
    <cfRule type="cellIs" dxfId="478" priority="16" operator="lessThan">
      <formula>0</formula>
    </cfRule>
    <cfRule type="expression" dxfId="477" priority="17">
      <formula>OR($C32="Samstag",$C32="Sonntag",$D32="Feiertag")</formula>
    </cfRule>
    <cfRule type="expression" dxfId="476" priority="18">
      <formula>OR($D32="Frei",$D32="Urlaub")</formula>
    </cfRule>
    <cfRule type="expression" dxfId="475" priority="19">
      <formula>$D32="Krank"</formula>
    </cfRule>
  </conditionalFormatting>
  <conditionalFormatting sqref="J31">
    <cfRule type="expression" dxfId="474" priority="12">
      <formula>OR($C31="Samstag",$C31="Sonntag",$D31="Feiertag")</formula>
    </cfRule>
    <cfRule type="expression" dxfId="473" priority="13">
      <formula>OR($D31="Frei",$D31="Urlaub")</formula>
    </cfRule>
    <cfRule type="expression" dxfId="472" priority="14">
      <formula>$D31="Krank"</formula>
    </cfRule>
  </conditionalFormatting>
  <conditionalFormatting sqref="D3">
    <cfRule type="expression" dxfId="471" priority="9">
      <formula>OR($C3="Samstag",$C3="Sonntag",$D3="Feiertag")</formula>
    </cfRule>
    <cfRule type="expression" dxfId="470" priority="10">
      <formula>OR($D3="Frei",$D3="Urlaub")</formula>
    </cfRule>
    <cfRule type="expression" dxfId="469" priority="11">
      <formula>$D3="Krank"</formula>
    </cfRule>
  </conditionalFormatting>
  <conditionalFormatting sqref="D10">
    <cfRule type="expression" dxfId="468" priority="6">
      <formula>OR($C10="Samstag",$C10="Sonntag",$D10="Feiertag")</formula>
    </cfRule>
    <cfRule type="expression" dxfId="467" priority="7">
      <formula>OR($D10="Frei",$D10="Urlaub")</formula>
    </cfRule>
    <cfRule type="expression" dxfId="466" priority="8">
      <formula>$D10="Krank"</formula>
    </cfRule>
  </conditionalFormatting>
  <conditionalFormatting sqref="J3:J30">
    <cfRule type="cellIs" dxfId="465" priority="1" operator="greaterThan">
      <formula>0</formula>
    </cfRule>
    <cfRule type="cellIs" dxfId="464" priority="2" operator="lessThan">
      <formula>0</formula>
    </cfRule>
    <cfRule type="expression" dxfId="463" priority="3">
      <formula>OR($C3="Samstag",$C3="Sonntag",$D3="Feiertag")</formula>
    </cfRule>
    <cfRule type="expression" dxfId="462" priority="4">
      <formula>OR($D3="Frei",$D3="Urlaub")</formula>
    </cfRule>
    <cfRule type="expression" dxfId="461" priority="5">
      <formula>$D3="Krank"</formula>
    </cfRule>
  </conditionalFormatting>
  <pageMargins left="0.7" right="0.7" top="0.78740157499999996" bottom="0.78740157499999996" header="0.3" footer="0.3"/>
  <pageSetup paperSize="9" orientation="portrait" r:id="rId1"/>
  <customProperties>
    <customPr name="ORB_SHEETNAM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TimeStampStart">
                <anchor moveWithCells="1" sizeWithCells="1">
                  <from>
                    <xdr:col>10</xdr:col>
                    <xdr:colOff>228600</xdr:colOff>
                    <xdr:row>7</xdr:row>
                    <xdr:rowOff>114300</xdr:rowOff>
                  </from>
                  <to>
                    <xdr:col>11</xdr:col>
                    <xdr:colOff>1428750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6" name="Button 29">
              <controlPr defaultSize="0" print="0" autoFill="0" autoPict="0" macro="[0]!TimeStampEnd">
                <anchor moveWithCells="1" sizeWithCells="1">
                  <from>
                    <xdr:col>11</xdr:col>
                    <xdr:colOff>1590675</xdr:colOff>
                    <xdr:row>7</xdr:row>
                    <xdr:rowOff>104775</xdr:rowOff>
                  </from>
                  <to>
                    <xdr:col>13</xdr:col>
                    <xdr:colOff>19050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7" name="Button 30">
              <controlPr defaultSize="0" print="0" autoFill="0" autoPict="0" macro="[0]!PauseStart">
                <anchor moveWithCells="1" sizeWithCells="1">
                  <from>
                    <xdr:col>10</xdr:col>
                    <xdr:colOff>228600</xdr:colOff>
                    <xdr:row>9</xdr:row>
                    <xdr:rowOff>152400</xdr:rowOff>
                  </from>
                  <to>
                    <xdr:col>11</xdr:col>
                    <xdr:colOff>1428750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8" name="Button 31">
              <controlPr defaultSize="0" print="0" autoFill="0" autoPict="0" macro="[0]!PauseEnd">
                <anchor moveWithCells="1" sizeWithCells="1">
                  <from>
                    <xdr:col>11</xdr:col>
                    <xdr:colOff>1590675</xdr:colOff>
                    <xdr:row>9</xdr:row>
                    <xdr:rowOff>142875</xdr:rowOff>
                  </from>
                  <to>
                    <xdr:col>13</xdr:col>
                    <xdr:colOff>19050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Verweise!$F$24:$F$30</xm:f>
          </x14:formula1>
          <xm:sqref>D3:D30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3"/>
  </sheetPr>
  <dimension ref="A1:U34"/>
  <sheetViews>
    <sheetView workbookViewId="0">
      <selection activeCell="L2" sqref="L2:M7"/>
    </sheetView>
  </sheetViews>
  <sheetFormatPr defaultColWidth="0" defaultRowHeight="15" zeroHeight="1" x14ac:dyDescent="0.25"/>
  <cols>
    <col min="1" max="1" width="2.7109375" style="7" customWidth="1"/>
    <col min="2" max="2" width="10.7109375" style="7" customWidth="1"/>
    <col min="3" max="3" width="11.5703125" style="7" customWidth="1"/>
    <col min="4" max="4" width="26.42578125" style="7" customWidth="1"/>
    <col min="5" max="5" width="14.42578125" style="7" customWidth="1"/>
    <col min="6" max="6" width="12.140625" style="7" customWidth="1"/>
    <col min="7" max="7" width="12.140625" style="55" customWidth="1"/>
    <col min="8" max="9" width="13.5703125" style="7" customWidth="1"/>
    <col min="10" max="10" width="14.28515625" style="7" customWidth="1"/>
    <col min="11" max="11" width="2.7109375" style="10" customWidth="1"/>
    <col min="12" max="12" width="33.7109375" style="7" bestFit="1" customWidth="1"/>
    <col min="13" max="13" width="11.42578125" style="7" customWidth="1"/>
    <col min="14" max="14" width="2.7109375" style="7" customWidth="1"/>
    <col min="15" max="21" width="0" style="7" hidden="1" customWidth="1"/>
    <col min="22" max="16384" width="11.42578125" style="7" hidden="1"/>
  </cols>
  <sheetData>
    <row r="1" spans="1:18" x14ac:dyDescent="0.25">
      <c r="B1" s="31"/>
      <c r="H1" s="53"/>
    </row>
    <row r="2" spans="1:18" ht="15.75" thickBot="1" x14ac:dyDescent="0.3">
      <c r="B2" s="16" t="s">
        <v>0</v>
      </c>
      <c r="C2" s="16" t="s">
        <v>1</v>
      </c>
      <c r="D2" s="16" t="s">
        <v>2</v>
      </c>
      <c r="E2" s="16" t="s">
        <v>3</v>
      </c>
      <c r="F2" s="16" t="s">
        <v>4</v>
      </c>
      <c r="G2" s="56" t="s">
        <v>81</v>
      </c>
      <c r="H2" s="54" t="s">
        <v>83</v>
      </c>
      <c r="I2" s="16" t="s">
        <v>5</v>
      </c>
      <c r="J2" s="16" t="s">
        <v>82</v>
      </c>
      <c r="L2" s="3" t="s">
        <v>6</v>
      </c>
      <c r="M2" s="6">
        <f>Übersicht!C2</f>
        <v>1.6666666666666667</v>
      </c>
      <c r="Q2" s="10" t="s">
        <v>30</v>
      </c>
      <c r="R2" s="10" t="s">
        <v>31</v>
      </c>
    </row>
    <row r="3" spans="1:18" x14ac:dyDescent="0.25">
      <c r="A3" s="51"/>
      <c r="B3" s="34">
        <f>("01.03."&amp;Übersicht!$C$6)*1</f>
        <v>43890</v>
      </c>
      <c r="C3" s="15" t="str">
        <f>TEXT(B3,"TTTT")</f>
        <v>Freitag</v>
      </c>
      <c r="D3" s="21" t="str">
        <f>IF(COUNTIFS(Verweise!$A$2:$A$4542,Übersicht!$C$7,Verweise!$B$2:$B$4542,B3)=1,"Feiertag",IF(C3="Samstag","",IF(C3="Sonntag","",Übersicht!$C$8)))</f>
        <v>Büro</v>
      </c>
      <c r="E3" s="17"/>
      <c r="F3" s="17"/>
      <c r="G3" s="57"/>
      <c r="H3" s="19"/>
      <c r="I3" s="18" t="str">
        <f t="shared" ref="I3" si="0">IF(E3="","",F3-E3-H3)</f>
        <v/>
      </c>
      <c r="J3" s="39" t="str">
        <f>IF(Übersicht!$C$9="Ja",IF(OR(E3=""),"",I3-$M$2/5),IF(OR(E3="",F3=""),"",I3-$M$2/5))</f>
        <v/>
      </c>
      <c r="K3" s="10">
        <f ca="1">IF(B3=TODAY(),ROW(),0)</f>
        <v>0</v>
      </c>
      <c r="L3" s="3" t="str">
        <f>"Ist Arbeitszeit im "&amp;TEXT(B3,"MMMM")</f>
        <v>Ist Arbeitszeit im März</v>
      </c>
      <c r="M3" s="29">
        <f>SUM(I3:I32)</f>
        <v>0</v>
      </c>
      <c r="P3" s="10" t="s">
        <v>24</v>
      </c>
    </row>
    <row r="4" spans="1:18" x14ac:dyDescent="0.25">
      <c r="A4" s="51"/>
      <c r="B4" s="34">
        <f>B3+1</f>
        <v>43891</v>
      </c>
      <c r="C4" s="1" t="str">
        <f t="shared" ref="C4:C33" si="1">TEXT(B4,"TTTT")</f>
        <v>Samstag</v>
      </c>
      <c r="D4" s="21" t="str">
        <f>IF(COUNTIFS(Verweise!$A$2:$A$4542,Übersicht!$C$7,Verweise!$B$2:$B$4542,B4)=1,"Feiertag",IF(C4="Samstag","",IF(C4="Sonntag","",Übersicht!$C$8)))</f>
        <v/>
      </c>
      <c r="E4" s="19"/>
      <c r="F4" s="19"/>
      <c r="G4" s="66"/>
      <c r="H4" s="19"/>
      <c r="I4" s="18" t="str">
        <f t="shared" ref="I4:I33" si="2">IF(E4="","",F4-E4-H4)</f>
        <v/>
      </c>
      <c r="J4" s="39" t="str">
        <f>IF(Übersicht!$C$9="Ja",IF(OR(E4=""),"",I4-$M$2/5),IF(OR(E4="",F4=""),"",I4-$M$2/5))</f>
        <v/>
      </c>
      <c r="K4" s="10">
        <f t="shared" ref="K4:K33" ca="1" si="3">IF(B4=TODAY(),ROW(),0)</f>
        <v>0</v>
      </c>
      <c r="L4" s="3" t="str">
        <f>"Wochen im "&amp;TEXT(B3,"MMMM")</f>
        <v>Wochen im März</v>
      </c>
      <c r="M4" s="2">
        <f>ROUND(COUNTA(C3:C33)/7,2)</f>
        <v>4.43</v>
      </c>
      <c r="P4" s="10" t="s">
        <v>25</v>
      </c>
    </row>
    <row r="5" spans="1:18" x14ac:dyDescent="0.25">
      <c r="A5" s="51"/>
      <c r="B5" s="34">
        <f t="shared" ref="B5:B33" si="4">B4+1*1</f>
        <v>43892</v>
      </c>
      <c r="C5" s="1" t="str">
        <f t="shared" si="1"/>
        <v>Sonntag</v>
      </c>
      <c r="D5" s="21" t="str">
        <f>IF(COUNTIFS(Verweise!$A$2:$A$4542,Übersicht!$C$7,Verweise!$B$2:$B$4542,B5)=1,"Feiertag",IF(C5="Samstag","",IF(C5="Sonntag","",Übersicht!$C$8)))</f>
        <v/>
      </c>
      <c r="E5" s="19"/>
      <c r="F5" s="19"/>
      <c r="G5" s="66"/>
      <c r="H5" s="19"/>
      <c r="I5" s="18" t="str">
        <f t="shared" si="2"/>
        <v/>
      </c>
      <c r="J5" s="39" t="str">
        <f>IF(Übersicht!$C$9="Ja",IF(OR(E5=""),"",I5-$M$2/5),IF(OR(E5="",F5=""),"",I5-$M$2/5))</f>
        <v/>
      </c>
      <c r="K5" s="10">
        <f t="shared" ca="1" si="3"/>
        <v>0</v>
      </c>
      <c r="L5" s="3" t="s">
        <v>32</v>
      </c>
      <c r="M5" s="29">
        <f>M4*M2-(SUM(A3:A32)*M2/7)</f>
        <v>7.3833333333333329</v>
      </c>
      <c r="P5" s="10" t="s">
        <v>26</v>
      </c>
    </row>
    <row r="6" spans="1:18" x14ac:dyDescent="0.25">
      <c r="A6" s="51"/>
      <c r="B6" s="34">
        <f t="shared" si="4"/>
        <v>43893</v>
      </c>
      <c r="C6" s="1" t="str">
        <f t="shared" si="1"/>
        <v>Montag</v>
      </c>
      <c r="D6" s="21" t="str">
        <f>IF(COUNTIFS(Verweise!$A$2:$A$4542,Übersicht!$C$7,Verweise!$B$2:$B$4542,B6)=1,"Feiertag",IF(C6="Samstag","",IF(C6="Sonntag","",Übersicht!$C$8)))</f>
        <v>Büro</v>
      </c>
      <c r="E6" s="19"/>
      <c r="F6" s="19"/>
      <c r="G6" s="66"/>
      <c r="H6" s="19"/>
      <c r="I6" s="18" t="str">
        <f t="shared" si="2"/>
        <v/>
      </c>
      <c r="J6" s="39" t="str">
        <f>IF(Übersicht!$C$9="Ja",IF(OR(E6=""),"",I6-$M$2/5),IF(OR(E6="",F6=""),"",I6-$M$2/5))</f>
        <v/>
      </c>
      <c r="K6" s="10">
        <f t="shared" ca="1" si="3"/>
        <v>0</v>
      </c>
      <c r="L6" s="3" t="str">
        <f>IF(M6&lt;0,"Minustunden","Überstunden")</f>
        <v>Überstunden</v>
      </c>
      <c r="M6" s="6">
        <f>SUM(J:J)</f>
        <v>0</v>
      </c>
      <c r="P6" s="10" t="s">
        <v>27</v>
      </c>
    </row>
    <row r="7" spans="1:18" x14ac:dyDescent="0.25">
      <c r="A7" s="51"/>
      <c r="B7" s="34">
        <f t="shared" si="4"/>
        <v>43894</v>
      </c>
      <c r="C7" s="1" t="str">
        <f t="shared" si="1"/>
        <v>Dienstag</v>
      </c>
      <c r="D7" s="21" t="str">
        <f>IF(COUNTIFS(Verweise!$A$2:$A$4542,Übersicht!$C$7,Verweise!$B$2:$B$4542,B7)=1,"Feiertag",IF(C7="Samstag","",IF(C7="Sonntag","",Übersicht!$C$8)))</f>
        <v>Büro</v>
      </c>
      <c r="E7" s="19"/>
      <c r="F7" s="19"/>
      <c r="G7" s="67"/>
      <c r="H7" s="19"/>
      <c r="I7" s="18" t="str">
        <f t="shared" si="2"/>
        <v/>
      </c>
      <c r="J7" s="39" t="str">
        <f>IF(Übersicht!$C$9="Ja",IF(OR(E7=""),"",I7-$M$2/5),IF(OR(E7="",F7=""),"",I7-$M$2/5))</f>
        <v/>
      </c>
      <c r="K7" s="10">
        <f t="shared" ca="1" si="3"/>
        <v>0</v>
      </c>
      <c r="L7" s="3" t="str">
        <f ca="1">IF(M7&lt;0,"Minustunden gesamt","Überstunden gesamt")</f>
        <v>Überstunden gesamt</v>
      </c>
      <c r="M7" s="6">
        <f ca="1">Übersicht!C26</f>
        <v>0</v>
      </c>
      <c r="P7" s="10" t="s">
        <v>28</v>
      </c>
    </row>
    <row r="8" spans="1:18" x14ac:dyDescent="0.25">
      <c r="A8" s="30"/>
      <c r="B8" s="34">
        <f t="shared" si="4"/>
        <v>43895</v>
      </c>
      <c r="C8" s="1" t="str">
        <f t="shared" si="1"/>
        <v>Mittwoch</v>
      </c>
      <c r="D8" s="21" t="str">
        <f>IF(COUNTIFS(Verweise!$A$2:$A$4542,Übersicht!$C$7,Verweise!$B$2:$B$4542,B8)=1,"Feiertag",IF(C8="Samstag","",IF(C8="Sonntag","",Übersicht!$C$8)))</f>
        <v>Büro</v>
      </c>
      <c r="E8" s="19"/>
      <c r="F8" s="19"/>
      <c r="G8" s="66"/>
      <c r="H8" s="19"/>
      <c r="I8" s="18" t="str">
        <f t="shared" si="2"/>
        <v/>
      </c>
      <c r="J8" s="39" t="str">
        <f>IF(Übersicht!$C$9="Ja",IF(OR(E8=""),"",I8-$M$2/5),IF(OR(E8="",F8=""),"",I8-$M$2/5))</f>
        <v/>
      </c>
      <c r="K8" s="10">
        <f t="shared" ca="1" si="3"/>
        <v>0</v>
      </c>
      <c r="P8" s="10" t="s">
        <v>29</v>
      </c>
    </row>
    <row r="9" spans="1:18" x14ac:dyDescent="0.25">
      <c r="A9" s="51"/>
      <c r="B9" s="34">
        <f t="shared" si="4"/>
        <v>43896</v>
      </c>
      <c r="C9" s="1" t="str">
        <f t="shared" si="1"/>
        <v>Donnerstag</v>
      </c>
      <c r="D9" s="21" t="str">
        <f>IF(COUNTIFS(Verweise!$A$2:$A$4542,Übersicht!$C$7,Verweise!$B$2:$B$4542,B9)=1,"Feiertag",IF(C9="Samstag","",IF(C9="Sonntag","",Übersicht!$C$8)))</f>
        <v>Büro</v>
      </c>
      <c r="E9" s="19"/>
      <c r="F9" s="19"/>
      <c r="G9" s="66"/>
      <c r="H9" s="19"/>
      <c r="I9" s="18" t="str">
        <f t="shared" si="2"/>
        <v/>
      </c>
      <c r="J9" s="39" t="str">
        <f>IF(Übersicht!$C$9="Ja",IF(OR(E9=""),"",I9-$M$2/5),IF(OR(E9="",F9=""),"",I9-$M$2/5))</f>
        <v/>
      </c>
      <c r="K9" s="10">
        <f t="shared" ca="1" si="3"/>
        <v>0</v>
      </c>
    </row>
    <row r="10" spans="1:18" x14ac:dyDescent="0.25">
      <c r="A10" s="51"/>
      <c r="B10" s="34">
        <f t="shared" si="4"/>
        <v>43897</v>
      </c>
      <c r="C10" s="1" t="str">
        <f t="shared" si="1"/>
        <v>Freitag</v>
      </c>
      <c r="D10" s="21" t="str">
        <f>IF(COUNTIFS(Verweise!$A$2:$A$4542,Übersicht!$C$7,Verweise!$B$2:$B$4542,B10)=1,"Feiertag",IF(C10="Samstag","",IF(C10="Sonntag","",Übersicht!$C$8)))</f>
        <v>Büro</v>
      </c>
      <c r="E10" s="19"/>
      <c r="F10" s="19"/>
      <c r="G10" s="66"/>
      <c r="H10" s="19"/>
      <c r="I10" s="18" t="str">
        <f t="shared" si="2"/>
        <v/>
      </c>
      <c r="J10" s="39" t="str">
        <f>IF(Übersicht!$C$9="Ja",IF(OR(E10=""),"",I10-$M$2/5),IF(OR(E10="",F10=""),"",I10-$M$2/5))</f>
        <v/>
      </c>
      <c r="K10" s="10">
        <f t="shared" ca="1" si="3"/>
        <v>0</v>
      </c>
    </row>
    <row r="11" spans="1:18" x14ac:dyDescent="0.25">
      <c r="A11" s="51"/>
      <c r="B11" s="34">
        <f t="shared" si="4"/>
        <v>43898</v>
      </c>
      <c r="C11" s="1" t="str">
        <f t="shared" si="1"/>
        <v>Samstag</v>
      </c>
      <c r="D11" s="21" t="str">
        <f>IF(COUNTIFS(Verweise!$A$2:$A$4542,Übersicht!$C$7,Verweise!$B$2:$B$4542,B11)=1,"Feiertag",IF(C11="Samstag","",IF(C11="Sonntag","",Übersicht!$C$8)))</f>
        <v/>
      </c>
      <c r="E11" s="19"/>
      <c r="F11" s="19"/>
      <c r="G11" s="66"/>
      <c r="H11" s="19"/>
      <c r="I11" s="18" t="str">
        <f t="shared" si="2"/>
        <v/>
      </c>
      <c r="J11" s="39" t="str">
        <f>IF(Übersicht!$C$9="Ja",IF(OR(E11=""),"",I11-$M$2/5),IF(OR(E11="",F11=""),"",I11-$M$2/5))</f>
        <v/>
      </c>
      <c r="K11" s="10">
        <f t="shared" ca="1" si="3"/>
        <v>0</v>
      </c>
    </row>
    <row r="12" spans="1:18" x14ac:dyDescent="0.25">
      <c r="A12" s="51"/>
      <c r="B12" s="34">
        <f t="shared" si="4"/>
        <v>43899</v>
      </c>
      <c r="C12" s="1" t="str">
        <f t="shared" si="1"/>
        <v>Sonntag</v>
      </c>
      <c r="D12" s="21" t="str">
        <f>IF(COUNTIFS(Verweise!$A$2:$A$4542,Übersicht!$C$7,Verweise!$B$2:$B$4542,B12)=1,"Feiertag",IF(C12="Samstag","",IF(C12="Sonntag","",Übersicht!$C$8)))</f>
        <v/>
      </c>
      <c r="E12" s="19"/>
      <c r="F12" s="19"/>
      <c r="G12" s="66"/>
      <c r="H12" s="19"/>
      <c r="I12" s="18" t="str">
        <f t="shared" si="2"/>
        <v/>
      </c>
      <c r="J12" s="39" t="str">
        <f>IF(Übersicht!$C$9="Ja",IF(OR(E12=""),"",I12-$M$2/5),IF(OR(E12="",F12=""),"",I12-$M$2/5))</f>
        <v/>
      </c>
      <c r="K12" s="10">
        <f t="shared" ca="1" si="3"/>
        <v>0</v>
      </c>
    </row>
    <row r="13" spans="1:18" x14ac:dyDescent="0.25">
      <c r="A13" s="51"/>
      <c r="B13" s="34">
        <f t="shared" si="4"/>
        <v>43900</v>
      </c>
      <c r="C13" s="1" t="str">
        <f t="shared" si="1"/>
        <v>Montag</v>
      </c>
      <c r="D13" s="21" t="str">
        <f>IF(COUNTIFS(Verweise!$A$2:$A$4542,Übersicht!$C$7,Verweise!$B$2:$B$4542,B13)=1,"Feiertag",IF(C13="Samstag","",IF(C13="Sonntag","",Übersicht!$C$8)))</f>
        <v>Büro</v>
      </c>
      <c r="E13" s="19"/>
      <c r="F13" s="19"/>
      <c r="G13" s="66"/>
      <c r="H13" s="19"/>
      <c r="I13" s="18" t="str">
        <f t="shared" si="2"/>
        <v/>
      </c>
      <c r="J13" s="39" t="str">
        <f>IF(Übersicht!$C$9="Ja",IF(OR(E13=""),"",I13-$M$2/5),IF(OR(E13="",F13=""),"",I13-$M$2/5))</f>
        <v/>
      </c>
      <c r="K13" s="10">
        <f t="shared" ca="1" si="3"/>
        <v>0</v>
      </c>
    </row>
    <row r="14" spans="1:18" x14ac:dyDescent="0.25">
      <c r="A14" s="51"/>
      <c r="B14" s="34">
        <f t="shared" si="4"/>
        <v>43901</v>
      </c>
      <c r="C14" s="1" t="str">
        <f t="shared" si="1"/>
        <v>Dienstag</v>
      </c>
      <c r="D14" s="21" t="str">
        <f>IF(COUNTIFS(Verweise!$A$2:$A$4542,Übersicht!$C$7,Verweise!$B$2:$B$4542,B14)=1,"Feiertag",IF(C14="Samstag","",IF(C14="Sonntag","",Übersicht!$C$8)))</f>
        <v>Büro</v>
      </c>
      <c r="E14" s="19"/>
      <c r="F14" s="19"/>
      <c r="G14" s="67"/>
      <c r="H14" s="19"/>
      <c r="I14" s="18" t="str">
        <f t="shared" si="2"/>
        <v/>
      </c>
      <c r="J14" s="39" t="str">
        <f>IF(Übersicht!$C$9="Ja",IF(OR(E14=""),"",I14-$M$2/5),IF(OR(E14="",F14=""),"",I14-$M$2/5))</f>
        <v/>
      </c>
      <c r="K14" s="10">
        <f t="shared" ca="1" si="3"/>
        <v>0</v>
      </c>
      <c r="L14" s="79" t="s">
        <v>85</v>
      </c>
      <c r="M14" s="22">
        <v>0.48541666666666666</v>
      </c>
    </row>
    <row r="15" spans="1:18" x14ac:dyDescent="0.25">
      <c r="A15" s="30"/>
      <c r="B15" s="34">
        <f t="shared" si="4"/>
        <v>43902</v>
      </c>
      <c r="C15" s="1" t="str">
        <f t="shared" si="1"/>
        <v>Mittwoch</v>
      </c>
      <c r="D15" s="21" t="str">
        <f>IF(COUNTIFS(Verweise!$A$2:$A$4542,Übersicht!$C$7,Verweise!$B$2:$B$4542,B15)=1,"Feiertag",IF(C15="Samstag","",IF(C15="Sonntag","",Übersicht!$C$8)))</f>
        <v>Büro</v>
      </c>
      <c r="E15" s="19"/>
      <c r="F15" s="19"/>
      <c r="G15" s="67"/>
      <c r="H15" s="19"/>
      <c r="I15" s="18" t="str">
        <f t="shared" si="2"/>
        <v/>
      </c>
      <c r="J15" s="39" t="str">
        <f>IF(Übersicht!$C$9="Ja",IF(OR(E15=""),"",I15-$M$2/5),IF(OR(E15="",F15=""),"",I15-$M$2/5))</f>
        <v/>
      </c>
      <c r="K15" s="10">
        <f t="shared" ca="1" si="3"/>
        <v>0</v>
      </c>
      <c r="L15" s="79" t="s">
        <v>86</v>
      </c>
      <c r="M15" s="22">
        <v>0.5444444444444444</v>
      </c>
    </row>
    <row r="16" spans="1:18" x14ac:dyDescent="0.25">
      <c r="A16" s="51"/>
      <c r="B16" s="34">
        <f t="shared" si="4"/>
        <v>43903</v>
      </c>
      <c r="C16" s="1" t="str">
        <f t="shared" si="1"/>
        <v>Donnerstag</v>
      </c>
      <c r="D16" s="21" t="str">
        <f>IF(COUNTIFS(Verweise!$A$2:$A$4542,Übersicht!$C$7,Verweise!$B$2:$B$4542,B16)=1,"Feiertag",IF(C16="Samstag","",IF(C16="Sonntag","",Übersicht!$C$8)))</f>
        <v>Büro</v>
      </c>
      <c r="E16" s="19"/>
      <c r="F16" s="19"/>
      <c r="G16" s="66"/>
      <c r="H16" s="19"/>
      <c r="I16" s="18" t="str">
        <f t="shared" si="2"/>
        <v/>
      </c>
      <c r="J16" s="39" t="str">
        <f>IF(Übersicht!$C$9="Ja",IF(OR(E16=""),"",I16-$M$2/5),IF(OR(E16="",F16=""),"",I16-$M$2/5))</f>
        <v/>
      </c>
      <c r="K16" s="10">
        <f t="shared" ca="1" si="3"/>
        <v>0</v>
      </c>
      <c r="M16" s="22"/>
    </row>
    <row r="17" spans="1:12" x14ac:dyDescent="0.25">
      <c r="A17" s="51"/>
      <c r="B17" s="34">
        <f t="shared" si="4"/>
        <v>43904</v>
      </c>
      <c r="C17" s="1" t="str">
        <f t="shared" si="1"/>
        <v>Freitag</v>
      </c>
      <c r="D17" s="21" t="str">
        <f>IF(COUNTIFS(Verweise!$A$2:$A$4542,Übersicht!$C$7,Verweise!$B$2:$B$4542,B17)=1,"Feiertag",IF(C17="Samstag","",IF(C17="Sonntag","",Übersicht!$C$8)))</f>
        <v>Büro</v>
      </c>
      <c r="E17" s="19"/>
      <c r="F17" s="19"/>
      <c r="G17" s="66"/>
      <c r="H17" s="19"/>
      <c r="I17" s="18" t="str">
        <f t="shared" si="2"/>
        <v/>
      </c>
      <c r="J17" s="39" t="str">
        <f>IF(Übersicht!$C$9="Ja",IF(OR(E17=""),"",I17-$M$2/5),IF(OR(E17="",F17=""),"",I17-$M$2/5))</f>
        <v/>
      </c>
      <c r="K17" s="10">
        <f t="shared" ca="1" si="3"/>
        <v>0</v>
      </c>
    </row>
    <row r="18" spans="1:12" x14ac:dyDescent="0.25">
      <c r="A18" s="51"/>
      <c r="B18" s="34">
        <f t="shared" si="4"/>
        <v>43905</v>
      </c>
      <c r="C18" s="1" t="str">
        <f t="shared" si="1"/>
        <v>Samstag</v>
      </c>
      <c r="D18" s="21" t="str">
        <f>IF(COUNTIFS(Verweise!$A$2:$A$4542,Übersicht!$C$7,Verweise!$B$2:$B$4542,B18)=1,"Feiertag",IF(C18="Samstag","",IF(C18="Sonntag","",Übersicht!$C$8)))</f>
        <v/>
      </c>
      <c r="E18" s="19"/>
      <c r="F18" s="19"/>
      <c r="G18" s="66"/>
      <c r="H18" s="19"/>
      <c r="I18" s="18" t="str">
        <f t="shared" si="2"/>
        <v/>
      </c>
      <c r="J18" s="39" t="str">
        <f>IF(Übersicht!$C$9="Ja",IF(OR(E18=""),"",I18-$M$2/5),IF(OR(E18="",F18=""),"",I18-$M$2/5))</f>
        <v/>
      </c>
      <c r="K18" s="10">
        <f t="shared" ca="1" si="3"/>
        <v>0</v>
      </c>
      <c r="L18" s="85"/>
    </row>
    <row r="19" spans="1:12" x14ac:dyDescent="0.25">
      <c r="A19" s="51"/>
      <c r="B19" s="34">
        <f t="shared" si="4"/>
        <v>43906</v>
      </c>
      <c r="C19" s="1" t="str">
        <f t="shared" si="1"/>
        <v>Sonntag</v>
      </c>
      <c r="D19" s="21" t="str">
        <f>IF(COUNTIFS(Verweise!$A$2:$A$4542,Übersicht!$C$7,Verweise!$B$2:$B$4542,B19)=1,"Feiertag",IF(C19="Samstag","",IF(C19="Sonntag","",Übersicht!$C$8)))</f>
        <v/>
      </c>
      <c r="E19" s="19"/>
      <c r="F19" s="19"/>
      <c r="G19" s="66"/>
      <c r="H19" s="19"/>
      <c r="I19" s="18" t="str">
        <f t="shared" si="2"/>
        <v/>
      </c>
      <c r="J19" s="39" t="str">
        <f>IF(Übersicht!$C$9="Ja",IF(OR(E19=""),"",I19-$M$2/5),IF(OR(E19="",F19=""),"",I19-$M$2/5))</f>
        <v/>
      </c>
      <c r="K19" s="10">
        <f t="shared" ca="1" si="3"/>
        <v>0</v>
      </c>
    </row>
    <row r="20" spans="1:12" x14ac:dyDescent="0.25">
      <c r="A20" s="51"/>
      <c r="B20" s="34">
        <f t="shared" si="4"/>
        <v>43907</v>
      </c>
      <c r="C20" s="1" t="str">
        <f t="shared" si="1"/>
        <v>Montag</v>
      </c>
      <c r="D20" s="21" t="str">
        <f>IF(COUNTIFS(Verweise!$A$2:$A$4542,Übersicht!$C$7,Verweise!$B$2:$B$4542,B20)=1,"Feiertag",IF(C20="Samstag","",IF(C20="Sonntag","",Übersicht!$C$8)))</f>
        <v>Büro</v>
      </c>
      <c r="E20" s="19"/>
      <c r="F20" s="19"/>
      <c r="G20" s="66"/>
      <c r="H20" s="19"/>
      <c r="I20" s="18" t="str">
        <f t="shared" si="2"/>
        <v/>
      </c>
      <c r="J20" s="39" t="str">
        <f>IF(Übersicht!$C$9="Ja",IF(OR(E20=""),"",I20-$M$2/5),IF(OR(E20="",F20=""),"",I20-$M$2/5))</f>
        <v/>
      </c>
      <c r="K20" s="10">
        <f t="shared" ca="1" si="3"/>
        <v>0</v>
      </c>
    </row>
    <row r="21" spans="1:12" x14ac:dyDescent="0.25">
      <c r="A21" s="51"/>
      <c r="B21" s="34">
        <f t="shared" si="4"/>
        <v>43908</v>
      </c>
      <c r="C21" s="1" t="str">
        <f t="shared" si="1"/>
        <v>Dienstag</v>
      </c>
      <c r="D21" s="21" t="str">
        <f>IF(COUNTIFS(Verweise!$A$2:$A$4542,Übersicht!$C$7,Verweise!$B$2:$B$4542,B21)=1,"Feiertag",IF(C21="Samstag","",IF(C21="Sonntag","",Übersicht!$C$8)))</f>
        <v>Büro</v>
      </c>
      <c r="E21" s="19"/>
      <c r="F21" s="19"/>
      <c r="G21" s="67"/>
      <c r="H21" s="19"/>
      <c r="I21" s="18" t="str">
        <f t="shared" si="2"/>
        <v/>
      </c>
      <c r="J21" s="39" t="str">
        <f>IF(Übersicht!$C$9="Ja",IF(OR(E21=""),"",I21-$M$2/5),IF(OR(E21="",F21=""),"",I21-$M$2/5))</f>
        <v/>
      </c>
      <c r="K21" s="10">
        <f t="shared" ca="1" si="3"/>
        <v>0</v>
      </c>
    </row>
    <row r="22" spans="1:12" x14ac:dyDescent="0.25">
      <c r="A22" s="30"/>
      <c r="B22" s="34">
        <f t="shared" si="4"/>
        <v>43909</v>
      </c>
      <c r="C22" s="1" t="str">
        <f t="shared" si="1"/>
        <v>Mittwoch</v>
      </c>
      <c r="D22" s="21" t="str">
        <f>IF(COUNTIFS(Verweise!$A$2:$A$4542,Übersicht!$C$7,Verweise!$B$2:$B$4542,B22)=1,"Feiertag",IF(C22="Samstag","",IF(C22="Sonntag","",Übersicht!$C$8)))</f>
        <v>Büro</v>
      </c>
      <c r="E22" s="19"/>
      <c r="F22" s="19"/>
      <c r="G22" s="66"/>
      <c r="H22" s="19"/>
      <c r="I22" s="18" t="str">
        <f t="shared" si="2"/>
        <v/>
      </c>
      <c r="J22" s="39" t="str">
        <f>IF(Übersicht!$C$9="Ja",IF(OR(E22=""),"",I22-$M$2/5),IF(OR(E22="",F22=""),"",I22-$M$2/5))</f>
        <v/>
      </c>
      <c r="K22" s="10">
        <f ca="1">IF(B22=TODAY(),ROW(),0)</f>
        <v>0</v>
      </c>
    </row>
    <row r="23" spans="1:12" x14ac:dyDescent="0.25">
      <c r="A23" s="51"/>
      <c r="B23" s="34">
        <f t="shared" si="4"/>
        <v>43910</v>
      </c>
      <c r="C23" s="1" t="str">
        <f t="shared" si="1"/>
        <v>Donnerstag</v>
      </c>
      <c r="D23" s="21" t="str">
        <f>IF(COUNTIFS(Verweise!$A$2:$A$4542,Übersicht!$C$7,Verweise!$B$2:$B$4542,B23)=1,"Feiertag",IF(C23="Samstag","",IF(C23="Sonntag","",Übersicht!$C$8)))</f>
        <v>Büro</v>
      </c>
      <c r="E23" s="19"/>
      <c r="F23" s="19"/>
      <c r="G23" s="66"/>
      <c r="H23" s="19"/>
      <c r="I23" s="18" t="str">
        <f t="shared" si="2"/>
        <v/>
      </c>
      <c r="J23" s="39" t="str">
        <f>IF(Übersicht!$C$9="Ja",IF(OR(E23=""),"",I23-$M$2/5),IF(OR(E23="",F23=""),"",I23-$M$2/5))</f>
        <v/>
      </c>
      <c r="K23" s="10">
        <f ca="1">IF(B23=TODAY(),ROW(),0)</f>
        <v>0</v>
      </c>
    </row>
    <row r="24" spans="1:12" x14ac:dyDescent="0.25">
      <c r="A24" s="51"/>
      <c r="B24" s="34">
        <f t="shared" si="4"/>
        <v>43911</v>
      </c>
      <c r="C24" s="1" t="str">
        <f t="shared" si="1"/>
        <v>Freitag</v>
      </c>
      <c r="D24" s="21" t="str">
        <f>IF(COUNTIFS(Verweise!$A$2:$A$4542,Übersicht!$C$7,Verweise!$B$2:$B$4542,B24)=1,"Feiertag",IF(C24="Samstag","",IF(C24="Sonntag","",Übersicht!$C$8)))</f>
        <v>Büro</v>
      </c>
      <c r="E24" s="19"/>
      <c r="F24" s="19"/>
      <c r="G24" s="66"/>
      <c r="H24" s="66"/>
      <c r="I24" s="18" t="str">
        <f t="shared" si="2"/>
        <v/>
      </c>
      <c r="J24" s="39" t="str">
        <f>IF(Übersicht!$C$9="Ja",IF(OR(E24=""),"",I24-$M$2/5),IF(OR(E24="",F24=""),"",I24-$M$2/5))</f>
        <v/>
      </c>
      <c r="K24" s="10">
        <f t="shared" ca="1" si="3"/>
        <v>0</v>
      </c>
    </row>
    <row r="25" spans="1:12" x14ac:dyDescent="0.25">
      <c r="A25" s="51"/>
      <c r="B25" s="34">
        <f t="shared" si="4"/>
        <v>43912</v>
      </c>
      <c r="C25" s="1" t="str">
        <f t="shared" si="1"/>
        <v>Samstag</v>
      </c>
      <c r="D25" s="21" t="str">
        <f>IF(COUNTIFS(Verweise!$A$2:$A$4542,Übersicht!$C$7,Verweise!$B$2:$B$4542,B25)=1,"Feiertag",IF(C25="Samstag","",IF(C25="Sonntag","",Übersicht!$C$8)))</f>
        <v/>
      </c>
      <c r="E25" s="19"/>
      <c r="F25" s="19"/>
      <c r="G25" s="66"/>
      <c r="H25" s="19"/>
      <c r="I25" s="18" t="str">
        <f t="shared" si="2"/>
        <v/>
      </c>
      <c r="J25" s="39" t="str">
        <f>IF(Übersicht!$C$9="Ja",IF(OR(E25=""),"",I25-$M$2/5),IF(OR(E25="",F25=""),"",I25-$M$2/5))</f>
        <v/>
      </c>
      <c r="K25" s="10">
        <f t="shared" ca="1" si="3"/>
        <v>0</v>
      </c>
    </row>
    <row r="26" spans="1:12" x14ac:dyDescent="0.25">
      <c r="A26" s="51"/>
      <c r="B26" s="34">
        <f t="shared" si="4"/>
        <v>43913</v>
      </c>
      <c r="C26" s="1" t="str">
        <f t="shared" si="1"/>
        <v>Sonntag</v>
      </c>
      <c r="D26" s="21" t="str">
        <f>IF(COUNTIFS(Verweise!$A$2:$A$4542,Übersicht!$C$7,Verweise!$B$2:$B$4542,B26)=1,"Feiertag",IF(C26="Samstag","",IF(C26="Sonntag","",Übersicht!$C$8)))</f>
        <v/>
      </c>
      <c r="E26" s="19"/>
      <c r="F26" s="19"/>
      <c r="G26" s="66"/>
      <c r="H26" s="19"/>
      <c r="I26" s="18" t="str">
        <f t="shared" si="2"/>
        <v/>
      </c>
      <c r="J26" s="39" t="str">
        <f>IF(Übersicht!$C$9="Ja",IF(OR(E26=""),"",I26-$M$2/5),IF(OR(E26="",F26=""),"",I26-$M$2/5))</f>
        <v/>
      </c>
      <c r="K26" s="10">
        <f t="shared" ca="1" si="3"/>
        <v>0</v>
      </c>
    </row>
    <row r="27" spans="1:12" x14ac:dyDescent="0.25">
      <c r="A27" s="51"/>
      <c r="B27" s="34">
        <f t="shared" si="4"/>
        <v>43914</v>
      </c>
      <c r="C27" s="1" t="str">
        <f t="shared" si="1"/>
        <v>Montag</v>
      </c>
      <c r="D27" s="21" t="str">
        <f>IF(COUNTIFS(Verweise!$A$2:$A$4542,Übersicht!$C$7,Verweise!$B$2:$B$4542,B27)=1,"Feiertag",IF(C27="Samstag","",IF(C27="Sonntag","",Übersicht!$C$8)))</f>
        <v>Büro</v>
      </c>
      <c r="E27" s="19"/>
      <c r="F27" s="19"/>
      <c r="G27" s="66"/>
      <c r="H27" s="19"/>
      <c r="I27" s="18" t="str">
        <f t="shared" si="2"/>
        <v/>
      </c>
      <c r="J27" s="39" t="str">
        <f>IF(Übersicht!$C$9="Ja",IF(OR(E27=""),"",I27-$M$2/5),IF(OR(E27="",F27=""),"",I27-$M$2/5))</f>
        <v/>
      </c>
      <c r="K27" s="10">
        <f t="shared" ca="1" si="3"/>
        <v>0</v>
      </c>
    </row>
    <row r="28" spans="1:12" x14ac:dyDescent="0.25">
      <c r="A28" s="51"/>
      <c r="B28" s="34">
        <f t="shared" si="4"/>
        <v>43915</v>
      </c>
      <c r="C28" s="1" t="str">
        <f t="shared" si="1"/>
        <v>Dienstag</v>
      </c>
      <c r="D28" s="21" t="str">
        <f>IF(COUNTIFS(Verweise!$A$2:$A$4542,Übersicht!$C$7,Verweise!$B$2:$B$4542,B28)=1,"Feiertag",IF(C28="Samstag","",IF(C28="Sonntag","",Übersicht!$C$8)))</f>
        <v>Büro</v>
      </c>
      <c r="E28" s="19"/>
      <c r="F28" s="19"/>
      <c r="G28" s="67"/>
      <c r="H28" s="19"/>
      <c r="I28" s="18" t="str">
        <f t="shared" si="2"/>
        <v/>
      </c>
      <c r="J28" s="39" t="str">
        <f>IF(Übersicht!$C$9="Ja",IF(OR(E28=""),"",I28-$M$2/5),IF(OR(E28="",F28=""),"",I28-$M$2/5))</f>
        <v/>
      </c>
      <c r="K28" s="10">
        <f t="shared" ca="1" si="3"/>
        <v>0</v>
      </c>
    </row>
    <row r="29" spans="1:12" x14ac:dyDescent="0.25">
      <c r="A29" s="30"/>
      <c r="B29" s="34">
        <f t="shared" si="4"/>
        <v>43916</v>
      </c>
      <c r="C29" s="1" t="str">
        <f t="shared" si="1"/>
        <v>Mittwoch</v>
      </c>
      <c r="D29" s="21" t="str">
        <f>IF(COUNTIFS(Verweise!$A$2:$A$4542,Übersicht!$C$7,Verweise!$B$2:$B$4542,B29)=1,"Feiertag",IF(C29="Samstag","",IF(C29="Sonntag","",Übersicht!$C$8)))</f>
        <v>Büro</v>
      </c>
      <c r="E29" s="19"/>
      <c r="F29" s="19"/>
      <c r="G29" s="66"/>
      <c r="H29" s="19"/>
      <c r="I29" s="18" t="str">
        <f t="shared" si="2"/>
        <v/>
      </c>
      <c r="J29" s="39" t="str">
        <f>IF(Übersicht!$C$9="Ja",IF(OR(E29=""),"",I29-$M$2/5),IF(OR(E29="",F29=""),"",I29-$M$2/5))</f>
        <v/>
      </c>
      <c r="K29" s="10">
        <f t="shared" ca="1" si="3"/>
        <v>0</v>
      </c>
    </row>
    <row r="30" spans="1:12" x14ac:dyDescent="0.25">
      <c r="A30" s="51"/>
      <c r="B30" s="34">
        <f t="shared" si="4"/>
        <v>43917</v>
      </c>
      <c r="C30" s="1" t="str">
        <f t="shared" si="1"/>
        <v>Donnerstag</v>
      </c>
      <c r="D30" s="21" t="str">
        <f>IF(COUNTIFS(Verweise!$A$2:$A$4542,Übersicht!$C$7,Verweise!$B$2:$B$4542,B30)=1,"Feiertag",IF(C30="Samstag","",IF(C30="Sonntag","",Übersicht!$C$8)))</f>
        <v>Büro</v>
      </c>
      <c r="E30" s="19"/>
      <c r="F30" s="19"/>
      <c r="G30" s="66"/>
      <c r="H30" s="19"/>
      <c r="I30" s="18" t="str">
        <f t="shared" si="2"/>
        <v/>
      </c>
      <c r="J30" s="39" t="str">
        <f>IF(Übersicht!$C$9="Ja",IF(OR(E30=""),"",I30-$M$2/5),IF(OR(E30="",F30=""),"",I30-$M$2/5))</f>
        <v/>
      </c>
      <c r="K30" s="10">
        <f t="shared" ca="1" si="3"/>
        <v>0</v>
      </c>
    </row>
    <row r="31" spans="1:12" x14ac:dyDescent="0.25">
      <c r="A31" s="51"/>
      <c r="B31" s="34">
        <f t="shared" si="4"/>
        <v>43918</v>
      </c>
      <c r="C31" s="1" t="str">
        <f t="shared" si="1"/>
        <v>Freitag</v>
      </c>
      <c r="D31" s="21" t="str">
        <f>IF(COUNTIFS(Verweise!$A$2:$A$4542,Übersicht!$C$7,Verweise!$B$2:$B$4542,B31)=1,"Feiertag",IF(C31="Samstag","",IF(C31="Sonntag","",Übersicht!$C$8)))</f>
        <v>Feiertag</v>
      </c>
      <c r="E31" s="19"/>
      <c r="F31" s="19"/>
      <c r="G31" s="66"/>
      <c r="H31" s="19"/>
      <c r="I31" s="18" t="str">
        <f t="shared" si="2"/>
        <v/>
      </c>
      <c r="J31" s="39" t="str">
        <f>IF(Übersicht!$C$9="Ja",IF(OR(E31=""),"",I31-$M$2/5),IF(OR(E31="",F31=""),"",I31-$M$2/5))</f>
        <v/>
      </c>
      <c r="K31" s="10">
        <f t="shared" ca="1" si="3"/>
        <v>0</v>
      </c>
    </row>
    <row r="32" spans="1:12" x14ac:dyDescent="0.25">
      <c r="A32" s="51"/>
      <c r="B32" s="34">
        <f t="shared" si="4"/>
        <v>43919</v>
      </c>
      <c r="C32" s="1" t="str">
        <f t="shared" si="1"/>
        <v>Samstag</v>
      </c>
      <c r="D32" s="21" t="str">
        <f>IF(COUNTIFS(Verweise!$A$2:$A$4542,Übersicht!$C$7,Verweise!$B$2:$B$4542,B32)=1,"Feiertag",IF(C32="Samstag","",IF(C32="Sonntag","",Übersicht!$C$8)))</f>
        <v/>
      </c>
      <c r="E32" s="19"/>
      <c r="F32" s="19"/>
      <c r="G32" s="66"/>
      <c r="H32" s="19"/>
      <c r="I32" s="18" t="str">
        <f t="shared" si="2"/>
        <v/>
      </c>
      <c r="J32" s="39" t="str">
        <f>IF(Übersicht!$C$9="Ja",IF(OR(E32=""),"",I32-$M$2/5),IF(OR(E32="",F32=""),"",I32-$M$2/5))</f>
        <v/>
      </c>
      <c r="K32" s="10">
        <f t="shared" ca="1" si="3"/>
        <v>0</v>
      </c>
    </row>
    <row r="33" spans="1:11" x14ac:dyDescent="0.25">
      <c r="A33" s="51"/>
      <c r="B33" s="34">
        <f t="shared" si="4"/>
        <v>43920</v>
      </c>
      <c r="C33" s="1" t="str">
        <f t="shared" si="1"/>
        <v>Sonntag</v>
      </c>
      <c r="D33" s="21" t="str">
        <f>IF(COUNTIFS(Verweise!$A$2:$A$4542,Übersicht!$C$7,Verweise!$B$2:$B$4542,B33)=1,"Feiertag",IF(C33="Samstag","",IF(C33="Sonntag","",Übersicht!$C$8)))</f>
        <v>Feiertag</v>
      </c>
      <c r="E33" s="19"/>
      <c r="F33" s="19"/>
      <c r="G33" s="66"/>
      <c r="H33" s="19"/>
      <c r="I33" s="18" t="str">
        <f t="shared" si="2"/>
        <v/>
      </c>
      <c r="J33" s="39" t="str">
        <f>IF(Übersicht!$C$9="Ja",IF(OR(E33=""),"",I33-$M$2/5),IF(OR(E33="",F33=""),"",I33-$M$2/5))</f>
        <v/>
      </c>
      <c r="K33" s="10">
        <f t="shared" ca="1" si="3"/>
        <v>0</v>
      </c>
    </row>
    <row r="34" spans="1:11" x14ac:dyDescent="0.25">
      <c r="A34" s="22"/>
    </row>
  </sheetData>
  <conditionalFormatting sqref="B4:C33 E31:I33 B3">
    <cfRule type="expression" dxfId="460" priority="86">
      <formula>OR($C3="Samstag",$C3="Sonntag",$D3="Feiertag")</formula>
    </cfRule>
    <cfRule type="expression" dxfId="459" priority="87">
      <formula>OR($D3="Frei",$D3="Urlaub")</formula>
    </cfRule>
    <cfRule type="expression" dxfId="458" priority="88">
      <formula>$D3="Krank"</formula>
    </cfRule>
  </conditionalFormatting>
  <conditionalFormatting sqref="E4:I33">
    <cfRule type="expression" dxfId="457" priority="70">
      <formula>OR($C4="Samstag",$C4="Sonntag",$D4="Feiertag")</formula>
    </cfRule>
    <cfRule type="expression" dxfId="456" priority="71">
      <formula>OR($D4="Frei",$D4="Urlaub")</formula>
    </cfRule>
    <cfRule type="expression" dxfId="455" priority="72">
      <formula>$D4="Krank"</formula>
    </cfRule>
  </conditionalFormatting>
  <conditionalFormatting sqref="D5:D32">
    <cfRule type="expression" dxfId="454" priority="54">
      <formula>OR($C5="Samstag",$C5="Sonntag",$D5="Feiertag")</formula>
    </cfRule>
    <cfRule type="expression" dxfId="453" priority="55">
      <formula>OR($D5="Frei",$D5="Urlaub")</formula>
    </cfRule>
    <cfRule type="expression" dxfId="452" priority="56">
      <formula>$D5="Krank"</formula>
    </cfRule>
  </conditionalFormatting>
  <conditionalFormatting sqref="C3">
    <cfRule type="expression" dxfId="451" priority="51">
      <formula>OR($C3="Samstag",$C3="Sonntag",$D3="Feiertag")</formula>
    </cfRule>
    <cfRule type="expression" dxfId="450" priority="52">
      <formula>OR($D3="Frei",$D3="Urlaub")</formula>
    </cfRule>
    <cfRule type="expression" dxfId="449" priority="53">
      <formula>$D3="Krank"</formula>
    </cfRule>
  </conditionalFormatting>
  <conditionalFormatting sqref="E3:G3">
    <cfRule type="expression" dxfId="448" priority="34">
      <formula>OR($C3="Samstag",$C3="Sonntag",$D3="Feiertag")</formula>
    </cfRule>
    <cfRule type="expression" dxfId="447" priority="35">
      <formula>OR($D3="Frei",$D3="Urlaub")</formula>
    </cfRule>
    <cfRule type="expression" dxfId="446" priority="36">
      <formula>$D3="Krank"</formula>
    </cfRule>
  </conditionalFormatting>
  <conditionalFormatting sqref="I3:I33">
    <cfRule type="expression" dxfId="445" priority="28">
      <formula>OR($C3="Samstag",$C3="Sonntag",$D3="Feiertag")</formula>
    </cfRule>
    <cfRule type="expression" dxfId="444" priority="29">
      <formula>OR($D3="Frei",$D3="Urlaub")</formula>
    </cfRule>
    <cfRule type="expression" dxfId="443" priority="30">
      <formula>$D3="Krank"</formula>
    </cfRule>
  </conditionalFormatting>
  <conditionalFormatting sqref="D3">
    <cfRule type="expression" dxfId="442" priority="20">
      <formula>OR($C3="Samstag",$C3="Sonntag",$D3="Feiertag")</formula>
    </cfRule>
    <cfRule type="expression" dxfId="441" priority="21">
      <formula>OR($D3="Frei",$D3="Urlaub")</formula>
    </cfRule>
    <cfRule type="expression" dxfId="440" priority="22">
      <formula>$D3="Krank"</formula>
    </cfRule>
  </conditionalFormatting>
  <conditionalFormatting sqref="D33">
    <cfRule type="expression" dxfId="439" priority="12">
      <formula>OR($C33="Samstag",$C33="Sonntag",$D33="Feiertag")</formula>
    </cfRule>
    <cfRule type="expression" dxfId="438" priority="13">
      <formula>OR($D33="Frei",$D33="Urlaub")</formula>
    </cfRule>
    <cfRule type="expression" dxfId="437" priority="14">
      <formula>$D33="Krank"</formula>
    </cfRule>
  </conditionalFormatting>
  <conditionalFormatting sqref="D4">
    <cfRule type="expression" dxfId="436" priority="9">
      <formula>OR($C4="Samstag",$C4="Sonntag",$D4="Feiertag")</formula>
    </cfRule>
    <cfRule type="expression" dxfId="435" priority="10">
      <formula>OR($D4="Frei",$D4="Urlaub")</formula>
    </cfRule>
    <cfRule type="expression" dxfId="434" priority="11">
      <formula>$D4="Krank"</formula>
    </cfRule>
  </conditionalFormatting>
  <conditionalFormatting sqref="H3">
    <cfRule type="expression" dxfId="433" priority="6">
      <formula>OR($C3="Samstag",$C3="Sonntag",$D3="Feiertag")</formula>
    </cfRule>
    <cfRule type="expression" dxfId="432" priority="7">
      <formula>OR($D3="Frei",$D3="Urlaub")</formula>
    </cfRule>
    <cfRule type="expression" dxfId="431" priority="8">
      <formula>$D3="Krank"</formula>
    </cfRule>
  </conditionalFormatting>
  <conditionalFormatting sqref="J3:J33">
    <cfRule type="cellIs" dxfId="430" priority="1" operator="greaterThan">
      <formula>0</formula>
    </cfRule>
    <cfRule type="cellIs" dxfId="429" priority="2" operator="lessThan">
      <formula>0</formula>
    </cfRule>
    <cfRule type="expression" dxfId="428" priority="3">
      <formula>OR($C3="Samstag",$C3="Sonntag",$D3="Feiertag")</formula>
    </cfRule>
    <cfRule type="expression" dxfId="427" priority="4">
      <formula>OR($D3="Frei",$D3="Urlaub")</formula>
    </cfRule>
    <cfRule type="expression" dxfId="426" priority="5">
      <formula>$D3="Krank"</formula>
    </cfRule>
  </conditionalFormatting>
  <pageMargins left="0.7" right="0.7" top="0.78740157499999996" bottom="0.78740157499999996" header="0.3" footer="0.3"/>
  <pageSetup paperSize="9" orientation="portrait" r:id="rId1"/>
  <customProperties>
    <customPr name="ORB_SHEETNAM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3" r:id="rId5" name="Button 15">
              <controlPr defaultSize="0" print="0" autoFill="0" autoPict="0" macro="[0]!TimeStampStart">
                <anchor moveWithCells="1" sizeWithCells="1">
                  <from>
                    <xdr:col>10</xdr:col>
                    <xdr:colOff>228600</xdr:colOff>
                    <xdr:row>7</xdr:row>
                    <xdr:rowOff>114300</xdr:rowOff>
                  </from>
                  <to>
                    <xdr:col>11</xdr:col>
                    <xdr:colOff>1428750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6" name="Button 16">
              <controlPr defaultSize="0" print="0" autoFill="0" autoPict="0" macro="[0]!TimeStampEnd">
                <anchor moveWithCells="1" sizeWithCells="1">
                  <from>
                    <xdr:col>11</xdr:col>
                    <xdr:colOff>1590675</xdr:colOff>
                    <xdr:row>7</xdr:row>
                    <xdr:rowOff>104775</xdr:rowOff>
                  </from>
                  <to>
                    <xdr:col>13</xdr:col>
                    <xdr:colOff>19050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7" name="Button 17">
              <controlPr defaultSize="0" print="0" autoFill="0" autoPict="0" macro="[0]!PauseStart">
                <anchor moveWithCells="1" sizeWithCells="1">
                  <from>
                    <xdr:col>10</xdr:col>
                    <xdr:colOff>228600</xdr:colOff>
                    <xdr:row>9</xdr:row>
                    <xdr:rowOff>152400</xdr:rowOff>
                  </from>
                  <to>
                    <xdr:col>11</xdr:col>
                    <xdr:colOff>1428750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Button 18">
              <controlPr defaultSize="0" print="0" autoFill="0" autoPict="0" macro="[0]!PauseEnd">
                <anchor moveWithCells="1" sizeWithCells="1">
                  <from>
                    <xdr:col>11</xdr:col>
                    <xdr:colOff>1590675</xdr:colOff>
                    <xdr:row>9</xdr:row>
                    <xdr:rowOff>142875</xdr:rowOff>
                  </from>
                  <to>
                    <xdr:col>13</xdr:col>
                    <xdr:colOff>19050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Verweise!$F$24:$F$30</xm:f>
          </x14:formula1>
          <xm:sqref>D3:D33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5">
    <tabColor theme="4" tint="0.79998168889431442"/>
  </sheetPr>
  <dimension ref="A1:R33"/>
  <sheetViews>
    <sheetView zoomScaleNormal="100" workbookViewId="0">
      <selection activeCell="L2" sqref="L2:M7"/>
    </sheetView>
  </sheetViews>
  <sheetFormatPr defaultColWidth="0" defaultRowHeight="15" zeroHeight="1" x14ac:dyDescent="0.25"/>
  <cols>
    <col min="1" max="1" width="2.7109375" style="7" customWidth="1"/>
    <col min="2" max="2" width="10.7109375" style="7" customWidth="1"/>
    <col min="3" max="3" width="11.5703125" style="7" customWidth="1"/>
    <col min="4" max="4" width="26.42578125" style="7" customWidth="1"/>
    <col min="5" max="5" width="14.42578125" style="7" customWidth="1"/>
    <col min="6" max="6" width="12.140625" style="7" customWidth="1"/>
    <col min="7" max="7" width="12.140625" style="55" customWidth="1"/>
    <col min="8" max="8" width="13.5703125" style="53" customWidth="1"/>
    <col min="9" max="9" width="13.5703125" style="7" customWidth="1"/>
    <col min="10" max="10" width="14.28515625" style="7" customWidth="1"/>
    <col min="11" max="11" width="2.7109375" style="7" customWidth="1"/>
    <col min="12" max="12" width="33.7109375" style="7" bestFit="1" customWidth="1"/>
    <col min="13" max="13" width="11.42578125" style="7" customWidth="1"/>
    <col min="14" max="14" width="2.7109375" style="7" customWidth="1"/>
    <col min="15" max="16384" width="11.42578125" style="7" hidden="1"/>
  </cols>
  <sheetData>
    <row r="1" spans="1:18" x14ac:dyDescent="0.25"/>
    <row r="2" spans="1:18" ht="15.75" thickBot="1" x14ac:dyDescent="0.3">
      <c r="B2" s="16" t="s">
        <v>0</v>
      </c>
      <c r="C2" s="16" t="s">
        <v>1</v>
      </c>
      <c r="D2" s="16" t="s">
        <v>2</v>
      </c>
      <c r="E2" s="16" t="s">
        <v>3</v>
      </c>
      <c r="F2" s="16" t="s">
        <v>4</v>
      </c>
      <c r="G2" s="56" t="s">
        <v>81</v>
      </c>
      <c r="H2" s="54" t="s">
        <v>83</v>
      </c>
      <c r="I2" s="16" t="s">
        <v>5</v>
      </c>
      <c r="J2" s="16" t="s">
        <v>82</v>
      </c>
      <c r="L2" s="3" t="s">
        <v>6</v>
      </c>
      <c r="M2" s="6">
        <f>Übersicht!C2</f>
        <v>1.6666666666666667</v>
      </c>
      <c r="Q2" s="10" t="s">
        <v>30</v>
      </c>
      <c r="R2" s="10" t="s">
        <v>31</v>
      </c>
    </row>
    <row r="3" spans="1:18" x14ac:dyDescent="0.25">
      <c r="A3" s="51"/>
      <c r="B3" s="32" t="str">
        <f>"01.04."&amp;Übersicht!$C$6</f>
        <v>01.04.2024</v>
      </c>
      <c r="C3" s="59" t="str">
        <f>TEXT(B3,"TTTT")</f>
        <v>Montag</v>
      </c>
      <c r="D3" s="21" t="str">
        <f>IF(COUNTIFS(Verweise!$A$2:$A$4542,Übersicht!$C$7,Verweise!$B$2:$B$4542,B3)=1,"Feiertag",IF(C3="Samstag","",IF(C3="Sonntag","",Übersicht!$C$8)))</f>
        <v>Feiertag</v>
      </c>
      <c r="E3" s="17"/>
      <c r="F3" s="17"/>
      <c r="G3" s="57"/>
      <c r="H3" s="52"/>
      <c r="I3" s="18" t="str">
        <f t="shared" ref="I3:I32" si="0">IF(E3="","",F3-E3-H3)</f>
        <v/>
      </c>
      <c r="J3" s="39" t="str">
        <f>IF(Übersicht!$C$9="Ja",IF(OR(E3=""),"",I3-$M$2/5),IF(OR(E3="",F3=""),"",I3-$M$2/5))</f>
        <v/>
      </c>
      <c r="K3" s="10">
        <v>3</v>
      </c>
      <c r="L3" s="3" t="str">
        <f>"Ist Arbeitszeit im "&amp;TEXT(B3,"MMMM")</f>
        <v>Ist Arbeitszeit im April</v>
      </c>
      <c r="M3" s="29">
        <f>SUM(I3:I32)</f>
        <v>0</v>
      </c>
      <c r="P3" s="10" t="s">
        <v>24</v>
      </c>
      <c r="R3" s="22"/>
    </row>
    <row r="4" spans="1:18" x14ac:dyDescent="0.25">
      <c r="A4" s="51"/>
      <c r="B4" s="34">
        <f>B3+1</f>
        <v>43922</v>
      </c>
      <c r="C4" s="59" t="str">
        <f t="shared" ref="C4:C32" si="1">TEXT(B4,"TTTT")</f>
        <v>Dienstag</v>
      </c>
      <c r="D4" s="21" t="str">
        <f>IF(COUNTIFS(Verweise!$A$2:$A$4542,Übersicht!$C$7,Verweise!$B$2:$B$4542,B4)=1,"Feiertag",IF(C4="Samstag","",IF(C4="Sonntag","",Übersicht!$C$8)))</f>
        <v>Büro</v>
      </c>
      <c r="E4" s="19"/>
      <c r="F4" s="19"/>
      <c r="G4" s="58"/>
      <c r="H4" s="52"/>
      <c r="I4" s="18" t="str">
        <f t="shared" si="0"/>
        <v/>
      </c>
      <c r="J4" s="39" t="str">
        <f>IF(Übersicht!$C$9="Ja",IF(OR(E4=""),"",I4-$M$2/5),IF(OR(E4="",F4=""),"",I4-$M$2/5))</f>
        <v/>
      </c>
      <c r="K4" s="10">
        <f t="shared" ref="K4:K32" ca="1" si="2">IF(B4=TODAY(),ROW(),0)</f>
        <v>0</v>
      </c>
      <c r="L4" s="3" t="str">
        <f>"Wochen im "&amp;TEXT(B3,"MMMM")</f>
        <v>Wochen im April</v>
      </c>
      <c r="M4" s="2">
        <f>ROUND(COUNTA(C3:C33)/7,2)</f>
        <v>4.29</v>
      </c>
      <c r="P4" s="10" t="s">
        <v>25</v>
      </c>
    </row>
    <row r="5" spans="1:18" x14ac:dyDescent="0.25">
      <c r="A5" s="30"/>
      <c r="B5" s="34">
        <f t="shared" ref="B5:B32" si="3">B4+1</f>
        <v>43923</v>
      </c>
      <c r="C5" s="59" t="str">
        <f t="shared" si="1"/>
        <v>Mittwoch</v>
      </c>
      <c r="D5" s="21" t="str">
        <f>IF(COUNTIFS(Verweise!$A$2:$A$4542,Übersicht!$C$7,Verweise!$B$2:$B$4542,B5)=1,"Feiertag",IF(C5="Samstag","",IF(C5="Sonntag","",Übersicht!$C$8)))</f>
        <v>Büro</v>
      </c>
      <c r="E5" s="19"/>
      <c r="F5" s="19"/>
      <c r="G5" s="57"/>
      <c r="H5" s="52"/>
      <c r="I5" s="18" t="str">
        <f t="shared" si="0"/>
        <v/>
      </c>
      <c r="J5" s="39" t="str">
        <f>IF(Übersicht!$C$9="Ja",IF(OR(E5=""),"",I5-$M$2/5),IF(OR(E5="",F5=""),"",I5-$M$2/5))</f>
        <v/>
      </c>
      <c r="K5" s="10">
        <f t="shared" ca="1" si="2"/>
        <v>0</v>
      </c>
      <c r="L5" s="3" t="s">
        <v>32</v>
      </c>
      <c r="M5" s="29">
        <f>M4*M2-(SUM(A3:A32)*M2/7)</f>
        <v>7.15</v>
      </c>
      <c r="P5" s="10" t="s">
        <v>26</v>
      </c>
    </row>
    <row r="6" spans="1:18" x14ac:dyDescent="0.25">
      <c r="A6" s="51"/>
      <c r="B6" s="34">
        <f t="shared" si="3"/>
        <v>43924</v>
      </c>
      <c r="C6" s="59" t="str">
        <f t="shared" si="1"/>
        <v>Donnerstag</v>
      </c>
      <c r="D6" s="21" t="str">
        <f>IF(COUNTIFS(Verweise!$A$2:$A$4542,Übersicht!$C$7,Verweise!$B$2:$B$4542,B6)=1,"Feiertag",IF(C6="Samstag","",IF(C6="Sonntag","",Übersicht!$C$8)))</f>
        <v>Büro</v>
      </c>
      <c r="E6" s="19"/>
      <c r="F6" s="19"/>
      <c r="G6" s="57"/>
      <c r="H6" s="52"/>
      <c r="I6" s="18" t="str">
        <f t="shared" si="0"/>
        <v/>
      </c>
      <c r="J6" s="39" t="str">
        <f>IF(Übersicht!$C$9="Ja",IF(OR(E6=""),"",I6-$M$2/5),IF(OR(E6="",F6=""),"",I6-$M$2/5))</f>
        <v/>
      </c>
      <c r="K6" s="10">
        <f t="shared" ca="1" si="2"/>
        <v>0</v>
      </c>
      <c r="L6" s="3" t="str">
        <f>IF(M6&lt;0,"Minustunden","Überstunden")</f>
        <v>Überstunden</v>
      </c>
      <c r="M6" s="6">
        <f>SUM(J:J)</f>
        <v>0</v>
      </c>
      <c r="P6" s="10" t="s">
        <v>27</v>
      </c>
    </row>
    <row r="7" spans="1:18" x14ac:dyDescent="0.25">
      <c r="A7" s="51"/>
      <c r="B7" s="34">
        <f t="shared" si="3"/>
        <v>43925</v>
      </c>
      <c r="C7" s="59" t="str">
        <f t="shared" si="1"/>
        <v>Freitag</v>
      </c>
      <c r="D7" s="21" t="str">
        <f>IF(COUNTIFS(Verweise!$A$2:$A$4542,Übersicht!$C$7,Verweise!$B$2:$B$4542,B7)=1,"Feiertag",IF(C7="Samstag","",IF(C7="Sonntag","",Übersicht!$C$8)))</f>
        <v>Büro</v>
      </c>
      <c r="E7" s="19"/>
      <c r="F7" s="19"/>
      <c r="G7" s="57"/>
      <c r="H7" s="52"/>
      <c r="I7" s="18" t="str">
        <f t="shared" si="0"/>
        <v/>
      </c>
      <c r="J7" s="39" t="str">
        <f>IF(Übersicht!$C$9="Ja",IF(OR(E7=""),"",I7-$M$2/5),IF(OR(E7="",F7=""),"",I7-$M$2/5))</f>
        <v/>
      </c>
      <c r="K7" s="10">
        <f t="shared" ca="1" si="2"/>
        <v>0</v>
      </c>
      <c r="L7" s="3" t="str">
        <f ca="1">IF(M7&lt;0,"Minustunden gesamt","Überstunden gesamt")</f>
        <v>Überstunden gesamt</v>
      </c>
      <c r="M7" s="6">
        <f ca="1">Übersicht!C26</f>
        <v>0</v>
      </c>
      <c r="P7" s="10" t="s">
        <v>28</v>
      </c>
    </row>
    <row r="8" spans="1:18" x14ac:dyDescent="0.25">
      <c r="A8" s="51"/>
      <c r="B8" s="34">
        <f t="shared" si="3"/>
        <v>43926</v>
      </c>
      <c r="C8" s="59" t="str">
        <f t="shared" si="1"/>
        <v>Samstag</v>
      </c>
      <c r="D8" s="21" t="str">
        <f>IF(COUNTIFS(Verweise!$A$2:$A$4542,Übersicht!$C$7,Verweise!$B$2:$B$4542,B8)=1,"Feiertag",IF(C8="Samstag","",IF(C8="Sonntag","",Übersicht!$C$8)))</f>
        <v/>
      </c>
      <c r="E8" s="19"/>
      <c r="F8" s="19"/>
      <c r="G8" s="57"/>
      <c r="H8" s="52"/>
      <c r="I8" s="18" t="str">
        <f t="shared" si="0"/>
        <v/>
      </c>
      <c r="J8" s="39" t="str">
        <f>IF(Übersicht!$C$9="Ja",IF(OR(E8=""),"",I8-$M$2/5),IF(OR(E8="",F8=""),"",I8-$M$2/5))</f>
        <v/>
      </c>
      <c r="K8" s="10">
        <f t="shared" ca="1" si="2"/>
        <v>0</v>
      </c>
      <c r="P8" s="10" t="s">
        <v>29</v>
      </c>
    </row>
    <row r="9" spans="1:18" x14ac:dyDescent="0.25">
      <c r="A9" s="51"/>
      <c r="B9" s="34">
        <f t="shared" si="3"/>
        <v>43927</v>
      </c>
      <c r="C9" s="59" t="str">
        <f t="shared" si="1"/>
        <v>Sonntag</v>
      </c>
      <c r="D9" s="21" t="str">
        <f>IF(COUNTIFS(Verweise!$A$2:$A$4542,Übersicht!$C$7,Verweise!$B$2:$B$4542,B9)=1,"Feiertag",IF(C9="Samstag","",IF(C9="Sonntag","",Übersicht!$C$8)))</f>
        <v/>
      </c>
      <c r="E9" s="19"/>
      <c r="F9" s="19"/>
      <c r="G9" s="57"/>
      <c r="H9" s="52"/>
      <c r="I9" s="18" t="str">
        <f t="shared" si="0"/>
        <v/>
      </c>
      <c r="J9" s="39" t="str">
        <f>IF(Übersicht!$C$9="Ja",IF(OR(E9=""),"",I9-$M$2/5),IF(OR(E9="",F9=""),"",I9-$M$2/5))</f>
        <v/>
      </c>
      <c r="K9" s="10">
        <f t="shared" ca="1" si="2"/>
        <v>0</v>
      </c>
    </row>
    <row r="10" spans="1:18" x14ac:dyDescent="0.25">
      <c r="A10" s="51"/>
      <c r="B10" s="34">
        <f t="shared" si="3"/>
        <v>43928</v>
      </c>
      <c r="C10" s="59" t="str">
        <f t="shared" si="1"/>
        <v>Montag</v>
      </c>
      <c r="D10" s="21" t="str">
        <f>IF(COUNTIFS(Verweise!$A$2:$A$4542,Übersicht!$C$7,Verweise!$B$2:$B$4542,B10)=1,"Feiertag",IF(C10="Samstag","",IF(C10="Sonntag","",Übersicht!$C$8)))</f>
        <v>Büro</v>
      </c>
      <c r="E10" s="19"/>
      <c r="F10" s="19"/>
      <c r="G10" s="57"/>
      <c r="H10" s="52"/>
      <c r="I10" s="18" t="str">
        <f t="shared" si="0"/>
        <v/>
      </c>
      <c r="J10" s="39" t="str">
        <f>IF(Übersicht!$C$9="Ja",IF(OR(E10=""),"",I10-$M$2/5),IF(OR(E10="",F10=""),"",I10-$M$2/5))</f>
        <v/>
      </c>
      <c r="K10" s="10">
        <f t="shared" ca="1" si="2"/>
        <v>0</v>
      </c>
    </row>
    <row r="11" spans="1:18" x14ac:dyDescent="0.25">
      <c r="A11" s="51"/>
      <c r="B11" s="34">
        <f t="shared" si="3"/>
        <v>43929</v>
      </c>
      <c r="C11" s="59" t="str">
        <f t="shared" si="1"/>
        <v>Dienstag</v>
      </c>
      <c r="D11" s="21" t="str">
        <f>IF(COUNTIFS(Verweise!$A$2:$A$4542,Übersicht!$C$7,Verweise!$B$2:$B$4542,B11)=1,"Feiertag",IF(C11="Samstag","",IF(C11="Sonntag","",Übersicht!$C$8)))</f>
        <v>Büro</v>
      </c>
      <c r="E11" s="19"/>
      <c r="F11" s="19"/>
      <c r="G11" s="57"/>
      <c r="H11" s="52"/>
      <c r="I11" s="18" t="str">
        <f t="shared" si="0"/>
        <v/>
      </c>
      <c r="J11" s="39" t="str">
        <f>IF(Übersicht!$C$9="Ja",IF(OR(E11=""),"",I11-$M$2/5),IF(OR(E11="",F11=""),"",I11-$M$2/5))</f>
        <v/>
      </c>
      <c r="K11" s="10">
        <f t="shared" ca="1" si="2"/>
        <v>0</v>
      </c>
    </row>
    <row r="12" spans="1:18" x14ac:dyDescent="0.25">
      <c r="A12" s="51"/>
      <c r="B12" s="34">
        <f t="shared" si="3"/>
        <v>43930</v>
      </c>
      <c r="C12" s="59" t="str">
        <f t="shared" si="1"/>
        <v>Mittwoch</v>
      </c>
      <c r="D12" s="21" t="str">
        <f>IF(COUNTIFS(Verweise!$A$2:$A$4542,Übersicht!$C$7,Verweise!$B$2:$B$4542,B12)=1,"Feiertag",IF(C12="Samstag","",IF(C12="Sonntag","",Übersicht!$C$8)))</f>
        <v>Büro</v>
      </c>
      <c r="E12" s="19"/>
      <c r="F12" s="19"/>
      <c r="G12" s="58"/>
      <c r="H12" s="52"/>
      <c r="I12" s="18" t="str">
        <f t="shared" si="0"/>
        <v/>
      </c>
      <c r="J12" s="39" t="str">
        <f>IF(Übersicht!$C$9="Ja",IF(OR(E12=""),"",I12-$M$2/5),IF(OR(E12="",F12=""),"",I12-$M$2/5))</f>
        <v/>
      </c>
      <c r="K12" s="10">
        <f t="shared" ca="1" si="2"/>
        <v>0</v>
      </c>
    </row>
    <row r="13" spans="1:18" x14ac:dyDescent="0.25">
      <c r="A13" s="51"/>
      <c r="B13" s="34">
        <f t="shared" si="3"/>
        <v>43931</v>
      </c>
      <c r="C13" s="59" t="str">
        <f t="shared" si="1"/>
        <v>Donnerstag</v>
      </c>
      <c r="D13" s="21" t="str">
        <f>IF(COUNTIFS(Verweise!$A$2:$A$4542,Übersicht!$C$7,Verweise!$B$2:$B$4542,B13)=1,"Feiertag",IF(C13="Samstag","",IF(C13="Sonntag","",Übersicht!$C$8)))</f>
        <v>Büro</v>
      </c>
      <c r="E13" s="19"/>
      <c r="F13" s="19"/>
      <c r="G13" s="57"/>
      <c r="H13" s="52"/>
      <c r="I13" s="18" t="str">
        <f t="shared" si="0"/>
        <v/>
      </c>
      <c r="J13" s="39" t="str">
        <f>IF(Übersicht!$C$9="Ja",IF(OR(E13=""),"",I13-$M$2/5),IF(OR(E13="",F13=""),"",I13-$M$2/5))</f>
        <v/>
      </c>
      <c r="K13" s="10">
        <f t="shared" ca="1" si="2"/>
        <v>0</v>
      </c>
    </row>
    <row r="14" spans="1:18" x14ac:dyDescent="0.25">
      <c r="A14" s="51"/>
      <c r="B14" s="34">
        <f t="shared" si="3"/>
        <v>43932</v>
      </c>
      <c r="C14" s="59" t="str">
        <f t="shared" si="1"/>
        <v>Freitag</v>
      </c>
      <c r="D14" s="21" t="str">
        <f>IF(COUNTIFS(Verweise!$A$2:$A$4542,Übersicht!$C$7,Verweise!$B$2:$B$4542,B14)=1,"Feiertag",IF(C14="Samstag","",IF(C14="Sonntag","",Übersicht!$C$8)))</f>
        <v>Büro</v>
      </c>
      <c r="E14" s="19"/>
      <c r="F14" s="19"/>
      <c r="G14" s="57"/>
      <c r="H14" s="52"/>
      <c r="I14" s="18" t="str">
        <f t="shared" si="0"/>
        <v/>
      </c>
      <c r="J14" s="39" t="str">
        <f>IF(Übersicht!$C$9="Ja",IF(OR(E14=""),"",I14-$M$2/5),IF(OR(E14="",F14=""),"",I14-$M$2/5))</f>
        <v/>
      </c>
      <c r="K14" s="10">
        <f t="shared" ca="1" si="2"/>
        <v>0</v>
      </c>
      <c r="L14" s="79" t="s">
        <v>85</v>
      </c>
      <c r="M14" s="22">
        <v>0.68125000000000002</v>
      </c>
    </row>
    <row r="15" spans="1:18" x14ac:dyDescent="0.25">
      <c r="A15" s="51"/>
      <c r="B15" s="34">
        <f t="shared" si="3"/>
        <v>43933</v>
      </c>
      <c r="C15" s="59" t="str">
        <f t="shared" si="1"/>
        <v>Samstag</v>
      </c>
      <c r="D15" s="21" t="str">
        <f>IF(COUNTIFS(Verweise!$A$2:$A$4542,Übersicht!$C$7,Verweise!$B$2:$B$4542,B15)=1,"Feiertag",IF(C15="Samstag","",IF(C15="Sonntag","",Übersicht!$C$8)))</f>
        <v/>
      </c>
      <c r="E15" s="19"/>
      <c r="F15" s="19"/>
      <c r="G15" s="57"/>
      <c r="H15" s="52"/>
      <c r="I15" s="18" t="str">
        <f t="shared" si="0"/>
        <v/>
      </c>
      <c r="J15" s="39" t="str">
        <f>IF(Übersicht!$C$9="Ja",IF(OR(E15=""),"",I15-$M$2/5),IF(OR(E15="",F15=""),"",I15-$M$2/5))</f>
        <v/>
      </c>
      <c r="K15" s="10">
        <f t="shared" ca="1" si="2"/>
        <v>0</v>
      </c>
      <c r="L15" s="79" t="s">
        <v>86</v>
      </c>
      <c r="M15" s="22">
        <v>0.74236111111111114</v>
      </c>
    </row>
    <row r="16" spans="1:18" x14ac:dyDescent="0.25">
      <c r="A16" s="51"/>
      <c r="B16" s="34">
        <f t="shared" si="3"/>
        <v>43934</v>
      </c>
      <c r="C16" s="59" t="str">
        <f t="shared" si="1"/>
        <v>Sonntag</v>
      </c>
      <c r="D16" s="21" t="str">
        <f>IF(COUNTIFS(Verweise!$A$2:$A$4542,Übersicht!$C$7,Verweise!$B$2:$B$4542,B16)=1,"Feiertag",IF(C16="Samstag","",IF(C16="Sonntag","",Übersicht!$C$8)))</f>
        <v/>
      </c>
      <c r="E16" s="19"/>
      <c r="F16" s="19"/>
      <c r="G16" s="57"/>
      <c r="H16" s="52"/>
      <c r="I16" s="18" t="str">
        <f t="shared" si="0"/>
        <v/>
      </c>
      <c r="J16" s="39" t="str">
        <f>IF(Übersicht!$C$9="Ja",IF(OR(E16=""),"",I16-$M$2/5),IF(OR(E16="",F16=""),"",I16-$M$2/5))</f>
        <v/>
      </c>
      <c r="K16" s="10">
        <f t="shared" ca="1" si="2"/>
        <v>0</v>
      </c>
    </row>
    <row r="17" spans="1:12" x14ac:dyDescent="0.25">
      <c r="A17" s="51"/>
      <c r="B17" s="34">
        <f t="shared" si="3"/>
        <v>43935</v>
      </c>
      <c r="C17" s="59" t="str">
        <f t="shared" si="1"/>
        <v>Montag</v>
      </c>
      <c r="D17" s="21" t="str">
        <f>IF(COUNTIFS(Verweise!$A$2:$A$4542,Übersicht!$C$7,Verweise!$B$2:$B$4542,B17)=1,"Feiertag",IF(C17="Samstag","",IF(C17="Sonntag","",Übersicht!$C$8)))</f>
        <v>Büro</v>
      </c>
      <c r="E17" s="19"/>
      <c r="F17" s="19"/>
      <c r="G17" s="58"/>
      <c r="H17" s="52"/>
      <c r="I17" s="18" t="str">
        <f t="shared" si="0"/>
        <v/>
      </c>
      <c r="J17" s="39" t="str">
        <f>IF(Übersicht!$C$9="Ja",IF(OR(E17=""),"",I17-$M$2/5),IF(OR(E17="",F17=""),"",I17-$M$2/5))</f>
        <v/>
      </c>
      <c r="K17" s="10">
        <f t="shared" ca="1" si="2"/>
        <v>0</v>
      </c>
    </row>
    <row r="18" spans="1:12" x14ac:dyDescent="0.25">
      <c r="A18" s="51"/>
      <c r="B18" s="34">
        <f t="shared" si="3"/>
        <v>43936</v>
      </c>
      <c r="C18" s="59" t="str">
        <f t="shared" si="1"/>
        <v>Dienstag</v>
      </c>
      <c r="D18" s="21" t="str">
        <f>IF(COUNTIFS(Verweise!$A$2:$A$4542,Übersicht!$C$7,Verweise!$B$2:$B$4542,B18)=1,"Feiertag",IF(C18="Samstag","",IF(C18="Sonntag","",Übersicht!$C$8)))</f>
        <v>Büro</v>
      </c>
      <c r="E18" s="19"/>
      <c r="F18" s="19"/>
      <c r="G18" s="57"/>
      <c r="H18" s="52"/>
      <c r="I18" s="18" t="str">
        <f t="shared" si="0"/>
        <v/>
      </c>
      <c r="J18" s="39" t="str">
        <f>IF(Übersicht!$C$9="Ja",IF(OR(E18=""),"",I18-$M$2/5),IF(OR(E18="",F18=""),"",I18-$M$2/5))</f>
        <v/>
      </c>
      <c r="K18" s="10">
        <f t="shared" ca="1" si="2"/>
        <v>0</v>
      </c>
    </row>
    <row r="19" spans="1:12" x14ac:dyDescent="0.25">
      <c r="A19" s="51"/>
      <c r="B19" s="34">
        <f t="shared" si="3"/>
        <v>43937</v>
      </c>
      <c r="C19" s="59" t="str">
        <f t="shared" si="1"/>
        <v>Mittwoch</v>
      </c>
      <c r="D19" s="21" t="str">
        <f>IF(COUNTIFS(Verweise!$A$2:$A$4542,Übersicht!$C$7,Verweise!$B$2:$B$4542,B19)=1,"Feiertag",IF(C19="Samstag","",IF(C19="Sonntag","",Übersicht!$C$8)))</f>
        <v>Büro</v>
      </c>
      <c r="E19" s="19"/>
      <c r="F19" s="19"/>
      <c r="G19" s="58"/>
      <c r="H19" s="52"/>
      <c r="I19" s="18" t="str">
        <f t="shared" si="0"/>
        <v/>
      </c>
      <c r="J19" s="39" t="str">
        <f>IF(Übersicht!$C$9="Ja",IF(OR(E19=""),"",I19-$M$2/5),IF(OR(E19="",F19=""),"",I19-$M$2/5))</f>
        <v/>
      </c>
      <c r="K19" s="10">
        <f t="shared" ca="1" si="2"/>
        <v>0</v>
      </c>
    </row>
    <row r="20" spans="1:12" x14ac:dyDescent="0.25">
      <c r="A20" s="30"/>
      <c r="B20" s="34">
        <f t="shared" si="3"/>
        <v>43938</v>
      </c>
      <c r="C20" s="59" t="str">
        <f t="shared" si="1"/>
        <v>Donnerstag</v>
      </c>
      <c r="D20" s="21" t="str">
        <f>IF(COUNTIFS(Verweise!$A$2:$A$4542,Übersicht!$C$7,Verweise!$B$2:$B$4542,B20)=1,"Feiertag",IF(C20="Samstag","",IF(C20="Sonntag","",Übersicht!$C$8)))</f>
        <v>Büro</v>
      </c>
      <c r="E20" s="19"/>
      <c r="F20" s="19"/>
      <c r="G20" s="58"/>
      <c r="H20" s="52"/>
      <c r="I20" s="18" t="str">
        <f t="shared" si="0"/>
        <v/>
      </c>
      <c r="J20" s="39" t="str">
        <f>IF(Übersicht!$C$9="Ja",IF(OR(E20=""),"",I20-$M$2/5),IF(OR(E20="",F20=""),"",I20-$M$2/5))</f>
        <v/>
      </c>
      <c r="K20" s="10">
        <f t="shared" ca="1" si="2"/>
        <v>0</v>
      </c>
    </row>
    <row r="21" spans="1:12" x14ac:dyDescent="0.25">
      <c r="A21" s="51"/>
      <c r="B21" s="34">
        <f t="shared" si="3"/>
        <v>43939</v>
      </c>
      <c r="C21" s="59" t="str">
        <f t="shared" si="1"/>
        <v>Freitag</v>
      </c>
      <c r="D21" s="21" t="str">
        <f>IF(COUNTIFS(Verweise!$A$2:$A$4542,Übersicht!$C$7,Verweise!$B$2:$B$4542,B21)=1,"Feiertag",IF(C21="Samstag","",IF(C21="Sonntag","",Übersicht!$C$8)))</f>
        <v>Büro</v>
      </c>
      <c r="E21" s="19"/>
      <c r="F21" s="19"/>
      <c r="G21" s="57"/>
      <c r="H21" s="52"/>
      <c r="I21" s="18" t="str">
        <f t="shared" si="0"/>
        <v/>
      </c>
      <c r="J21" s="39" t="str">
        <f>IF(Übersicht!$C$9="Ja",IF(OR(E21=""),"",I21-$M$2/5),IF(OR(E21="",F21=""),"",I21-$M$2/5))</f>
        <v/>
      </c>
      <c r="K21" s="10">
        <f t="shared" ca="1" si="2"/>
        <v>0</v>
      </c>
    </row>
    <row r="22" spans="1:12" x14ac:dyDescent="0.25">
      <c r="A22" s="51"/>
      <c r="B22" s="34">
        <f t="shared" si="3"/>
        <v>43940</v>
      </c>
      <c r="C22" s="59" t="str">
        <f t="shared" si="1"/>
        <v>Samstag</v>
      </c>
      <c r="D22" s="21" t="str">
        <f>IF(COUNTIFS(Verweise!$A$2:$A$4542,Übersicht!$C$7,Verweise!$B$2:$B$4542,B22)=1,"Feiertag",IF(C22="Samstag","",IF(C22="Sonntag","",Übersicht!$C$8)))</f>
        <v/>
      </c>
      <c r="E22" s="19"/>
      <c r="F22" s="19"/>
      <c r="G22" s="57"/>
      <c r="H22" s="52"/>
      <c r="I22" s="18" t="str">
        <f t="shared" si="0"/>
        <v/>
      </c>
      <c r="J22" s="39" t="str">
        <f>IF(Übersicht!$C$9="Ja",IF(OR(E22=""),"",I22-$M$2/5),IF(OR(E22="",F22=""),"",I22-$M$2/5))</f>
        <v/>
      </c>
      <c r="K22" s="10">
        <f t="shared" ca="1" si="2"/>
        <v>0</v>
      </c>
    </row>
    <row r="23" spans="1:12" x14ac:dyDescent="0.25">
      <c r="A23" s="51"/>
      <c r="B23" s="34">
        <f t="shared" si="3"/>
        <v>43941</v>
      </c>
      <c r="C23" s="59" t="str">
        <f t="shared" si="1"/>
        <v>Sonntag</v>
      </c>
      <c r="D23" s="21" t="str">
        <f>IF(COUNTIFS(Verweise!$A$2:$A$4542,Übersicht!$C$7,Verweise!$B$2:$B$4542,B23)=1,"Feiertag",IF(C23="Samstag","",IF(C23="Sonntag","",Übersicht!$C$8)))</f>
        <v/>
      </c>
      <c r="E23" s="19"/>
      <c r="F23" s="19"/>
      <c r="G23" s="57"/>
      <c r="H23" s="52"/>
      <c r="I23" s="18" t="str">
        <f t="shared" si="0"/>
        <v/>
      </c>
      <c r="J23" s="39" t="str">
        <f>IF(Übersicht!$C$9="Ja",IF(OR(E23=""),"",I23-$M$2/5),IF(OR(E23="",F23=""),"",I23-$M$2/5))</f>
        <v/>
      </c>
      <c r="K23" s="10">
        <f t="shared" ca="1" si="2"/>
        <v>0</v>
      </c>
    </row>
    <row r="24" spans="1:12" x14ac:dyDescent="0.25">
      <c r="A24" s="51"/>
      <c r="B24" s="34">
        <f t="shared" si="3"/>
        <v>43942</v>
      </c>
      <c r="C24" s="59" t="str">
        <f t="shared" si="1"/>
        <v>Montag</v>
      </c>
      <c r="D24" s="21" t="str">
        <f>IF(COUNTIFS(Verweise!$A$2:$A$4542,Übersicht!$C$7,Verweise!$B$2:$B$4542,B24)=1,"Feiertag",IF(C24="Samstag","",IF(C24="Sonntag","",Übersicht!$C$8)))</f>
        <v>Büro</v>
      </c>
      <c r="E24" s="19"/>
      <c r="F24" s="19"/>
      <c r="G24" s="57"/>
      <c r="H24" s="52"/>
      <c r="I24" s="18" t="str">
        <f t="shared" si="0"/>
        <v/>
      </c>
      <c r="J24" s="39" t="str">
        <f>IF(Übersicht!$C$9="Ja",IF(OR(E24=""),"",I24-$M$2/5),IF(OR(E24="",F24=""),"",I24-$M$2/5))</f>
        <v/>
      </c>
      <c r="K24" s="10">
        <f t="shared" ca="1" si="2"/>
        <v>0</v>
      </c>
    </row>
    <row r="25" spans="1:12" x14ac:dyDescent="0.25">
      <c r="A25" s="51"/>
      <c r="B25" s="34">
        <f t="shared" si="3"/>
        <v>43943</v>
      </c>
      <c r="C25" s="59" t="str">
        <f t="shared" si="1"/>
        <v>Dienstag</v>
      </c>
      <c r="D25" s="21" t="str">
        <f>IF(COUNTIFS(Verweise!$A$2:$A$4542,Übersicht!$C$7,Verweise!$B$2:$B$4542,B25)=1,"Feiertag",IF(C25="Samstag","",IF(C25="Sonntag","",Übersicht!$C$8)))</f>
        <v>Büro</v>
      </c>
      <c r="E25" s="19"/>
      <c r="F25" s="19"/>
      <c r="G25" s="57"/>
      <c r="H25" s="52"/>
      <c r="I25" s="18" t="str">
        <f t="shared" si="0"/>
        <v/>
      </c>
      <c r="J25" s="39" t="str">
        <f>IF(Übersicht!$C$9="Ja",IF(OR(E25=""),"",I25-$M$2/5),IF(OR(E25="",F25=""),"",I25-$M$2/5))</f>
        <v/>
      </c>
      <c r="K25" s="10">
        <f t="shared" ca="1" si="2"/>
        <v>0</v>
      </c>
    </row>
    <row r="26" spans="1:12" x14ac:dyDescent="0.25">
      <c r="A26" s="51"/>
      <c r="B26" s="34">
        <f t="shared" si="3"/>
        <v>43944</v>
      </c>
      <c r="C26" s="59" t="str">
        <f t="shared" si="1"/>
        <v>Mittwoch</v>
      </c>
      <c r="D26" s="21" t="str">
        <f>IF(COUNTIFS(Verweise!$A$2:$A$4542,Übersicht!$C$7,Verweise!$B$2:$B$4542,B26)=1,"Feiertag",IF(C26="Samstag","",IF(C26="Sonntag","",Übersicht!$C$8)))</f>
        <v>Büro</v>
      </c>
      <c r="E26" s="19"/>
      <c r="F26" s="19"/>
      <c r="G26" s="58"/>
      <c r="H26" s="52"/>
      <c r="I26" s="18" t="str">
        <f t="shared" si="0"/>
        <v/>
      </c>
      <c r="J26" s="39" t="str">
        <f>IF(Übersicht!$C$9="Ja",IF(OR(E26=""),"",I26-$M$2/5),IF(OR(E26="",F26=""),"",I26-$M$2/5))</f>
        <v/>
      </c>
      <c r="K26" s="10">
        <f t="shared" ca="1" si="2"/>
        <v>0</v>
      </c>
    </row>
    <row r="27" spans="1:12" x14ac:dyDescent="0.25">
      <c r="A27" s="51"/>
      <c r="B27" s="34">
        <f t="shared" si="3"/>
        <v>43945</v>
      </c>
      <c r="C27" s="59" t="str">
        <f t="shared" si="1"/>
        <v>Donnerstag</v>
      </c>
      <c r="D27" s="21" t="str">
        <f>IF(COUNTIFS(Verweise!$A$2:$A$4542,Übersicht!$C$7,Verweise!$B$2:$B$4542,B27)=1,"Feiertag",IF(C27="Samstag","",IF(C27="Sonntag","",Übersicht!$C$8)))</f>
        <v>Büro</v>
      </c>
      <c r="E27" s="19"/>
      <c r="F27" s="19"/>
      <c r="G27" s="57"/>
      <c r="H27" s="52"/>
      <c r="I27" s="18" t="str">
        <f t="shared" si="0"/>
        <v/>
      </c>
      <c r="J27" s="39" t="str">
        <f>IF(Übersicht!$C$9="Ja",IF(OR(E27=""),"",I27-$M$2/5),IF(OR(E27="",F27=""),"",I27-$M$2/5))</f>
        <v/>
      </c>
      <c r="K27" s="10">
        <f t="shared" ca="1" si="2"/>
        <v>0</v>
      </c>
    </row>
    <row r="28" spans="1:12" x14ac:dyDescent="0.25">
      <c r="A28" s="51"/>
      <c r="B28" s="34">
        <f t="shared" si="3"/>
        <v>43946</v>
      </c>
      <c r="C28" s="59" t="str">
        <f t="shared" si="1"/>
        <v>Freitag</v>
      </c>
      <c r="D28" s="21" t="str">
        <f>IF(COUNTIFS(Verweise!$A$2:$A$4542,Übersicht!$C$7,Verweise!$B$2:$B$4542,B28)=1,"Feiertag",IF(C28="Samstag","",IF(C28="Sonntag","",Übersicht!$C$8)))</f>
        <v>Büro</v>
      </c>
      <c r="E28" s="19"/>
      <c r="F28" s="19"/>
      <c r="G28" s="57"/>
      <c r="H28" s="52"/>
      <c r="I28" s="18" t="str">
        <f t="shared" si="0"/>
        <v/>
      </c>
      <c r="J28" s="39" t="str">
        <f>IF(Übersicht!$C$9="Ja",IF(OR(E28=""),"",I28-$M$2/5),IF(OR(E28="",F28=""),"",I28-$M$2/5))</f>
        <v/>
      </c>
      <c r="K28" s="10">
        <f t="shared" ca="1" si="2"/>
        <v>0</v>
      </c>
      <c r="L28" s="22"/>
    </row>
    <row r="29" spans="1:12" x14ac:dyDescent="0.25">
      <c r="A29" s="51"/>
      <c r="B29" s="34">
        <f t="shared" si="3"/>
        <v>43947</v>
      </c>
      <c r="C29" s="59" t="str">
        <f t="shared" si="1"/>
        <v>Samstag</v>
      </c>
      <c r="D29" s="21" t="str">
        <f>IF(COUNTIFS(Verweise!$A$2:$A$4542,Übersicht!$C$7,Verweise!$B$2:$B$4542,B29)=1,"Feiertag",IF(C29="Samstag","",IF(C29="Sonntag","",Übersicht!$C$8)))</f>
        <v/>
      </c>
      <c r="E29" s="19"/>
      <c r="F29" s="19"/>
      <c r="G29" s="57"/>
      <c r="H29" s="52"/>
      <c r="I29" s="18" t="str">
        <f t="shared" si="0"/>
        <v/>
      </c>
      <c r="J29" s="39" t="str">
        <f>IF(Übersicht!$C$9="Ja",IF(OR(E29=""),"",I29-$M$2/5),IF(OR(E29="",F29=""),"",I29-$M$2/5))</f>
        <v/>
      </c>
      <c r="K29" s="10">
        <f t="shared" ca="1" si="2"/>
        <v>0</v>
      </c>
      <c r="L29" s="22"/>
    </row>
    <row r="30" spans="1:12" x14ac:dyDescent="0.25">
      <c r="A30" s="51"/>
      <c r="B30" s="34">
        <f t="shared" si="3"/>
        <v>43948</v>
      </c>
      <c r="C30" s="59" t="str">
        <f t="shared" si="1"/>
        <v>Sonntag</v>
      </c>
      <c r="D30" s="21" t="str">
        <f>IF(COUNTIFS(Verweise!$A$2:$A$4542,Übersicht!$C$7,Verweise!$B$2:$B$4542,B30)=1,"Feiertag",IF(C30="Samstag","",IF(C30="Sonntag","",Übersicht!$C$8)))</f>
        <v/>
      </c>
      <c r="E30" s="19"/>
      <c r="F30" s="19"/>
      <c r="G30" s="57"/>
      <c r="H30" s="52"/>
      <c r="I30" s="18" t="str">
        <f t="shared" si="0"/>
        <v/>
      </c>
      <c r="J30" s="39" t="str">
        <f>IF(Übersicht!$C$9="Ja",IF(OR(E30=""),"",I30-$M$2/5),IF(OR(E30="",F30=""),"",I30-$M$2/5))</f>
        <v/>
      </c>
      <c r="K30" s="10">
        <f t="shared" ca="1" si="2"/>
        <v>0</v>
      </c>
      <c r="L30" s="22"/>
    </row>
    <row r="31" spans="1:12" x14ac:dyDescent="0.25">
      <c r="A31" s="51"/>
      <c r="B31" s="34">
        <f t="shared" si="3"/>
        <v>43949</v>
      </c>
      <c r="C31" s="59" t="str">
        <f t="shared" si="1"/>
        <v>Montag</v>
      </c>
      <c r="D31" s="21" t="str">
        <f>IF(COUNTIFS(Verweise!$A$2:$A$4542,Übersicht!$C$7,Verweise!$B$2:$B$4542,B31)=1,"Feiertag",IF(C31="Samstag","",IF(C31="Sonntag","",Übersicht!$C$8)))</f>
        <v>Büro</v>
      </c>
      <c r="E31" s="19"/>
      <c r="F31" s="19"/>
      <c r="G31" s="57"/>
      <c r="H31" s="52"/>
      <c r="I31" s="18" t="str">
        <f t="shared" si="0"/>
        <v/>
      </c>
      <c r="J31" s="39" t="str">
        <f>IF(Übersicht!$C$9="Ja",IF(OR(E31=""),"",I31-$M$2/5),IF(OR(E31="",F31=""),"",I31-$M$2/5))</f>
        <v/>
      </c>
      <c r="K31" s="10">
        <f t="shared" ca="1" si="2"/>
        <v>0</v>
      </c>
    </row>
    <row r="32" spans="1:12" x14ac:dyDescent="0.25">
      <c r="A32" s="51"/>
      <c r="B32" s="34">
        <f t="shared" si="3"/>
        <v>43950</v>
      </c>
      <c r="C32" s="59" t="str">
        <f t="shared" si="1"/>
        <v>Dienstag</v>
      </c>
      <c r="D32" s="21" t="str">
        <f>IF(COUNTIFS(Verweise!$A$2:$A$4542,Übersicht!$C$7,Verweise!$B$2:$B$4542,B32)=1,"Feiertag",IF(C32="Samstag","",IF(C32="Sonntag","",Übersicht!$C$8)))</f>
        <v>Büro</v>
      </c>
      <c r="E32" s="19"/>
      <c r="F32" s="19"/>
      <c r="G32" s="57"/>
      <c r="H32" s="52"/>
      <c r="I32" s="18" t="str">
        <f t="shared" si="0"/>
        <v/>
      </c>
      <c r="J32" s="39" t="str">
        <f>IF(Übersicht!$C$9="Ja",IF(OR(E32=""),"",I32-$M$2/5),IF(OR(E32="",F32=""),"",I32-$M$2/5))</f>
        <v/>
      </c>
      <c r="K32" s="10">
        <f t="shared" ca="1" si="2"/>
        <v>0</v>
      </c>
    </row>
    <row r="33" spans="1:1" x14ac:dyDescent="0.25">
      <c r="A33" s="51"/>
    </row>
  </sheetData>
  <conditionalFormatting sqref="B3:C32 E31:G32 B33:J33">
    <cfRule type="expression" dxfId="425" priority="81">
      <formula>OR($C3="Samstag",$C3="Sonntag",$D3="Feiertag")</formula>
    </cfRule>
    <cfRule type="expression" dxfId="424" priority="82">
      <formula>OR($D3="Frei",$D3="Urlaub")</formula>
    </cfRule>
    <cfRule type="expression" dxfId="423" priority="83">
      <formula>$D3="Krank"</formula>
    </cfRule>
  </conditionalFormatting>
  <conditionalFormatting sqref="E3:G32 G3:G33">
    <cfRule type="expression" dxfId="422" priority="43">
      <formula>OR($C3="Samstag",$C3="Sonntag",$D3="Feiertag")</formula>
    </cfRule>
    <cfRule type="expression" dxfId="421" priority="44">
      <formula>OR($D3="Frei",$D3="Urlaub")</formula>
    </cfRule>
    <cfRule type="expression" dxfId="420" priority="45">
      <formula>$D3="Krank"</formula>
    </cfRule>
  </conditionalFormatting>
  <conditionalFormatting sqref="D3:D21 D23:D32">
    <cfRule type="expression" dxfId="419" priority="22">
      <formula>OR($C3="Samstag",$C3="Sonntag",$D3="Feiertag")</formula>
    </cfRule>
    <cfRule type="expression" dxfId="418" priority="23">
      <formula>OR($D3="Frei",$D3="Urlaub")</formula>
    </cfRule>
    <cfRule type="expression" dxfId="417" priority="24">
      <formula>$D3="Krank"</formula>
    </cfRule>
  </conditionalFormatting>
  <conditionalFormatting sqref="H3:I32">
    <cfRule type="expression" dxfId="416" priority="19">
      <formula>OR($C3="Samstag",$C3="Sonntag",$D3="Feiertag")</formula>
    </cfRule>
    <cfRule type="expression" dxfId="415" priority="20">
      <formula>OR($D3="Frei",$D3="Urlaub")</formula>
    </cfRule>
    <cfRule type="expression" dxfId="414" priority="21">
      <formula>$D3="Krank"</formula>
    </cfRule>
  </conditionalFormatting>
  <conditionalFormatting sqref="D22">
    <cfRule type="expression" dxfId="413" priority="6">
      <formula>OR($C22="Samstag",$C22="Sonntag",$D22="Feiertag")</formula>
    </cfRule>
    <cfRule type="expression" dxfId="412" priority="7">
      <formula>OR($D22="Frei",$D22="Urlaub")</formula>
    </cfRule>
    <cfRule type="expression" dxfId="411" priority="8">
      <formula>$D22="Krank"</formula>
    </cfRule>
  </conditionalFormatting>
  <conditionalFormatting sqref="J3:J32">
    <cfRule type="cellIs" dxfId="410" priority="1" operator="greaterThan">
      <formula>0</formula>
    </cfRule>
    <cfRule type="cellIs" dxfId="409" priority="2" operator="lessThan">
      <formula>0</formula>
    </cfRule>
    <cfRule type="expression" dxfId="408" priority="3">
      <formula>OR($C3="Samstag",$C3="Sonntag",$D3="Feiertag")</formula>
    </cfRule>
    <cfRule type="expression" dxfId="407" priority="4">
      <formula>OR($D3="Frei",$D3="Urlaub")</formula>
    </cfRule>
    <cfRule type="expression" dxfId="406" priority="5">
      <formula>$D3="Krank"</formula>
    </cfRule>
  </conditionalFormatting>
  <pageMargins left="0.7" right="0.7" top="0.78740157499999996" bottom="0.78740157499999996" header="0.3" footer="0.3"/>
  <customProperties>
    <customPr name="ORB_SHEETNAME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7" r:id="rId4" name="Button 15">
              <controlPr defaultSize="0" print="0" autoFill="0" autoPict="0" macro="[0]!TimeStampStart">
                <anchor moveWithCells="1" sizeWithCells="1">
                  <from>
                    <xdr:col>10</xdr:col>
                    <xdr:colOff>228600</xdr:colOff>
                    <xdr:row>7</xdr:row>
                    <xdr:rowOff>114300</xdr:rowOff>
                  </from>
                  <to>
                    <xdr:col>11</xdr:col>
                    <xdr:colOff>1428750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5" name="Button 16">
              <controlPr defaultSize="0" print="0" autoFill="0" autoPict="0" macro="[0]!TimeStampEnd">
                <anchor moveWithCells="1" sizeWithCells="1">
                  <from>
                    <xdr:col>11</xdr:col>
                    <xdr:colOff>1590675</xdr:colOff>
                    <xdr:row>7</xdr:row>
                    <xdr:rowOff>104775</xdr:rowOff>
                  </from>
                  <to>
                    <xdr:col>13</xdr:col>
                    <xdr:colOff>19050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6" name="Button 17">
              <controlPr defaultSize="0" print="0" autoFill="0" autoPict="0" macro="[0]!PauseStart">
                <anchor moveWithCells="1" sizeWithCells="1">
                  <from>
                    <xdr:col>10</xdr:col>
                    <xdr:colOff>228600</xdr:colOff>
                    <xdr:row>9</xdr:row>
                    <xdr:rowOff>152400</xdr:rowOff>
                  </from>
                  <to>
                    <xdr:col>11</xdr:col>
                    <xdr:colOff>1428750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7" name="Button 18">
              <controlPr defaultSize="0" print="0" autoFill="0" autoPict="0" macro="[0]!PauseEnd">
                <anchor moveWithCells="1" sizeWithCells="1">
                  <from>
                    <xdr:col>11</xdr:col>
                    <xdr:colOff>1590675</xdr:colOff>
                    <xdr:row>9</xdr:row>
                    <xdr:rowOff>142875</xdr:rowOff>
                  </from>
                  <to>
                    <xdr:col>13</xdr:col>
                    <xdr:colOff>19050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500-000000000000}">
          <x14:formula1>
            <xm:f>Verweise!$F$24:$F$30</xm:f>
          </x14:formula1>
          <xm:sqref>D3:D32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6">
    <tabColor theme="3"/>
  </sheetPr>
  <dimension ref="A1:U34"/>
  <sheetViews>
    <sheetView zoomScaleNormal="100" workbookViewId="0">
      <selection activeCell="E10" sqref="E10:H10"/>
    </sheetView>
  </sheetViews>
  <sheetFormatPr defaultColWidth="0" defaultRowHeight="15" zeroHeight="1" x14ac:dyDescent="0.25"/>
  <cols>
    <col min="1" max="1" width="2.7109375" style="7" customWidth="1"/>
    <col min="2" max="2" width="10.7109375" style="60" customWidth="1"/>
    <col min="3" max="3" width="11.5703125" style="60" customWidth="1"/>
    <col min="4" max="4" width="26.42578125" style="60" customWidth="1"/>
    <col min="5" max="5" width="14.42578125" style="60" customWidth="1"/>
    <col min="6" max="7" width="12.140625" style="60" customWidth="1"/>
    <col min="8" max="9" width="13.5703125" style="60" customWidth="1"/>
    <col min="10" max="10" width="14.28515625" style="60" customWidth="1"/>
    <col min="11" max="11" width="2.7109375" style="7" customWidth="1"/>
    <col min="12" max="12" width="33.7109375" style="7" bestFit="1" customWidth="1"/>
    <col min="13" max="13" width="11.42578125" style="7" customWidth="1"/>
    <col min="14" max="14" width="2.7109375" style="7" customWidth="1"/>
    <col min="15" max="21" width="0" style="7" hidden="1" customWidth="1"/>
    <col min="22" max="16384" width="11.42578125" style="7" hidden="1"/>
  </cols>
  <sheetData>
    <row r="1" spans="1:18" x14ac:dyDescent="0.25">
      <c r="E1" s="61"/>
    </row>
    <row r="2" spans="1:18" ht="15.75" thickBot="1" x14ac:dyDescent="0.3">
      <c r="B2" s="62" t="s">
        <v>0</v>
      </c>
      <c r="C2" s="62" t="s">
        <v>1</v>
      </c>
      <c r="D2" s="62" t="s">
        <v>2</v>
      </c>
      <c r="E2" s="62" t="s">
        <v>3</v>
      </c>
      <c r="F2" s="62" t="s">
        <v>4</v>
      </c>
      <c r="G2" s="63" t="s">
        <v>81</v>
      </c>
      <c r="H2" s="64" t="s">
        <v>83</v>
      </c>
      <c r="I2" s="62" t="s">
        <v>5</v>
      </c>
      <c r="J2" s="62" t="s">
        <v>82</v>
      </c>
      <c r="L2" s="3" t="s">
        <v>6</v>
      </c>
      <c r="M2" s="6">
        <f>Übersicht!C2</f>
        <v>1.6666666666666667</v>
      </c>
      <c r="Q2" s="10" t="s">
        <v>30</v>
      </c>
      <c r="R2" s="10" t="s">
        <v>31</v>
      </c>
    </row>
    <row r="3" spans="1:18" x14ac:dyDescent="0.25">
      <c r="A3" s="30"/>
      <c r="B3" s="65" t="str">
        <f>"01.05."&amp;Übersicht!$C$6</f>
        <v>01.05.2024</v>
      </c>
      <c r="C3" s="59" t="str">
        <f>TEXT(B3,"TTTT")</f>
        <v>Mittwoch</v>
      </c>
      <c r="D3" s="21" t="str">
        <f>IF(COUNTIFS(Verweise!$A$2:$A$4542,Übersicht!$C$7,Verweise!$B$2:$B$4542,B3)=1,"Feiertag",IF(C3="Samstag","",IF(C3="Sonntag","",Übersicht!$C$8)))</f>
        <v>Feiertag</v>
      </c>
      <c r="E3" s="17"/>
      <c r="F3" s="17"/>
      <c r="G3" s="57"/>
      <c r="H3" s="52"/>
      <c r="I3" s="18" t="str">
        <f t="shared" ref="I3" si="0">IF(E3="","",F3-E3-H3)</f>
        <v/>
      </c>
      <c r="J3" s="39" t="str">
        <f>IF(Übersicht!$C$9="Ja",IF(OR(E3=""),"",I3-$M$2/5),IF(OR(E3="",F3=""),"",I3-$M$2/5))</f>
        <v/>
      </c>
      <c r="K3" s="10">
        <f t="shared" ref="K3:K32" ca="1" si="1">IF(B3=TODAY(),ROW(),0)</f>
        <v>0</v>
      </c>
      <c r="L3" s="3" t="str">
        <f>"Ist Arbeitszeit im "&amp;TEXT(B3,"MMMM")</f>
        <v>Ist Arbeitszeit im Mai</v>
      </c>
      <c r="M3" s="29">
        <f>SUM(I3:I32)</f>
        <v>0</v>
      </c>
      <c r="P3" s="10" t="s">
        <v>24</v>
      </c>
    </row>
    <row r="4" spans="1:18" x14ac:dyDescent="0.25">
      <c r="A4" s="30"/>
      <c r="B4" s="65">
        <f>B3+1</f>
        <v>43952</v>
      </c>
      <c r="C4" s="59" t="str">
        <f t="shared" ref="C4:C31" si="2">TEXT(B4,"TTTT")</f>
        <v>Donnerstag</v>
      </c>
      <c r="D4" s="21" t="str">
        <f>IF(COUNTIFS(Verweise!$A$2:$A$4542,Übersicht!$C$7,Verweise!$B$2:$B$4542,B4)=1,"Feiertag",IF(C4="Samstag","",IF(C4="Sonntag","",Übersicht!$C$8)))</f>
        <v>Büro</v>
      </c>
      <c r="E4" s="17"/>
      <c r="F4" s="17"/>
      <c r="G4" s="52"/>
      <c r="H4" s="52"/>
      <c r="I4" s="18" t="str">
        <f t="shared" ref="I4:I31" si="3">IF(E4="","",F4-E4-H4)</f>
        <v/>
      </c>
      <c r="J4" s="39" t="str">
        <f>IF(Übersicht!$C$9="Ja",IF(OR(E4=""),"",I4-$M$2/5),IF(OR(E4="",F4=""),"",I4-$M$2/5))</f>
        <v/>
      </c>
      <c r="K4" s="10">
        <f t="shared" ca="1" si="1"/>
        <v>0</v>
      </c>
      <c r="L4" s="3" t="str">
        <f>"Wochen im "&amp;TEXT(B3,"MMMM")</f>
        <v>Wochen im Mai</v>
      </c>
      <c r="M4" s="2">
        <f>ROUND(COUNTA(C3:C33)/7,2)</f>
        <v>4.43</v>
      </c>
      <c r="P4" s="10" t="s">
        <v>25</v>
      </c>
    </row>
    <row r="5" spans="1:18" x14ac:dyDescent="0.25">
      <c r="A5" s="51"/>
      <c r="B5" s="65">
        <f t="shared" ref="B5:B33" si="4">B4+1</f>
        <v>43953</v>
      </c>
      <c r="C5" s="59" t="str">
        <f t="shared" si="2"/>
        <v>Freitag</v>
      </c>
      <c r="D5" s="21" t="str">
        <f>IF(COUNTIFS(Verweise!$A$2:$A$4542,Übersicht!$C$7,Verweise!$B$2:$B$4542,B5)=1,"Feiertag",IF(C5="Samstag","",IF(C5="Sonntag","",Übersicht!$C$8)))</f>
        <v>Büro</v>
      </c>
      <c r="E5" s="17"/>
      <c r="F5" s="17"/>
      <c r="G5" s="57"/>
      <c r="H5" s="52"/>
      <c r="I5" s="18" t="str">
        <f t="shared" si="3"/>
        <v/>
      </c>
      <c r="J5" s="39" t="str">
        <f>IF(Übersicht!$C$9="Ja",IF(OR(E5=""),"",I5-$M$2/5),IF(OR(E5="",F5=""),"",I5-$M$2/5))</f>
        <v/>
      </c>
      <c r="K5" s="10">
        <f t="shared" ca="1" si="1"/>
        <v>0</v>
      </c>
      <c r="L5" s="3" t="s">
        <v>32</v>
      </c>
      <c r="M5" s="29">
        <f>M4*M2-(SUM(A3:A32)*M2/7)</f>
        <v>7.3833333333333329</v>
      </c>
      <c r="P5" s="10" t="s">
        <v>26</v>
      </c>
    </row>
    <row r="6" spans="1:18" x14ac:dyDescent="0.25">
      <c r="A6" s="51"/>
      <c r="B6" s="65">
        <f t="shared" si="4"/>
        <v>43954</v>
      </c>
      <c r="C6" s="59" t="str">
        <f t="shared" si="2"/>
        <v>Samstag</v>
      </c>
      <c r="D6" s="21" t="str">
        <f>IF(COUNTIFS(Verweise!$A$2:$A$4542,Übersicht!$C$7,Verweise!$B$2:$B$4542,B6)=1,"Feiertag",IF(C6="Samstag","",IF(C6="Sonntag","",Übersicht!$C$8)))</f>
        <v/>
      </c>
      <c r="E6" s="17"/>
      <c r="F6" s="17"/>
      <c r="G6" s="57"/>
      <c r="H6" s="52"/>
      <c r="I6" s="18" t="str">
        <f t="shared" si="3"/>
        <v/>
      </c>
      <c r="J6" s="39" t="str">
        <f>IF(Übersicht!$C$9="Ja",IF(OR(E6=""),"",I6-$M$2/5),IF(OR(E6="",F6=""),"",I6-$M$2/5))</f>
        <v/>
      </c>
      <c r="K6" s="10">
        <f t="shared" ca="1" si="1"/>
        <v>0</v>
      </c>
      <c r="L6" s="3" t="str">
        <f>IF(M6&lt;0,"Minustunden","Überstunden")</f>
        <v>Überstunden</v>
      </c>
      <c r="M6" s="6">
        <f>SUM(J:J)</f>
        <v>0</v>
      </c>
      <c r="P6" s="10" t="s">
        <v>27</v>
      </c>
    </row>
    <row r="7" spans="1:18" x14ac:dyDescent="0.25">
      <c r="A7" s="51"/>
      <c r="B7" s="65">
        <f t="shared" si="4"/>
        <v>43955</v>
      </c>
      <c r="C7" s="59" t="str">
        <f t="shared" si="2"/>
        <v>Sonntag</v>
      </c>
      <c r="D7" s="21" t="str">
        <f>IF(COUNTIFS(Verweise!$A$2:$A$4542,Übersicht!$C$7,Verweise!$B$2:$B$4542,B7)=1,"Feiertag",IF(C7="Samstag","",IF(C7="Sonntag","",Übersicht!$C$8)))</f>
        <v/>
      </c>
      <c r="E7" s="17"/>
      <c r="F7" s="17"/>
      <c r="G7" s="57"/>
      <c r="H7" s="52"/>
      <c r="I7" s="18" t="str">
        <f t="shared" si="3"/>
        <v/>
      </c>
      <c r="J7" s="39" t="str">
        <f>IF(Übersicht!$C$9="Ja",IF(OR(E7=""),"",I7-$M$2/5),IF(OR(E7="",F7=""),"",I7-$M$2/5))</f>
        <v/>
      </c>
      <c r="K7" s="10">
        <f t="shared" ca="1" si="1"/>
        <v>0</v>
      </c>
      <c r="L7" s="3" t="str">
        <f ca="1">IF(M7&lt;0,"Minustunden gesamt","Überstunden gesamt")</f>
        <v>Überstunden gesamt</v>
      </c>
      <c r="M7" s="6">
        <f ca="1">Übersicht!C26</f>
        <v>0</v>
      </c>
      <c r="P7" s="10" t="s">
        <v>28</v>
      </c>
    </row>
    <row r="8" spans="1:18" x14ac:dyDescent="0.25">
      <c r="A8" s="51"/>
      <c r="B8" s="65">
        <f t="shared" si="4"/>
        <v>43956</v>
      </c>
      <c r="C8" s="59" t="str">
        <f t="shared" si="2"/>
        <v>Montag</v>
      </c>
      <c r="D8" s="21" t="str">
        <f>IF(COUNTIFS(Verweise!$A$2:$A$4542,Übersicht!$C$7,Verweise!$B$2:$B$4542,B8)=1,"Feiertag",IF(C8="Samstag","",IF(C8="Sonntag","",Übersicht!$C$8)))</f>
        <v>Büro</v>
      </c>
      <c r="E8" s="17"/>
      <c r="F8" s="17"/>
      <c r="G8" s="57"/>
      <c r="H8" s="52"/>
      <c r="I8" s="18" t="str">
        <f t="shared" si="3"/>
        <v/>
      </c>
      <c r="J8" s="39" t="str">
        <f>IF(Übersicht!$C$9="Ja",IF(OR(E8=""),"",I8-$M$2/5),IF(OR(E8="",F8=""),"",I8-$M$2/5))</f>
        <v/>
      </c>
      <c r="K8" s="10">
        <f t="shared" ca="1" si="1"/>
        <v>0</v>
      </c>
      <c r="P8" s="10" t="s">
        <v>29</v>
      </c>
    </row>
    <row r="9" spans="1:18" x14ac:dyDescent="0.25">
      <c r="A9" s="51"/>
      <c r="B9" s="65">
        <f t="shared" si="4"/>
        <v>43957</v>
      </c>
      <c r="C9" s="59" t="str">
        <f t="shared" si="2"/>
        <v>Dienstag</v>
      </c>
      <c r="D9" s="21" t="str">
        <f>IF(COUNTIFS(Verweise!$A$2:$A$4542,Übersicht!$C$7,Verweise!$B$2:$B$4542,B9)=1,"Feiertag",IF(C9="Samstag","",IF(C9="Sonntag","",Übersicht!$C$8)))</f>
        <v>Büro</v>
      </c>
      <c r="E9" s="17"/>
      <c r="F9" s="17"/>
      <c r="G9" s="57"/>
      <c r="H9" s="52"/>
      <c r="I9" s="18" t="str">
        <f t="shared" si="3"/>
        <v/>
      </c>
      <c r="J9" s="39" t="str">
        <f>IF(Übersicht!$C$9="Ja",IF(OR(E9=""),"",I9-$M$2/5),IF(OR(E9="",F9=""),"",I9-$M$2/5))</f>
        <v/>
      </c>
      <c r="K9" s="10">
        <f t="shared" ca="1" si="1"/>
        <v>0</v>
      </c>
    </row>
    <row r="10" spans="1:18" x14ac:dyDescent="0.25">
      <c r="A10" s="51"/>
      <c r="B10" s="65">
        <f t="shared" si="4"/>
        <v>43958</v>
      </c>
      <c r="C10" s="59" t="str">
        <f t="shared" si="2"/>
        <v>Mittwoch</v>
      </c>
      <c r="D10" s="21" t="str">
        <f>IF(COUNTIFS(Verweise!$A$2:$A$4542,Übersicht!$C$7,Verweise!$B$2:$B$4542,B10)=1,"Feiertag",IF(C10="Samstag","",IF(C10="Sonntag","",Übersicht!$C$8)))</f>
        <v>Büro</v>
      </c>
      <c r="E10" s="17"/>
      <c r="F10" s="17"/>
      <c r="G10" s="57"/>
      <c r="H10" s="52"/>
      <c r="I10" s="18" t="str">
        <f t="shared" si="3"/>
        <v/>
      </c>
      <c r="J10" s="39" t="str">
        <f>IF(Übersicht!$C$9="Ja",IF(OR(E10=""),"",I10-$M$2/5),IF(OR(E10="",F10=""),"",I10-$M$2/5))</f>
        <v/>
      </c>
      <c r="K10" s="10">
        <f t="shared" ca="1" si="1"/>
        <v>0</v>
      </c>
    </row>
    <row r="11" spans="1:18" x14ac:dyDescent="0.25">
      <c r="A11" s="51"/>
      <c r="B11" s="65">
        <f t="shared" si="4"/>
        <v>43959</v>
      </c>
      <c r="C11" s="59" t="str">
        <f t="shared" si="2"/>
        <v>Donnerstag</v>
      </c>
      <c r="D11" s="21" t="str">
        <f>IF(COUNTIFS(Verweise!$A$2:$A$4542,Übersicht!$C$7,Verweise!$B$2:$B$4542,B11)=1,"Feiertag",IF(C11="Samstag","",IF(C11="Sonntag","",Übersicht!$C$8)))</f>
        <v>Feiertag</v>
      </c>
      <c r="E11" s="17"/>
      <c r="F11" s="17"/>
      <c r="G11" s="57"/>
      <c r="H11" s="52"/>
      <c r="I11" s="18" t="str">
        <f t="shared" si="3"/>
        <v/>
      </c>
      <c r="J11" s="39" t="str">
        <f>IF(Übersicht!$C$9="Ja",IF(OR(E11=""),"",I11-$M$2/5),IF(OR(E11="",F11=""),"",I11-$M$2/5))</f>
        <v/>
      </c>
      <c r="K11" s="10">
        <f t="shared" ca="1" si="1"/>
        <v>0</v>
      </c>
    </row>
    <row r="12" spans="1:18" x14ac:dyDescent="0.25">
      <c r="A12" s="51"/>
      <c r="B12" s="65">
        <f t="shared" si="4"/>
        <v>43960</v>
      </c>
      <c r="C12" s="59" t="str">
        <f t="shared" si="2"/>
        <v>Freitag</v>
      </c>
      <c r="D12" s="21" t="str">
        <f>IF(COUNTIFS(Verweise!$A$2:$A$4542,Übersicht!$C$7,Verweise!$B$2:$B$4542,B12)=1,"Feiertag",IF(C12="Samstag","",IF(C12="Sonntag","",Übersicht!$C$8)))</f>
        <v>Büro</v>
      </c>
      <c r="E12" s="17"/>
      <c r="F12" s="17"/>
      <c r="G12" s="57"/>
      <c r="H12" s="52"/>
      <c r="I12" s="18" t="str">
        <f t="shared" si="3"/>
        <v/>
      </c>
      <c r="J12" s="39" t="str">
        <f>IF(Übersicht!$C$9="Ja",IF(OR(E12=""),"",I12-$M$2/5),IF(OR(E12="",F12=""),"",I12-$M$2/5))</f>
        <v/>
      </c>
      <c r="K12" s="10">
        <f t="shared" ca="1" si="1"/>
        <v>0</v>
      </c>
    </row>
    <row r="13" spans="1:18" x14ac:dyDescent="0.25">
      <c r="A13" s="51"/>
      <c r="B13" s="65">
        <f t="shared" si="4"/>
        <v>43961</v>
      </c>
      <c r="C13" s="59" t="str">
        <f t="shared" si="2"/>
        <v>Samstag</v>
      </c>
      <c r="D13" s="21" t="str">
        <f>IF(COUNTIFS(Verweise!$A$2:$A$4542,Übersicht!$C$7,Verweise!$B$2:$B$4542,B13)=1,"Feiertag",IF(C13="Samstag","",IF(C13="Sonntag","",Übersicht!$C$8)))</f>
        <v/>
      </c>
      <c r="E13" s="17"/>
      <c r="F13" s="17"/>
      <c r="G13" s="57"/>
      <c r="H13" s="52"/>
      <c r="I13" s="18" t="str">
        <f t="shared" si="3"/>
        <v/>
      </c>
      <c r="J13" s="39" t="str">
        <f>IF(Übersicht!$C$9="Ja",IF(OR(E13=""),"",I13-$M$2/5),IF(OR(E13="",F13=""),"",I13-$M$2/5))</f>
        <v/>
      </c>
      <c r="K13" s="10">
        <f t="shared" ca="1" si="1"/>
        <v>0</v>
      </c>
    </row>
    <row r="14" spans="1:18" x14ac:dyDescent="0.25">
      <c r="A14" s="51"/>
      <c r="B14" s="65">
        <f t="shared" si="4"/>
        <v>43962</v>
      </c>
      <c r="C14" s="59" t="str">
        <f t="shared" si="2"/>
        <v>Sonntag</v>
      </c>
      <c r="D14" s="21" t="str">
        <f>IF(COUNTIFS(Verweise!$A$2:$A$4542,Übersicht!$C$7,Verweise!$B$2:$B$4542,B14)=1,"Feiertag",IF(C14="Samstag","",IF(C14="Sonntag","",Übersicht!$C$8)))</f>
        <v/>
      </c>
      <c r="E14" s="17"/>
      <c r="F14" s="17"/>
      <c r="G14" s="57"/>
      <c r="H14" s="52"/>
      <c r="I14" s="18" t="str">
        <f t="shared" si="3"/>
        <v/>
      </c>
      <c r="J14" s="39" t="str">
        <f>IF(Übersicht!$C$9="Ja",IF(OR(E14=""),"",I14-$M$2/5),IF(OR(E14="",F14=""),"",I14-$M$2/5))</f>
        <v/>
      </c>
      <c r="K14" s="10">
        <f t="shared" ca="1" si="1"/>
        <v>0</v>
      </c>
      <c r="L14" s="79" t="s">
        <v>85</v>
      </c>
      <c r="M14" s="22">
        <v>0.4993055555555555</v>
      </c>
    </row>
    <row r="15" spans="1:18" x14ac:dyDescent="0.25">
      <c r="A15" s="51"/>
      <c r="B15" s="65">
        <f t="shared" si="4"/>
        <v>43963</v>
      </c>
      <c r="C15" s="59" t="str">
        <f t="shared" si="2"/>
        <v>Montag</v>
      </c>
      <c r="D15" s="21" t="str">
        <f>IF(COUNTIFS(Verweise!$A$2:$A$4542,Übersicht!$C$7,Verweise!$B$2:$B$4542,B15)=1,"Feiertag",IF(C15="Samstag","",IF(C15="Sonntag","",Übersicht!$C$8)))</f>
        <v>Büro</v>
      </c>
      <c r="E15" s="17"/>
      <c r="F15" s="17"/>
      <c r="G15" s="57"/>
      <c r="H15" s="52"/>
      <c r="I15" s="18" t="str">
        <f t="shared" si="3"/>
        <v/>
      </c>
      <c r="J15" s="39" t="str">
        <f>IF(Übersicht!$C$9="Ja",IF(OR(E15=""),"",I15-$M$2/5),IF(OR(E15="",F15=""),"",I15-$M$2/5))</f>
        <v/>
      </c>
      <c r="K15" s="10">
        <f t="shared" ca="1" si="1"/>
        <v>0</v>
      </c>
      <c r="L15" s="79" t="s">
        <v>86</v>
      </c>
      <c r="M15" s="22">
        <v>0.54027777777777775</v>
      </c>
    </row>
    <row r="16" spans="1:18" x14ac:dyDescent="0.25">
      <c r="A16" s="51"/>
      <c r="B16" s="65">
        <f t="shared" si="4"/>
        <v>43964</v>
      </c>
      <c r="C16" s="59" t="str">
        <f t="shared" si="2"/>
        <v>Dienstag</v>
      </c>
      <c r="D16" s="21" t="str">
        <f>IF(COUNTIFS(Verweise!$A$2:$A$4542,Übersicht!$C$7,Verweise!$B$2:$B$4542,B16)=1,"Feiertag",IF(C16="Samstag","",IF(C16="Sonntag","",Übersicht!$C$8)))</f>
        <v>Büro</v>
      </c>
      <c r="E16" s="17"/>
      <c r="F16" s="17"/>
      <c r="G16" s="57"/>
      <c r="H16" s="52"/>
      <c r="I16" s="18" t="str">
        <f t="shared" si="3"/>
        <v/>
      </c>
      <c r="J16" s="39" t="str">
        <f>IF(Übersicht!$C$9="Ja",IF(OR(E16=""),"",I16-$M$2/5),IF(OR(E16="",F16=""),"",I16-$M$2/5))</f>
        <v/>
      </c>
      <c r="K16" s="10">
        <f t="shared" ca="1" si="1"/>
        <v>0</v>
      </c>
      <c r="M16" s="22">
        <f>M15-M14</f>
        <v>4.0972222222222243E-2</v>
      </c>
    </row>
    <row r="17" spans="1:13" x14ac:dyDescent="0.25">
      <c r="A17" s="51"/>
      <c r="B17" s="65">
        <f t="shared" si="4"/>
        <v>43965</v>
      </c>
      <c r="C17" s="59" t="str">
        <f t="shared" si="2"/>
        <v>Mittwoch</v>
      </c>
      <c r="D17" s="21" t="str">
        <f>IF(COUNTIFS(Verweise!$A$2:$A$4542,Übersicht!$C$7,Verweise!$B$2:$B$4542,B17)=1,"Feiertag",IF(C17="Samstag","",IF(C17="Sonntag","",Übersicht!$C$8)))</f>
        <v>Büro</v>
      </c>
      <c r="E17" s="17"/>
      <c r="F17" s="17"/>
      <c r="G17" s="57"/>
      <c r="H17" s="52"/>
      <c r="I17" s="18" t="str">
        <f t="shared" si="3"/>
        <v/>
      </c>
      <c r="J17" s="39" t="str">
        <f>IF(Übersicht!$C$9="Ja",IF(OR(E17=""),"",I17-$M$2/5),IF(OR(E17="",F17=""),"",I17-$M$2/5))</f>
        <v/>
      </c>
      <c r="K17" s="10">
        <f t="shared" ca="1" si="1"/>
        <v>0</v>
      </c>
      <c r="M17" s="22"/>
    </row>
    <row r="18" spans="1:13" x14ac:dyDescent="0.25">
      <c r="A18" s="30"/>
      <c r="B18" s="65">
        <f t="shared" si="4"/>
        <v>43966</v>
      </c>
      <c r="C18" s="59" t="str">
        <f t="shared" si="2"/>
        <v>Donnerstag</v>
      </c>
      <c r="D18" s="21" t="str">
        <f>IF(COUNTIFS(Verweise!$A$2:$A$4542,Übersicht!$C$7,Verweise!$B$2:$B$4542,B18)=1,"Feiertag",IF(C18="Samstag","",IF(C18="Sonntag","",Übersicht!$C$8)))</f>
        <v>Büro</v>
      </c>
      <c r="E18" s="17"/>
      <c r="F18" s="17"/>
      <c r="G18" s="57"/>
      <c r="H18" s="52"/>
      <c r="I18" s="18" t="str">
        <f t="shared" si="3"/>
        <v/>
      </c>
      <c r="J18" s="39" t="str">
        <f>IF(Übersicht!$C$9="Ja",IF(OR(E18=""),"",I18-$M$2/5),IF(OR(E18="",F18=""),"",I18-$M$2/5))</f>
        <v/>
      </c>
      <c r="K18" s="10">
        <f t="shared" ca="1" si="1"/>
        <v>0</v>
      </c>
      <c r="L18" s="10"/>
    </row>
    <row r="19" spans="1:13" x14ac:dyDescent="0.25">
      <c r="A19" s="51"/>
      <c r="B19" s="65">
        <f t="shared" si="4"/>
        <v>43967</v>
      </c>
      <c r="C19" s="59" t="str">
        <f t="shared" si="2"/>
        <v>Freitag</v>
      </c>
      <c r="D19" s="21" t="str">
        <f>IF(COUNTIFS(Verweise!$A$2:$A$4542,Übersicht!$C$7,Verweise!$B$2:$B$4542,B19)=1,"Feiertag",IF(C19="Samstag","",IF(C19="Sonntag","",Übersicht!$C$8)))</f>
        <v>Büro</v>
      </c>
      <c r="E19" s="17"/>
      <c r="F19" s="17"/>
      <c r="G19" s="57"/>
      <c r="H19" s="52"/>
      <c r="I19" s="18" t="str">
        <f t="shared" si="3"/>
        <v/>
      </c>
      <c r="J19" s="39" t="str">
        <f>IF(Übersicht!$C$9="Ja",IF(OR(E19=""),"",I19-$M$2/5),IF(OR(E19="",F19=""),"",I19-$M$2/5))</f>
        <v/>
      </c>
      <c r="K19" s="10" t="s">
        <v>93</v>
      </c>
    </row>
    <row r="20" spans="1:13" x14ac:dyDescent="0.25">
      <c r="A20" s="51"/>
      <c r="B20" s="65">
        <f t="shared" si="4"/>
        <v>43968</v>
      </c>
      <c r="C20" s="59" t="str">
        <f t="shared" si="2"/>
        <v>Samstag</v>
      </c>
      <c r="D20" s="21" t="str">
        <f>IF(COUNTIFS(Verweise!$A$2:$A$4542,Übersicht!$C$7,Verweise!$B$2:$B$4542,B20)=1,"Feiertag",IF(C20="Samstag","",IF(C20="Sonntag","",Übersicht!$C$8)))</f>
        <v/>
      </c>
      <c r="E20" s="17"/>
      <c r="F20" s="17"/>
      <c r="G20" s="57"/>
      <c r="H20" s="52"/>
      <c r="I20" s="18" t="str">
        <f t="shared" si="3"/>
        <v/>
      </c>
      <c r="J20" s="39" t="str">
        <f>IF(Übersicht!$C$9="Ja",IF(OR(E20=""),"",I20-$M$2/5),IF(OR(E20="",F20=""),"",I20-$M$2/5))</f>
        <v/>
      </c>
      <c r="K20" s="10">
        <f t="shared" ca="1" si="1"/>
        <v>0</v>
      </c>
    </row>
    <row r="21" spans="1:13" x14ac:dyDescent="0.25">
      <c r="A21" s="51"/>
      <c r="B21" s="65">
        <f t="shared" si="4"/>
        <v>43969</v>
      </c>
      <c r="C21" s="59" t="str">
        <f t="shared" si="2"/>
        <v>Sonntag</v>
      </c>
      <c r="D21" s="21" t="str">
        <f>IF(COUNTIFS(Verweise!$A$2:$A$4542,Übersicht!$C$7,Verweise!$B$2:$B$4542,B21)=1,"Feiertag",IF(C21="Samstag","",IF(C21="Sonntag","",Übersicht!$C$8)))</f>
        <v>Feiertag</v>
      </c>
      <c r="E21" s="17"/>
      <c r="F21" s="17"/>
      <c r="G21" s="57"/>
      <c r="H21" s="52"/>
      <c r="I21" s="18" t="str">
        <f t="shared" si="3"/>
        <v/>
      </c>
      <c r="J21" s="39" t="str">
        <f>IF(Übersicht!$C$9="Ja",IF(OR(E21=""),"",I21-$M$2/5),IF(OR(E21="",F21=""),"",I21-$M$2/5))</f>
        <v/>
      </c>
      <c r="K21" s="10">
        <f t="shared" ca="1" si="1"/>
        <v>0</v>
      </c>
    </row>
    <row r="22" spans="1:13" x14ac:dyDescent="0.25">
      <c r="A22" s="51"/>
      <c r="B22" s="65">
        <f t="shared" si="4"/>
        <v>43970</v>
      </c>
      <c r="C22" s="59" t="str">
        <f t="shared" si="2"/>
        <v>Montag</v>
      </c>
      <c r="D22" s="21" t="str">
        <f>IF(COUNTIFS(Verweise!$A$2:$A$4542,Übersicht!$C$7,Verweise!$B$2:$B$4542,B22)=1,"Feiertag",IF(C22="Samstag","",IF(C22="Sonntag","",Übersicht!$C$8)))</f>
        <v>Feiertag</v>
      </c>
      <c r="E22" s="17"/>
      <c r="F22" s="17"/>
      <c r="G22" s="57"/>
      <c r="H22" s="52"/>
      <c r="I22" s="18" t="str">
        <f t="shared" si="3"/>
        <v/>
      </c>
      <c r="J22" s="39" t="str">
        <f>IF(Übersicht!$C$9="Ja",IF(OR(E22=""),"",I22-$M$2/5),IF(OR(E22="",F22=""),"",I22-$M$2/5))</f>
        <v/>
      </c>
      <c r="K22" s="10">
        <f t="shared" ca="1" si="1"/>
        <v>0</v>
      </c>
    </row>
    <row r="23" spans="1:13" x14ac:dyDescent="0.25">
      <c r="A23" s="51"/>
      <c r="B23" s="65">
        <f t="shared" si="4"/>
        <v>43971</v>
      </c>
      <c r="C23" s="59" t="str">
        <f t="shared" si="2"/>
        <v>Dienstag</v>
      </c>
      <c r="D23" s="21" t="str">
        <f>IF(COUNTIFS(Verweise!$A$2:$A$4542,Übersicht!$C$7,Verweise!$B$2:$B$4542,B23)=1,"Feiertag",IF(C23="Samstag","",IF(C23="Sonntag","",Übersicht!$C$8)))</f>
        <v>Büro</v>
      </c>
      <c r="E23" s="17"/>
      <c r="F23" s="17"/>
      <c r="G23" s="57"/>
      <c r="H23" s="52"/>
      <c r="I23" s="18" t="str">
        <f t="shared" si="3"/>
        <v/>
      </c>
      <c r="J23" s="39" t="str">
        <f>IF(Übersicht!$C$9="Ja",IF(OR(E23=""),"",I23-$M$2/5),IF(OR(E23="",F23=""),"",I23-$M$2/5))</f>
        <v/>
      </c>
      <c r="K23" s="10">
        <f t="shared" ca="1" si="1"/>
        <v>0</v>
      </c>
    </row>
    <row r="24" spans="1:13" x14ac:dyDescent="0.25">
      <c r="A24" s="30"/>
      <c r="B24" s="65">
        <f t="shared" si="4"/>
        <v>43972</v>
      </c>
      <c r="C24" s="59" t="str">
        <f t="shared" si="2"/>
        <v>Mittwoch</v>
      </c>
      <c r="D24" s="21" t="str">
        <f>IF(COUNTIFS(Verweise!$A$2:$A$4542,Übersicht!$C$7,Verweise!$B$2:$B$4542,B24)=1,"Feiertag",IF(C24="Samstag","",IF(C24="Sonntag","",Übersicht!$C$8)))</f>
        <v>Büro</v>
      </c>
      <c r="E24" s="17"/>
      <c r="F24" s="17"/>
      <c r="G24" s="57"/>
      <c r="H24" s="52"/>
      <c r="I24" s="18" t="str">
        <f t="shared" si="3"/>
        <v/>
      </c>
      <c r="J24" s="39" t="str">
        <f>IF(Übersicht!$C$9="Ja",IF(OR(E24=""),"",I24-$M$2/5),IF(OR(E24="",F24=""),"",I24-$M$2/5))</f>
        <v/>
      </c>
      <c r="K24" s="10">
        <f t="shared" ca="1" si="1"/>
        <v>0</v>
      </c>
      <c r="L24" s="31"/>
    </row>
    <row r="25" spans="1:13" x14ac:dyDescent="0.25">
      <c r="A25" s="30"/>
      <c r="B25" s="65">
        <f t="shared" si="4"/>
        <v>43973</v>
      </c>
      <c r="C25" s="59" t="str">
        <f t="shared" si="2"/>
        <v>Donnerstag</v>
      </c>
      <c r="D25" s="21" t="str">
        <f>IF(COUNTIFS(Verweise!$A$2:$A$4542,Übersicht!$C$7,Verweise!$B$2:$B$4542,B25)=1,"Feiertag",IF(C25="Samstag","",IF(C25="Sonntag","",Übersicht!$C$8)))</f>
        <v>Büro</v>
      </c>
      <c r="E25" s="17"/>
      <c r="F25" s="17"/>
      <c r="G25" s="57"/>
      <c r="H25" s="52"/>
      <c r="I25" s="18" t="str">
        <f t="shared" si="3"/>
        <v/>
      </c>
      <c r="J25" s="39" t="str">
        <f>IF(Übersicht!$C$9="Ja",IF(OR(E25=""),"",I25-$M$2/5),IF(OR(E25="",F25=""),"",I25-$M$2/5))</f>
        <v/>
      </c>
      <c r="K25" s="10">
        <f t="shared" ca="1" si="1"/>
        <v>0</v>
      </c>
    </row>
    <row r="26" spans="1:13" x14ac:dyDescent="0.25">
      <c r="A26" s="30"/>
      <c r="B26" s="65">
        <f t="shared" si="4"/>
        <v>43974</v>
      </c>
      <c r="C26" s="59" t="str">
        <f t="shared" si="2"/>
        <v>Freitag</v>
      </c>
      <c r="D26" s="21" t="str">
        <f>IF(COUNTIFS(Verweise!$A$2:$A$4542,Übersicht!$C$7,Verweise!$B$2:$B$4542,B26)=1,"Feiertag",IF(C26="Samstag","",IF(C26="Sonntag","",Übersicht!$C$8)))</f>
        <v>Büro</v>
      </c>
      <c r="E26" s="17"/>
      <c r="F26" s="17"/>
      <c r="G26" s="57"/>
      <c r="H26" s="52"/>
      <c r="I26" s="18" t="str">
        <f t="shared" si="3"/>
        <v/>
      </c>
      <c r="J26" s="39" t="str">
        <f>IF(Übersicht!$C$9="Ja",IF(OR(E26=""),"",I26-$M$2/5),IF(OR(E26="",F26=""),"",I26-$M$2/5))</f>
        <v/>
      </c>
      <c r="K26" s="10">
        <f t="shared" ca="1" si="1"/>
        <v>0</v>
      </c>
    </row>
    <row r="27" spans="1:13" x14ac:dyDescent="0.25">
      <c r="A27" s="30"/>
      <c r="B27" s="65">
        <f t="shared" si="4"/>
        <v>43975</v>
      </c>
      <c r="C27" s="59" t="str">
        <f t="shared" si="2"/>
        <v>Samstag</v>
      </c>
      <c r="D27" s="21" t="str">
        <f>IF(COUNTIFS(Verweise!$A$2:$A$4542,Übersicht!$C$7,Verweise!$B$2:$B$4542,B27)=1,"Feiertag",IF(C27="Samstag","",IF(C27="Sonntag","",Übersicht!$C$8)))</f>
        <v/>
      </c>
      <c r="E27" s="17"/>
      <c r="F27" s="17"/>
      <c r="G27" s="57"/>
      <c r="H27" s="52"/>
      <c r="I27" s="18" t="str">
        <f t="shared" si="3"/>
        <v/>
      </c>
      <c r="J27" s="39" t="str">
        <f>IF(Übersicht!$C$9="Ja",IF(OR(E27=""),"",I27-$M$2/5),IF(OR(E27="",F27=""),"",I27-$M$2/5))</f>
        <v/>
      </c>
      <c r="K27" s="10">
        <f t="shared" ca="1" si="1"/>
        <v>0</v>
      </c>
    </row>
    <row r="28" spans="1:13" x14ac:dyDescent="0.25">
      <c r="A28" s="30"/>
      <c r="B28" s="65">
        <f t="shared" si="4"/>
        <v>43976</v>
      </c>
      <c r="C28" s="59" t="str">
        <f t="shared" si="2"/>
        <v>Sonntag</v>
      </c>
      <c r="D28" s="21" t="str">
        <f>IF(COUNTIFS(Verweise!$A$2:$A$4542,Übersicht!$C$7,Verweise!$B$2:$B$4542,B28)=1,"Feiertag",IF(C28="Samstag","",IF(C28="Sonntag","",Übersicht!$C$8)))</f>
        <v/>
      </c>
      <c r="E28" s="17"/>
      <c r="F28" s="17"/>
      <c r="G28" s="57"/>
      <c r="H28" s="52"/>
      <c r="I28" s="18" t="str">
        <f t="shared" si="3"/>
        <v/>
      </c>
      <c r="J28" s="39" t="str">
        <f>IF(Übersicht!$C$9="Ja",IF(OR(E28=""),"",I28-$M$2/5),IF(OR(E28="",F28=""),"",I28-$M$2/5))</f>
        <v/>
      </c>
      <c r="K28" s="10">
        <f t="shared" ca="1" si="1"/>
        <v>0</v>
      </c>
    </row>
    <row r="29" spans="1:13" x14ac:dyDescent="0.25">
      <c r="A29" s="51"/>
      <c r="B29" s="65">
        <f t="shared" si="4"/>
        <v>43977</v>
      </c>
      <c r="C29" s="59" t="str">
        <f t="shared" si="2"/>
        <v>Montag</v>
      </c>
      <c r="D29" s="21" t="str">
        <f>IF(COUNTIFS(Verweise!$A$2:$A$4542,Übersicht!$C$7,Verweise!$B$2:$B$4542,B29)=1,"Feiertag",IF(C29="Samstag","",IF(C29="Sonntag","",Übersicht!$C$8)))</f>
        <v>Büro</v>
      </c>
      <c r="E29" s="17"/>
      <c r="F29" s="17"/>
      <c r="G29" s="57"/>
      <c r="H29" s="52"/>
      <c r="I29" s="18" t="str">
        <f t="shared" si="3"/>
        <v/>
      </c>
      <c r="J29" s="39" t="str">
        <f>IF(Übersicht!$C$9="Ja",IF(OR(E29=""),"",I29-$M$2/5),IF(OR(E29="",F29=""),"",I29-$M$2/5))</f>
        <v/>
      </c>
      <c r="K29" s="10">
        <f t="shared" ca="1" si="1"/>
        <v>0</v>
      </c>
    </row>
    <row r="30" spans="1:13" x14ac:dyDescent="0.25">
      <c r="A30" s="51"/>
      <c r="B30" s="65">
        <f t="shared" si="4"/>
        <v>43978</v>
      </c>
      <c r="C30" s="59" t="str">
        <f t="shared" si="2"/>
        <v>Dienstag</v>
      </c>
      <c r="D30" s="21" t="str">
        <f>IF(COUNTIFS(Verweise!$A$2:$A$4542,Übersicht!$C$7,Verweise!$B$2:$B$4542,B30)=1,"Feiertag",IF(C30="Samstag","",IF(C30="Sonntag","",Übersicht!$C$8)))</f>
        <v>Büro</v>
      </c>
      <c r="E30" s="17"/>
      <c r="F30" s="17"/>
      <c r="G30" s="57"/>
      <c r="H30" s="52"/>
      <c r="I30" s="18" t="str">
        <f t="shared" si="3"/>
        <v/>
      </c>
      <c r="J30" s="39" t="str">
        <f>IF(Übersicht!$C$9="Ja",IF(OR(E30=""),"",I30-$M$2/5),IF(OR(E30="",F30=""),"",I30-$M$2/5))</f>
        <v/>
      </c>
      <c r="K30" s="10">
        <f t="shared" ca="1" si="1"/>
        <v>0</v>
      </c>
    </row>
    <row r="31" spans="1:13" x14ac:dyDescent="0.25">
      <c r="A31" s="51"/>
      <c r="B31" s="65">
        <f t="shared" si="4"/>
        <v>43979</v>
      </c>
      <c r="C31" s="59" t="str">
        <f t="shared" si="2"/>
        <v>Mittwoch</v>
      </c>
      <c r="D31" s="21" t="str">
        <f>IF(COUNTIFS(Verweise!$A$2:$A$4542,Übersicht!$C$7,Verweise!$B$2:$B$4542,B31)=1,"Feiertag",IF(C31="Samstag","",IF(C31="Sonntag","",Übersicht!$C$8)))</f>
        <v>Büro</v>
      </c>
      <c r="E31" s="17"/>
      <c r="F31" s="17"/>
      <c r="G31" s="57"/>
      <c r="H31" s="52"/>
      <c r="I31" s="18" t="str">
        <f t="shared" si="3"/>
        <v/>
      </c>
      <c r="J31" s="39" t="str">
        <f>IF(Übersicht!$C$9="Ja",IF(OR(E31=""),"",I31-$M$2/5),IF(OR(E31="",F31=""),"",I31-$M$2/5))</f>
        <v/>
      </c>
      <c r="K31" s="10">
        <f t="shared" ca="1" si="1"/>
        <v>0</v>
      </c>
    </row>
    <row r="32" spans="1:13" ht="15.75" customHeight="1" x14ac:dyDescent="0.25">
      <c r="A32" s="51"/>
      <c r="B32" s="65">
        <f t="shared" si="4"/>
        <v>43980</v>
      </c>
      <c r="C32" s="59" t="str">
        <f t="shared" ref="C32:C33" si="5">TEXT(B32,"TTTT")</f>
        <v>Donnerstag</v>
      </c>
      <c r="D32" s="21" t="str">
        <f>IF(COUNTIFS(Verweise!$A$2:$A$4542,Übersicht!$C$7,Verweise!$B$2:$B$4542,B32)=1,"Feiertag",IF(C32="Samstag","",IF(C32="Sonntag","",Übersicht!$C$8)))</f>
        <v>Feiertag</v>
      </c>
      <c r="E32" s="17"/>
      <c r="F32" s="17"/>
      <c r="G32" s="57"/>
      <c r="H32" s="52"/>
      <c r="I32" s="18" t="str">
        <f t="shared" ref="I32:I33" si="6">IF(E32="","",F32-E32-H32)</f>
        <v/>
      </c>
      <c r="J32" s="39" t="str">
        <f>IF(Übersicht!$C$9="Ja",IF(OR(E32=""),"",I32-$M$2/5),IF(OR(E32="",F32=""),"",I32-$M$2/5))</f>
        <v/>
      </c>
      <c r="K32" s="10">
        <f t="shared" ca="1" si="1"/>
        <v>0</v>
      </c>
    </row>
    <row r="33" spans="1:11" x14ac:dyDescent="0.25">
      <c r="A33" s="51"/>
      <c r="B33" s="65">
        <f t="shared" si="4"/>
        <v>43981</v>
      </c>
      <c r="C33" s="59" t="str">
        <f t="shared" si="5"/>
        <v>Freitag</v>
      </c>
      <c r="D33" s="21" t="str">
        <f>IF(COUNTIFS(Verweise!$A$2:$A$4542,Übersicht!$C$7,Verweise!$B$2:$B$4542,B33)=1,"Feiertag",IF(C33="Samstag","",IF(C33="Sonntag","",Übersicht!$C$8)))</f>
        <v>Büro</v>
      </c>
      <c r="E33" s="17"/>
      <c r="F33" s="17"/>
      <c r="G33" s="57"/>
      <c r="H33" s="52"/>
      <c r="I33" s="18" t="str">
        <f t="shared" si="6"/>
        <v/>
      </c>
      <c r="J33" s="39" t="str">
        <f>IF(Übersicht!$C$9="Ja",IF(OR(E33=""),"",I33-$M$2/5),IF(OR(E33="",F33=""),"",I33-$M$2/5))</f>
        <v/>
      </c>
      <c r="K33" s="10">
        <f ca="1">IF(B33=TODAY(),ROW(),0)</f>
        <v>0</v>
      </c>
    </row>
    <row r="34" spans="1:11" x14ac:dyDescent="0.25">
      <c r="A34" s="51"/>
    </row>
  </sheetData>
  <conditionalFormatting sqref="B3:C33">
    <cfRule type="expression" dxfId="405" priority="75">
      <formula>OR($C3="Samstag",$C3="Sonntag",$D3="Feiertag")</formula>
    </cfRule>
    <cfRule type="expression" dxfId="404" priority="76">
      <formula>OR($D3="Frei",$D3="Urlaub")</formula>
    </cfRule>
    <cfRule type="expression" dxfId="403" priority="77">
      <formula>$D3="Krank"</formula>
    </cfRule>
  </conditionalFormatting>
  <conditionalFormatting sqref="D3:I4 D6:I12 E5:I5 D14:I17 E13:I13 E18:I18 D19:I33">
    <cfRule type="expression" dxfId="402" priority="56">
      <formula>OR($C3="Samstag",$C3="Sonntag",$D3="Feiertag")</formula>
    </cfRule>
    <cfRule type="expression" dxfId="401" priority="57">
      <formula>OR($D3="Frei",$D3="Urlaub")</formula>
    </cfRule>
    <cfRule type="expression" dxfId="400" priority="58">
      <formula>$D3="Krank"</formula>
    </cfRule>
  </conditionalFormatting>
  <conditionalFormatting sqref="J3:J33">
    <cfRule type="cellIs" dxfId="399" priority="10" operator="greaterThan">
      <formula>0</formula>
    </cfRule>
    <cfRule type="cellIs" dxfId="398" priority="11" operator="lessThan">
      <formula>0</formula>
    </cfRule>
    <cfRule type="expression" dxfId="397" priority="12">
      <formula>OR($C3="Samstag",$C3="Sonntag",$D3="Feiertag")</formula>
    </cfRule>
    <cfRule type="expression" dxfId="396" priority="13">
      <formula>OR($D3="Frei",$D3="Urlaub")</formula>
    </cfRule>
    <cfRule type="expression" dxfId="395" priority="14">
      <formula>$D3="Krank"</formula>
    </cfRule>
  </conditionalFormatting>
  <conditionalFormatting sqref="D5">
    <cfRule type="expression" dxfId="394" priority="7">
      <formula>OR($C5="Samstag",$C5="Sonntag",$D5="Feiertag")</formula>
    </cfRule>
    <cfRule type="expression" dxfId="393" priority="8">
      <formula>OR($D5="Frei",$D5="Urlaub")</formula>
    </cfRule>
    <cfRule type="expression" dxfId="392" priority="9">
      <formula>$D5="Krank"</formula>
    </cfRule>
  </conditionalFormatting>
  <conditionalFormatting sqref="D13">
    <cfRule type="expression" dxfId="391" priority="4">
      <formula>OR($C13="Samstag",$C13="Sonntag",$D13="Feiertag")</formula>
    </cfRule>
    <cfRule type="expression" dxfId="390" priority="5">
      <formula>OR($D13="Frei",$D13="Urlaub")</formula>
    </cfRule>
    <cfRule type="expression" dxfId="389" priority="6">
      <formula>$D13="Krank"</formula>
    </cfRule>
  </conditionalFormatting>
  <conditionalFormatting sqref="D18">
    <cfRule type="expression" dxfId="388" priority="1">
      <formula>OR($C18="Samstag",$C18="Sonntag",$D18="Feiertag")</formula>
    </cfRule>
    <cfRule type="expression" dxfId="387" priority="2">
      <formula>OR($D18="Frei",$D18="Urlaub")</formula>
    </cfRule>
    <cfRule type="expression" dxfId="386" priority="3">
      <formula>$D18="Krank"</formula>
    </cfRule>
  </conditionalFormatting>
  <pageMargins left="0.7" right="0.7" top="0.78740157499999996" bottom="0.78740157499999996" header="0.3" footer="0.3"/>
  <customProperties>
    <customPr name="ORB_SHEETNAME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0" r:id="rId4" name="Button 14">
              <controlPr defaultSize="0" print="0" autoFill="0" autoPict="0" macro="[0]!TimeStampStart">
                <anchor moveWithCells="1" sizeWithCells="1">
                  <from>
                    <xdr:col>10</xdr:col>
                    <xdr:colOff>228600</xdr:colOff>
                    <xdr:row>7</xdr:row>
                    <xdr:rowOff>114300</xdr:rowOff>
                  </from>
                  <to>
                    <xdr:col>11</xdr:col>
                    <xdr:colOff>1428750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5" name="Button 15">
              <controlPr defaultSize="0" print="0" autoFill="0" autoPict="0" macro="[0]!TimeStampEnd">
                <anchor moveWithCells="1" sizeWithCells="1">
                  <from>
                    <xdr:col>11</xdr:col>
                    <xdr:colOff>1590675</xdr:colOff>
                    <xdr:row>7</xdr:row>
                    <xdr:rowOff>104775</xdr:rowOff>
                  </from>
                  <to>
                    <xdr:col>13</xdr:col>
                    <xdr:colOff>19050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6" name="Button 16">
              <controlPr defaultSize="0" print="0" autoFill="0" autoPict="0" macro="[0]!PauseStart">
                <anchor moveWithCells="1" sizeWithCells="1">
                  <from>
                    <xdr:col>10</xdr:col>
                    <xdr:colOff>228600</xdr:colOff>
                    <xdr:row>9</xdr:row>
                    <xdr:rowOff>152400</xdr:rowOff>
                  </from>
                  <to>
                    <xdr:col>11</xdr:col>
                    <xdr:colOff>1428750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7" name="Button 17">
              <controlPr defaultSize="0" print="0" autoFill="0" autoPict="0" macro="[0]!PauseEnd">
                <anchor moveWithCells="1" sizeWithCells="1">
                  <from>
                    <xdr:col>11</xdr:col>
                    <xdr:colOff>1590675</xdr:colOff>
                    <xdr:row>9</xdr:row>
                    <xdr:rowOff>142875</xdr:rowOff>
                  </from>
                  <to>
                    <xdr:col>13</xdr:col>
                    <xdr:colOff>19050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Verweise!$F$24:$F$30</xm:f>
          </x14:formula1>
          <xm:sqref>D3:D33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7">
    <tabColor theme="4" tint="0.79998168889431442"/>
  </sheetPr>
  <dimension ref="A1:V33"/>
  <sheetViews>
    <sheetView zoomScaleNormal="100" workbookViewId="0">
      <selection activeCell="B31" sqref="B31"/>
    </sheetView>
  </sheetViews>
  <sheetFormatPr defaultColWidth="0" defaultRowHeight="15" zeroHeight="1" x14ac:dyDescent="0.25"/>
  <cols>
    <col min="1" max="1" width="2.7109375" style="7" customWidth="1"/>
    <col min="2" max="2" width="10.7109375" style="7" customWidth="1"/>
    <col min="3" max="3" width="11.5703125" style="7" customWidth="1"/>
    <col min="4" max="4" width="26.42578125" style="7" customWidth="1"/>
    <col min="5" max="5" width="14.42578125" style="7" customWidth="1"/>
    <col min="6" max="6" width="12.140625" style="7" customWidth="1"/>
    <col min="7" max="7" width="12.140625" style="55" customWidth="1"/>
    <col min="8" max="9" width="13.5703125" style="7" customWidth="1"/>
    <col min="10" max="10" width="14.28515625" style="7" customWidth="1"/>
    <col min="11" max="11" width="2.7109375" style="7" customWidth="1"/>
    <col min="12" max="12" width="33.7109375" style="7" bestFit="1" customWidth="1"/>
    <col min="13" max="13" width="11.42578125" style="7" customWidth="1"/>
    <col min="14" max="14" width="2.7109375" style="7" customWidth="1"/>
    <col min="15" max="22" width="0" style="7" hidden="1" customWidth="1"/>
    <col min="23" max="16384" width="11.42578125" style="7" hidden="1"/>
  </cols>
  <sheetData>
    <row r="1" spans="1:18" x14ac:dyDescent="0.25"/>
    <row r="2" spans="1:18" ht="15.75" thickBot="1" x14ac:dyDescent="0.3">
      <c r="B2" s="62" t="s">
        <v>0</v>
      </c>
      <c r="C2" s="62" t="s">
        <v>1</v>
      </c>
      <c r="D2" s="62" t="s">
        <v>2</v>
      </c>
      <c r="E2" s="62" t="s">
        <v>3</v>
      </c>
      <c r="F2" s="62" t="s">
        <v>4</v>
      </c>
      <c r="G2" s="63" t="s">
        <v>81</v>
      </c>
      <c r="H2" s="64" t="s">
        <v>83</v>
      </c>
      <c r="I2" s="62" t="s">
        <v>5</v>
      </c>
      <c r="J2" s="62" t="s">
        <v>82</v>
      </c>
      <c r="L2" s="3" t="s">
        <v>6</v>
      </c>
      <c r="M2" s="6">
        <f>Übersicht!C2</f>
        <v>1.6666666666666667</v>
      </c>
      <c r="Q2" s="10" t="s">
        <v>30</v>
      </c>
      <c r="R2" s="10" t="s">
        <v>31</v>
      </c>
    </row>
    <row r="3" spans="1:18" x14ac:dyDescent="0.25">
      <c r="A3" s="51">
        <v>0.48055555555555557</v>
      </c>
      <c r="B3" s="65">
        <f>("01.06."&amp;Übersicht!$C$6)*1</f>
        <v>43982</v>
      </c>
      <c r="C3" s="59" t="str">
        <f>TEXT(B3,"TTTT")</f>
        <v>Samstag</v>
      </c>
      <c r="D3" s="21" t="str">
        <f>IF(COUNTIFS(Verweise!$A$2:$A$4542,Übersicht!$C$7,Verweise!$B$2:$B$4542,B3)=1,"Feiertag",IF(C3="Samstag","",IF(C3="Sonntag","",Übersicht!$C$8)))</f>
        <v/>
      </c>
      <c r="E3" s="17"/>
      <c r="F3" s="17"/>
      <c r="G3" s="57"/>
      <c r="H3" s="19"/>
      <c r="I3" s="18" t="str">
        <f t="shared" ref="I3:I32" si="0">IF(E3="","",F3-E3-H3)</f>
        <v/>
      </c>
      <c r="J3" s="39" t="str">
        <f>IF(Übersicht!$C$9="Ja",IF(OR(E3=""),"",I3-$M$2/5),IF(OR(E3="",F3=""),"",I3-$M$2/5))</f>
        <v/>
      </c>
      <c r="K3" s="10">
        <f ca="1">IF(B3=TODAY(),ROW(),0)</f>
        <v>0</v>
      </c>
      <c r="L3" s="3" t="str">
        <f>"Ist Arbeitszeit im "&amp;TEXT(B3,"MMMM")</f>
        <v>Ist Arbeitszeit im Juni</v>
      </c>
      <c r="M3" s="29">
        <f>SUM(I3:I32)</f>
        <v>0</v>
      </c>
      <c r="P3" s="10" t="s">
        <v>24</v>
      </c>
    </row>
    <row r="4" spans="1:18" x14ac:dyDescent="0.25">
      <c r="A4" s="51">
        <v>0.51597222222222217</v>
      </c>
      <c r="B4" s="34">
        <f>B3+1</f>
        <v>43983</v>
      </c>
      <c r="C4" s="1" t="str">
        <f t="shared" ref="C4:C32" si="1">TEXT(B4,"TTTT")</f>
        <v>Sonntag</v>
      </c>
      <c r="D4" s="21" t="str">
        <f>IF(COUNTIFS(Verweise!$A$2:$A$4542,Übersicht!$C$7,Verweise!$B$2:$B$4542,B4)=1,"Feiertag",IF(C4="Samstag","",IF(C4="Sonntag","",Übersicht!$C$8)))</f>
        <v/>
      </c>
      <c r="E4" s="19"/>
      <c r="F4" s="19"/>
      <c r="G4" s="66"/>
      <c r="H4" s="19"/>
      <c r="I4" s="18" t="str">
        <f t="shared" si="0"/>
        <v/>
      </c>
      <c r="J4" s="39" t="str">
        <f>IF(Übersicht!$C$9="Ja",IF(OR(E4=""),"",I4-$M$2/5),IF(OR(E4="",F4=""),"",I4-$M$2/5))</f>
        <v/>
      </c>
      <c r="K4" s="10">
        <f t="shared" ref="K4:K32" ca="1" si="2">IF(B4=TODAY(),ROW(),0)</f>
        <v>0</v>
      </c>
      <c r="L4" s="3" t="str">
        <f>"Wochen im "&amp;TEXT(B3,"MMMM")</f>
        <v>Wochen im Juni</v>
      </c>
      <c r="M4" s="2">
        <f>ROUND(COUNTA(C3:C33)/7,2)</f>
        <v>4.29</v>
      </c>
      <c r="P4" s="10" t="s">
        <v>25</v>
      </c>
    </row>
    <row r="5" spans="1:18" x14ac:dyDescent="0.25">
      <c r="A5" s="51">
        <v>0.50208333333333333</v>
      </c>
      <c r="B5" s="34">
        <f t="shared" ref="B5:B32" si="3">B4+1</f>
        <v>43984</v>
      </c>
      <c r="C5" s="1" t="str">
        <f t="shared" si="1"/>
        <v>Montag</v>
      </c>
      <c r="D5" s="21" t="str">
        <f>IF(COUNTIFS(Verweise!$A$2:$A$4542,Übersicht!$C$7,Verweise!$B$2:$B$4542,B5)=1,"Feiertag",IF(C5="Samstag","",IF(C5="Sonntag","",Übersicht!$C$8)))</f>
        <v>Büro</v>
      </c>
      <c r="E5" s="19"/>
      <c r="F5" s="19"/>
      <c r="G5" s="66"/>
      <c r="H5" s="19"/>
      <c r="I5" s="18" t="str">
        <f t="shared" si="0"/>
        <v/>
      </c>
      <c r="J5" s="39" t="str">
        <f>IF(Übersicht!$C$9="Ja",IF(OR(E5=""),"",I5-$M$2/5),IF(OR(E5="",F5=""),"",I5-$M$2/5))</f>
        <v/>
      </c>
      <c r="K5" s="10">
        <f t="shared" ca="1" si="2"/>
        <v>0</v>
      </c>
      <c r="L5" s="3" t="s">
        <v>32</v>
      </c>
      <c r="M5" s="29">
        <f>M4*M2-(SUM(A3:A32)*M2/7)</f>
        <v>3.8135251322751325</v>
      </c>
      <c r="P5" s="10" t="s">
        <v>26</v>
      </c>
    </row>
    <row r="6" spans="1:18" x14ac:dyDescent="0.25">
      <c r="A6" s="51">
        <v>0.55277777777777781</v>
      </c>
      <c r="B6" s="34">
        <f t="shared" si="3"/>
        <v>43985</v>
      </c>
      <c r="C6" s="1" t="str">
        <f t="shared" si="1"/>
        <v>Dienstag</v>
      </c>
      <c r="D6" s="21" t="str">
        <f>IF(COUNTIFS(Verweise!$A$2:$A$4542,Übersicht!$C$7,Verweise!$B$2:$B$4542,B6)=1,"Feiertag",IF(C6="Samstag","",IF(C6="Sonntag","",Übersicht!$C$8)))</f>
        <v>Büro</v>
      </c>
      <c r="E6" s="19"/>
      <c r="F6" s="19"/>
      <c r="G6" s="66"/>
      <c r="H6" s="19"/>
      <c r="I6" s="18" t="str">
        <f t="shared" si="0"/>
        <v/>
      </c>
      <c r="J6" s="39" t="str">
        <f>IF(Übersicht!$C$9="Ja",IF(OR(E6=""),"",I6-$M$2/5),IF(OR(E6="",F6=""),"",I6-$M$2/5))</f>
        <v/>
      </c>
      <c r="K6" s="10">
        <f t="shared" ca="1" si="2"/>
        <v>0</v>
      </c>
      <c r="L6" s="3" t="str">
        <f>IF(M6&lt;0,"Minustunden","Überstunden")</f>
        <v>Überstunden</v>
      </c>
      <c r="M6" s="6">
        <f>SUM(J:J)</f>
        <v>0</v>
      </c>
      <c r="P6" s="10" t="s">
        <v>27</v>
      </c>
    </row>
    <row r="7" spans="1:18" x14ac:dyDescent="0.25">
      <c r="A7" s="51">
        <v>0.55972222222222223</v>
      </c>
      <c r="B7" s="34">
        <f t="shared" si="3"/>
        <v>43986</v>
      </c>
      <c r="C7" s="1" t="str">
        <f t="shared" si="1"/>
        <v>Mittwoch</v>
      </c>
      <c r="D7" s="21" t="str">
        <f>IF(COUNTIFS(Verweise!$A$2:$A$4542,Übersicht!$C$7,Verweise!$B$2:$B$4542,B7)=1,"Feiertag",IF(C7="Samstag","",IF(C7="Sonntag","",Übersicht!$C$8)))</f>
        <v>Büro</v>
      </c>
      <c r="E7" s="19"/>
      <c r="F7" s="19"/>
      <c r="G7" s="66"/>
      <c r="H7" s="19"/>
      <c r="I7" s="18" t="str">
        <f t="shared" si="0"/>
        <v/>
      </c>
      <c r="J7" s="39" t="str">
        <f>IF(Übersicht!$C$9="Ja",IF(OR(E7=""),"",I7-$M$2/5),IF(OR(E7="",F7=""),"",I7-$M$2/5))</f>
        <v/>
      </c>
      <c r="K7" s="10">
        <f t="shared" ca="1" si="2"/>
        <v>0</v>
      </c>
      <c r="L7" s="3" t="str">
        <f ca="1">IF(M7&lt;0,"Minustunden gesamt","Überstunden gesamt")</f>
        <v>Überstunden gesamt</v>
      </c>
      <c r="M7" s="6">
        <f ca="1">Übersicht!C26</f>
        <v>0</v>
      </c>
      <c r="P7" s="10" t="s">
        <v>28</v>
      </c>
    </row>
    <row r="8" spans="1:18" x14ac:dyDescent="0.25">
      <c r="A8" s="30">
        <f t="shared" ref="A8:A21" si="4">IF(AND(AND(C8&lt;&gt;"Samstag",C8&lt;&gt;"Sonntag"),OR(D8="Urlaub",D8="Frei",D8="Feiertag",D8="Krank")),1,0)</f>
        <v>0</v>
      </c>
      <c r="B8" s="34">
        <f t="shared" si="3"/>
        <v>43987</v>
      </c>
      <c r="C8" s="1" t="str">
        <f t="shared" si="1"/>
        <v>Donnerstag</v>
      </c>
      <c r="D8" s="21" t="str">
        <f>IF(COUNTIFS(Verweise!$A$2:$A$4542,Übersicht!$C$7,Verweise!$B$2:$B$4542,B8)=1,"Feiertag",IF(C8="Samstag","",IF(C8="Sonntag","",Übersicht!$C$8)))</f>
        <v>Büro</v>
      </c>
      <c r="E8" s="19"/>
      <c r="F8" s="19"/>
      <c r="G8" s="66"/>
      <c r="H8" s="19"/>
      <c r="I8" s="18" t="str">
        <f t="shared" si="0"/>
        <v/>
      </c>
      <c r="J8" s="39" t="str">
        <f>IF(Übersicht!$C$9="Ja",IF(OR(E8=""),"",I8-$M$2/5),IF(OR(E8="",F8=""),"",I8-$M$2/5))</f>
        <v/>
      </c>
      <c r="K8" s="10">
        <f t="shared" ca="1" si="2"/>
        <v>0</v>
      </c>
      <c r="P8" s="10" t="s">
        <v>29</v>
      </c>
    </row>
    <row r="9" spans="1:18" x14ac:dyDescent="0.25">
      <c r="A9" s="51">
        <v>0.52013888888888882</v>
      </c>
      <c r="B9" s="34">
        <f t="shared" si="3"/>
        <v>43988</v>
      </c>
      <c r="C9" s="1" t="str">
        <f t="shared" si="1"/>
        <v>Freitag</v>
      </c>
      <c r="D9" s="21" t="str">
        <f>IF(COUNTIFS(Verweise!$A$2:$A$4542,Übersicht!$C$7,Verweise!$B$2:$B$4542,B9)=1,"Feiertag",IF(C9="Samstag","",IF(C9="Sonntag","",Übersicht!$C$8)))</f>
        <v>Büro</v>
      </c>
      <c r="E9" s="19"/>
      <c r="F9" s="19"/>
      <c r="G9" s="66"/>
      <c r="H9" s="19"/>
      <c r="I9" s="18" t="str">
        <f t="shared" si="0"/>
        <v/>
      </c>
      <c r="J9" s="39" t="str">
        <f>IF(Übersicht!$C$9="Ja",IF(OR(E9=""),"",I9-$M$2/5),IF(OR(E9="",F9=""),"",I9-$M$2/5))</f>
        <v/>
      </c>
      <c r="K9" s="10">
        <f t="shared" ca="1" si="2"/>
        <v>0</v>
      </c>
    </row>
    <row r="10" spans="1:18" x14ac:dyDescent="0.25">
      <c r="A10" s="51">
        <v>0.48958333333333331</v>
      </c>
      <c r="B10" s="34">
        <f t="shared" si="3"/>
        <v>43989</v>
      </c>
      <c r="C10" s="1" t="str">
        <f t="shared" si="1"/>
        <v>Samstag</v>
      </c>
      <c r="D10" s="21" t="str">
        <f>IF(COUNTIFS(Verweise!$A$2:$A$4542,Übersicht!$C$7,Verweise!$B$2:$B$4542,B10)=1,"Feiertag",IF(C10="Samstag","",IF(C10="Sonntag","",Übersicht!$C$8)))</f>
        <v/>
      </c>
      <c r="E10" s="19"/>
      <c r="F10" s="19"/>
      <c r="G10" s="66"/>
      <c r="H10" s="19"/>
      <c r="I10" s="18" t="str">
        <f t="shared" si="0"/>
        <v/>
      </c>
      <c r="J10" s="39" t="str">
        <f>IF(Übersicht!$C$9="Ja",IF(OR(E10=""),"",I10-$M$2/5),IF(OR(E10="",F10=""),"",I10-$M$2/5))</f>
        <v/>
      </c>
      <c r="K10" s="10">
        <f t="shared" ca="1" si="2"/>
        <v>0</v>
      </c>
    </row>
    <row r="11" spans="1:18" x14ac:dyDescent="0.25">
      <c r="A11" s="51">
        <v>0.50138888888888888</v>
      </c>
      <c r="B11" s="34">
        <f t="shared" si="3"/>
        <v>43990</v>
      </c>
      <c r="C11" s="1" t="str">
        <f t="shared" si="1"/>
        <v>Sonntag</v>
      </c>
      <c r="D11" s="21" t="str">
        <f>IF(COUNTIFS(Verweise!$A$2:$A$4542,Übersicht!$C$7,Verweise!$B$2:$B$4542,B11)=1,"Feiertag",IF(C11="Samstag","",IF(C11="Sonntag","",Übersicht!$C$8)))</f>
        <v/>
      </c>
      <c r="E11" s="19"/>
      <c r="F11" s="19"/>
      <c r="G11" s="66"/>
      <c r="H11" s="19"/>
      <c r="I11" s="18" t="str">
        <f t="shared" si="0"/>
        <v/>
      </c>
      <c r="J11" s="39" t="str">
        <f>IF(Übersicht!$C$9="Ja",IF(OR(E11=""),"",I11-$M$2/5),IF(OR(E11="",F11=""),"",I11-$M$2/5))</f>
        <v/>
      </c>
      <c r="K11" s="10">
        <f t="shared" ca="1" si="2"/>
        <v>0</v>
      </c>
    </row>
    <row r="12" spans="1:18" x14ac:dyDescent="0.25">
      <c r="A12" s="51">
        <v>0.51736111111111105</v>
      </c>
      <c r="B12" s="34">
        <f t="shared" si="3"/>
        <v>43991</v>
      </c>
      <c r="C12" s="1" t="str">
        <f t="shared" si="1"/>
        <v>Montag</v>
      </c>
      <c r="D12" s="21" t="str">
        <f>IF(COUNTIFS(Verweise!$A$2:$A$4542,Übersicht!$C$7,Verweise!$B$2:$B$4542,B12)=1,"Feiertag",IF(C12="Samstag","",IF(C12="Sonntag","",Übersicht!$C$8)))</f>
        <v>Büro</v>
      </c>
      <c r="E12" s="19"/>
      <c r="F12" s="19"/>
      <c r="G12" s="66"/>
      <c r="H12" s="19"/>
      <c r="I12" s="18" t="str">
        <f t="shared" si="0"/>
        <v/>
      </c>
      <c r="J12" s="39" t="str">
        <f>IF(Übersicht!$C$9="Ja",IF(OR(E12=""),"",I12-$M$2/5),IF(OR(E12="",F12=""),"",I12-$M$2/5))</f>
        <v/>
      </c>
      <c r="K12" s="10">
        <f t="shared" ca="1" si="2"/>
        <v>0</v>
      </c>
    </row>
    <row r="13" spans="1:18" x14ac:dyDescent="0.25">
      <c r="A13" s="51">
        <v>0.53263888888888888</v>
      </c>
      <c r="B13" s="34">
        <f t="shared" si="3"/>
        <v>43992</v>
      </c>
      <c r="C13" s="1" t="str">
        <f t="shared" si="1"/>
        <v>Dienstag</v>
      </c>
      <c r="D13" s="21" t="str">
        <f>IF(COUNTIFS(Verweise!$A$2:$A$4542,Übersicht!$C$7,Verweise!$B$2:$B$4542,B13)=1,"Feiertag",IF(C13="Samstag","",IF(C13="Sonntag","",Übersicht!$C$8)))</f>
        <v>Büro</v>
      </c>
      <c r="E13" s="19"/>
      <c r="F13" s="19"/>
      <c r="G13" s="67"/>
      <c r="H13" s="19"/>
      <c r="I13" s="18" t="str">
        <f t="shared" si="0"/>
        <v/>
      </c>
      <c r="J13" s="39" t="str">
        <f>IF(Übersicht!$C$9="Ja",IF(OR(E13=""),"",I13-$M$2/5),IF(OR(E13="",F13=""),"",I13-$M$2/5))</f>
        <v/>
      </c>
      <c r="K13" s="10">
        <f t="shared" ca="1" si="2"/>
        <v>0</v>
      </c>
    </row>
    <row r="14" spans="1:18" x14ac:dyDescent="0.25">
      <c r="A14" s="30">
        <f t="shared" si="4"/>
        <v>0</v>
      </c>
      <c r="B14" s="34">
        <f t="shared" si="3"/>
        <v>43993</v>
      </c>
      <c r="C14" s="1" t="str">
        <f t="shared" si="1"/>
        <v>Mittwoch</v>
      </c>
      <c r="D14" s="21" t="str">
        <f>IF(COUNTIFS(Verweise!$A$2:$A$4542,Übersicht!$C$7,Verweise!$B$2:$B$4542,B14)=1,"Feiertag",IF(C14="Samstag","",IF(C14="Sonntag","",Übersicht!$C$8)))</f>
        <v>Büro</v>
      </c>
      <c r="E14" s="19"/>
      <c r="F14" s="19"/>
      <c r="G14" s="66"/>
      <c r="H14" s="19"/>
      <c r="I14" s="18" t="str">
        <f t="shared" si="0"/>
        <v/>
      </c>
      <c r="J14" s="39" t="str">
        <f>IF(Übersicht!$C$9="Ja",IF(OR(E14=""),"",I14-$M$2/5),IF(OR(E14="",F14=""),"",I14-$M$2/5))</f>
        <v/>
      </c>
      <c r="K14" s="10">
        <f t="shared" ca="1" si="2"/>
        <v>0</v>
      </c>
      <c r="L14" s="79" t="s">
        <v>85</v>
      </c>
      <c r="M14" s="22">
        <v>0.5493055555555556</v>
      </c>
    </row>
    <row r="15" spans="1:18" x14ac:dyDescent="0.25">
      <c r="A15" s="51">
        <v>0.49305555555555558</v>
      </c>
      <c r="B15" s="34">
        <f t="shared" si="3"/>
        <v>43994</v>
      </c>
      <c r="C15" s="1" t="str">
        <f t="shared" si="1"/>
        <v>Donnerstag</v>
      </c>
      <c r="D15" s="21" t="str">
        <f>IF(COUNTIFS(Verweise!$A$2:$A$4542,Übersicht!$C$7,Verweise!$B$2:$B$4542,B15)=1,"Feiertag",IF(C15="Samstag","",IF(C15="Sonntag","",Übersicht!$C$8)))</f>
        <v>Büro</v>
      </c>
      <c r="E15" s="19"/>
      <c r="F15" s="19"/>
      <c r="G15" s="66"/>
      <c r="H15" s="19"/>
      <c r="I15" s="18" t="str">
        <f t="shared" si="0"/>
        <v/>
      </c>
      <c r="J15" s="39" t="str">
        <f>IF(Übersicht!$C$9="Ja",IF(OR(E15=""),"",I15-$M$2/5),IF(OR(E15="",F15=""),"",I15-$M$2/5))</f>
        <v/>
      </c>
      <c r="K15" s="10">
        <f t="shared" ca="1" si="2"/>
        <v>0</v>
      </c>
      <c r="L15" s="79" t="s">
        <v>86</v>
      </c>
      <c r="M15" s="22">
        <v>0.64236111111111105</v>
      </c>
    </row>
    <row r="16" spans="1:18" x14ac:dyDescent="0.25">
      <c r="A16" s="51">
        <v>0.51736111111111105</v>
      </c>
      <c r="B16" s="34">
        <f t="shared" si="3"/>
        <v>43995</v>
      </c>
      <c r="C16" s="1" t="str">
        <f t="shared" si="1"/>
        <v>Freitag</v>
      </c>
      <c r="D16" s="21" t="str">
        <f>IF(COUNTIFS(Verweise!$A$2:$A$4542,Übersicht!$C$7,Verweise!$B$2:$B$4542,B16)=1,"Feiertag",IF(C16="Samstag","",IF(C16="Sonntag","",Übersicht!$C$8)))</f>
        <v>Büro</v>
      </c>
      <c r="E16" s="19"/>
      <c r="F16" s="19"/>
      <c r="G16" s="66"/>
      <c r="H16" s="19"/>
      <c r="I16" s="18" t="str">
        <f t="shared" si="0"/>
        <v/>
      </c>
      <c r="J16" s="39" t="str">
        <f>IF(Übersicht!$C$9="Ja",IF(OR(E16=""),"",I16-$M$2/5),IF(OR(E16="",F16=""),"",I16-$M$2/5))</f>
        <v/>
      </c>
      <c r="K16" s="10">
        <f t="shared" ca="1" si="2"/>
        <v>0</v>
      </c>
      <c r="M16" s="22">
        <f>M15-M14</f>
        <v>9.3055555555555447E-2</v>
      </c>
    </row>
    <row r="17" spans="1:13" x14ac:dyDescent="0.25">
      <c r="A17" s="51">
        <v>0.5</v>
      </c>
      <c r="B17" s="34">
        <f t="shared" si="3"/>
        <v>43996</v>
      </c>
      <c r="C17" s="1" t="str">
        <f t="shared" si="1"/>
        <v>Samstag</v>
      </c>
      <c r="D17" s="21" t="str">
        <f>IF(COUNTIFS(Verweise!$A$2:$A$4542,Übersicht!$C$7,Verweise!$B$2:$B$4542,B17)=1,"Feiertag",IF(C17="Samstag","",IF(C17="Sonntag","",Übersicht!$C$8)))</f>
        <v/>
      </c>
      <c r="E17" s="19"/>
      <c r="F17" s="19"/>
      <c r="G17" s="66"/>
      <c r="H17" s="19"/>
      <c r="I17" s="18" t="str">
        <f t="shared" si="0"/>
        <v/>
      </c>
      <c r="J17" s="39" t="str">
        <f>IF(Übersicht!$C$9="Ja",IF(OR(E17=""),"",I17-$M$2/5),IF(OR(E17="",F17=""),"",I17-$M$2/5))</f>
        <v/>
      </c>
      <c r="K17" s="10">
        <f t="shared" ca="1" si="2"/>
        <v>0</v>
      </c>
    </row>
    <row r="18" spans="1:13" x14ac:dyDescent="0.25">
      <c r="A18" s="51">
        <v>0.55277777777777781</v>
      </c>
      <c r="B18" s="34">
        <f t="shared" si="3"/>
        <v>43997</v>
      </c>
      <c r="C18" s="1" t="str">
        <f t="shared" si="1"/>
        <v>Sonntag</v>
      </c>
      <c r="D18" s="21" t="str">
        <f>IF(COUNTIFS(Verweise!$A$2:$A$4542,Übersicht!$C$7,Verweise!$B$2:$B$4542,B18)=1,"Feiertag",IF(C18="Samstag","",IF(C18="Sonntag","",Übersicht!$C$8)))</f>
        <v/>
      </c>
      <c r="E18" s="19"/>
      <c r="F18" s="19"/>
      <c r="G18" s="67"/>
      <c r="H18" s="19"/>
      <c r="I18" s="18" t="str">
        <f t="shared" si="0"/>
        <v/>
      </c>
      <c r="J18" s="39" t="str">
        <f>IF(Übersicht!$C$9="Ja",IF(OR(E18=""),"",I18-$M$2/5),IF(OR(E18="",F18=""),"",I18-$M$2/5))</f>
        <v/>
      </c>
      <c r="K18" s="10">
        <f t="shared" ca="1" si="2"/>
        <v>0</v>
      </c>
      <c r="L18" s="31"/>
      <c r="M18" s="22"/>
    </row>
    <row r="19" spans="1:13" x14ac:dyDescent="0.25">
      <c r="A19" s="30">
        <f t="shared" si="4"/>
        <v>0</v>
      </c>
      <c r="B19" s="34">
        <f t="shared" si="3"/>
        <v>43998</v>
      </c>
      <c r="C19" s="1" t="str">
        <f t="shared" si="1"/>
        <v>Montag</v>
      </c>
      <c r="D19" s="21" t="str">
        <f>IF(COUNTIFS(Verweise!$A$2:$A$4542,Übersicht!$C$7,Verweise!$B$2:$B$4542,B19)=1,"Feiertag",IF(C19="Samstag","",IF(C19="Sonntag","",Übersicht!$C$8)))</f>
        <v>Büro</v>
      </c>
      <c r="E19" s="19"/>
      <c r="F19" s="19"/>
      <c r="G19" s="67"/>
      <c r="H19" s="19"/>
      <c r="I19" s="18" t="str">
        <f t="shared" si="0"/>
        <v/>
      </c>
      <c r="J19" s="39" t="str">
        <f>IF(Übersicht!$C$9="Ja",IF(OR(E19=""),"",I19-$M$2/5),IF(OR(E19="",F19=""),"",I19-$M$2/5))</f>
        <v/>
      </c>
      <c r="K19" s="10">
        <f t="shared" ca="1" si="2"/>
        <v>0</v>
      </c>
      <c r="L19" s="22"/>
    </row>
    <row r="20" spans="1:13" x14ac:dyDescent="0.25">
      <c r="A20" s="30">
        <f t="shared" si="4"/>
        <v>0</v>
      </c>
      <c r="B20" s="34">
        <f t="shared" si="3"/>
        <v>43999</v>
      </c>
      <c r="C20" s="1" t="str">
        <f t="shared" si="1"/>
        <v>Dienstag</v>
      </c>
      <c r="D20" s="21" t="str">
        <f>IF(COUNTIFS(Verweise!$A$2:$A$4542,Übersicht!$C$7,Verweise!$B$2:$B$4542,B20)=1,"Feiertag",IF(C20="Samstag","",IF(C20="Sonntag","",Übersicht!$C$8)))</f>
        <v>Büro</v>
      </c>
      <c r="E20" s="19"/>
      <c r="F20" s="19"/>
      <c r="G20" s="67"/>
      <c r="H20" s="19"/>
      <c r="I20" s="18" t="str">
        <f t="shared" si="0"/>
        <v/>
      </c>
      <c r="J20" s="39" t="str">
        <f>IF(Übersicht!$C$9="Ja",IF(OR(E20=""),"",I20-$M$2/5),IF(OR(E20="",F20=""),"",I20-$M$2/5))</f>
        <v/>
      </c>
      <c r="K20" s="10">
        <f t="shared" ca="1" si="2"/>
        <v>0</v>
      </c>
      <c r="L20" s="31"/>
    </row>
    <row r="21" spans="1:13" x14ac:dyDescent="0.25">
      <c r="A21" s="30">
        <f t="shared" si="4"/>
        <v>0</v>
      </c>
      <c r="B21" s="34">
        <f t="shared" si="3"/>
        <v>44000</v>
      </c>
      <c r="C21" s="1" t="str">
        <f t="shared" si="1"/>
        <v>Mittwoch</v>
      </c>
      <c r="D21" s="21" t="str">
        <f>IF(COUNTIFS(Verweise!$A$2:$A$4542,Übersicht!$C$7,Verweise!$B$2:$B$4542,B21)=1,"Feiertag",IF(C21="Samstag","",IF(C21="Sonntag","",Übersicht!$C$8)))</f>
        <v>Büro</v>
      </c>
      <c r="E21" s="19"/>
      <c r="F21" s="19"/>
      <c r="G21" s="66"/>
      <c r="H21" s="19"/>
      <c r="I21" s="18" t="str">
        <f t="shared" si="0"/>
        <v/>
      </c>
      <c r="J21" s="39" t="str">
        <f>IF(Übersicht!$C$9="Ja",IF(OR(E21=""),"",I21-$M$2/5),IF(OR(E21="",F21=""),"",I21-$M$2/5))</f>
        <v/>
      </c>
      <c r="K21" s="10">
        <f t="shared" ca="1" si="2"/>
        <v>0</v>
      </c>
      <c r="L21" s="22"/>
    </row>
    <row r="22" spans="1:13" x14ac:dyDescent="0.25">
      <c r="A22" s="51">
        <v>0.66388888888888886</v>
      </c>
      <c r="B22" s="34">
        <f t="shared" si="3"/>
        <v>44001</v>
      </c>
      <c r="C22" s="1" t="str">
        <f t="shared" si="1"/>
        <v>Donnerstag</v>
      </c>
      <c r="D22" s="21" t="str">
        <f>IF(COUNTIFS(Verweise!$A$2:$A$4542,Übersicht!$C$7,Verweise!$B$2:$B$4542,B22)=1,"Feiertag",IF(C22="Samstag","",IF(C22="Sonntag","",Übersicht!$C$8)))</f>
        <v>Büro</v>
      </c>
      <c r="E22" s="19"/>
      <c r="F22" s="19"/>
      <c r="G22" s="66"/>
      <c r="H22" s="19"/>
      <c r="I22" s="18" t="str">
        <f t="shared" si="0"/>
        <v/>
      </c>
      <c r="J22" s="39" t="str">
        <f>IF(Übersicht!$C$9="Ja",IF(OR(E22=""),"",I22-$M$2/5),IF(OR(E22="",F22=""),"",I22-$M$2/5))</f>
        <v/>
      </c>
      <c r="K22" s="10">
        <f t="shared" ca="1" si="2"/>
        <v>0</v>
      </c>
      <c r="L22" s="22"/>
    </row>
    <row r="23" spans="1:13" x14ac:dyDescent="0.25">
      <c r="A23" s="51">
        <v>0.68888888888888899</v>
      </c>
      <c r="B23" s="34">
        <f t="shared" si="3"/>
        <v>44002</v>
      </c>
      <c r="C23" s="1" t="str">
        <f t="shared" si="1"/>
        <v>Freitag</v>
      </c>
      <c r="D23" s="21" t="str">
        <f>IF(COUNTIFS(Verweise!$A$2:$A$4542,Übersicht!$C$7,Verweise!$B$2:$B$4542,B23)=1,"Feiertag",IF(C23="Samstag","",IF(C23="Sonntag","",Übersicht!$C$8)))</f>
        <v>Büro</v>
      </c>
      <c r="E23" s="19"/>
      <c r="F23" s="19"/>
      <c r="G23" s="66"/>
      <c r="H23" s="19"/>
      <c r="I23" s="18" t="str">
        <f t="shared" si="0"/>
        <v/>
      </c>
      <c r="J23" s="39" t="str">
        <f>IF(Übersicht!$C$9="Ja",IF(OR(E23=""),"",I23-$M$2/5),IF(OR(E23="",F23=""),"",I23-$M$2/5))</f>
        <v/>
      </c>
      <c r="K23" s="10">
        <f t="shared" ca="1" si="2"/>
        <v>0</v>
      </c>
    </row>
    <row r="24" spans="1:13" x14ac:dyDescent="0.25">
      <c r="A24" s="51">
        <v>0.72083333333333333</v>
      </c>
      <c r="B24" s="34">
        <f t="shared" si="3"/>
        <v>44003</v>
      </c>
      <c r="C24" s="1" t="str">
        <f t="shared" si="1"/>
        <v>Samstag</v>
      </c>
      <c r="D24" s="21" t="str">
        <f>IF(COUNTIFS(Verweise!$A$2:$A$4542,Übersicht!$C$7,Verweise!$B$2:$B$4542,B24)=1,"Feiertag",IF(C24="Samstag","",IF(C24="Sonntag","",Übersicht!$C$8)))</f>
        <v/>
      </c>
      <c r="E24" s="19"/>
      <c r="F24" s="19"/>
      <c r="G24" s="66"/>
      <c r="H24" s="19"/>
      <c r="I24" s="18" t="str">
        <f t="shared" si="0"/>
        <v/>
      </c>
      <c r="J24" s="39" t="str">
        <f>IF(Übersicht!$C$9="Ja",IF(OR(E24=""),"",I24-$M$2/5),IF(OR(E24="",F24=""),"",I24-$M$2/5))</f>
        <v/>
      </c>
      <c r="K24" s="10">
        <f t="shared" ca="1" si="2"/>
        <v>0</v>
      </c>
      <c r="L24" s="22"/>
    </row>
    <row r="25" spans="1:13" x14ac:dyDescent="0.25">
      <c r="A25" s="51">
        <v>0.8041666666666667</v>
      </c>
      <c r="B25" s="34">
        <f t="shared" si="3"/>
        <v>44004</v>
      </c>
      <c r="C25" s="1" t="str">
        <f t="shared" si="1"/>
        <v>Sonntag</v>
      </c>
      <c r="D25" s="21" t="str">
        <f>IF(COUNTIFS(Verweise!$A$2:$A$4542,Übersicht!$C$7,Verweise!$B$2:$B$4542,B25)=1,"Feiertag",IF(C25="Samstag","",IF(C25="Sonntag","",Übersicht!$C$8)))</f>
        <v/>
      </c>
      <c r="E25" s="19"/>
      <c r="F25" s="19"/>
      <c r="G25" s="66"/>
      <c r="H25" s="19"/>
      <c r="I25" s="18" t="str">
        <f t="shared" si="0"/>
        <v/>
      </c>
      <c r="J25" s="39" t="str">
        <f>IF(Übersicht!$C$9="Ja",IF(OR(E25=""),"",I25-$M$2/5),IF(OR(E25="",F25=""),"",I25-$M$2/5))</f>
        <v/>
      </c>
      <c r="K25" s="10">
        <f t="shared" ca="1" si="2"/>
        <v>0</v>
      </c>
    </row>
    <row r="26" spans="1:13" x14ac:dyDescent="0.25">
      <c r="A26" s="51">
        <v>0.62847222222222221</v>
      </c>
      <c r="B26" s="34">
        <f t="shared" si="3"/>
        <v>44005</v>
      </c>
      <c r="C26" s="1" t="str">
        <f t="shared" si="1"/>
        <v>Montag</v>
      </c>
      <c r="D26" s="21" t="str">
        <f>IF(COUNTIFS(Verweise!$A$2:$A$4542,Übersicht!$C$7,Verweise!$B$2:$B$4542,B26)=1,"Feiertag",IF(C26="Samstag","",IF(C26="Sonntag","",Übersicht!$C$8)))</f>
        <v>Büro</v>
      </c>
      <c r="E26" s="19"/>
      <c r="F26" s="19"/>
      <c r="G26" s="66"/>
      <c r="H26" s="19"/>
      <c r="I26" s="18" t="str">
        <f t="shared" si="0"/>
        <v/>
      </c>
      <c r="J26" s="39" t="str">
        <f>IF(Übersicht!$C$9="Ja",IF(OR(E26=""),"",I26-$M$2/5),IF(OR(E26="",F26=""),"",I26-$M$2/5))</f>
        <v/>
      </c>
      <c r="K26" s="10">
        <f t="shared" ca="1" si="2"/>
        <v>0</v>
      </c>
    </row>
    <row r="27" spans="1:13" x14ac:dyDescent="0.25">
      <c r="A27" s="51">
        <v>0.65069444444444446</v>
      </c>
      <c r="B27" s="34">
        <f t="shared" si="3"/>
        <v>44006</v>
      </c>
      <c r="C27" s="1" t="str">
        <f t="shared" si="1"/>
        <v>Dienstag</v>
      </c>
      <c r="D27" s="21" t="str">
        <f>IF(COUNTIFS(Verweise!$A$2:$A$4542,Übersicht!$C$7,Verweise!$B$2:$B$4542,B27)=1,"Feiertag",IF(C27="Samstag","",IF(C27="Sonntag","",Übersicht!$C$8)))</f>
        <v>Büro</v>
      </c>
      <c r="E27" s="19"/>
      <c r="F27" s="19"/>
      <c r="G27" s="66"/>
      <c r="H27" s="19"/>
      <c r="I27" s="18" t="str">
        <f t="shared" si="0"/>
        <v/>
      </c>
      <c r="J27" s="39" t="str">
        <f>IF(Übersicht!$C$9="Ja",IF(OR(E27=""),"",I27-$M$2/5),IF(OR(E27="",F27=""),"",I27-$M$2/5))</f>
        <v/>
      </c>
      <c r="K27" s="10">
        <f t="shared" ca="1" si="2"/>
        <v>0</v>
      </c>
    </row>
    <row r="28" spans="1:13" x14ac:dyDescent="0.25">
      <c r="A28" s="51">
        <v>0.65902777777777777</v>
      </c>
      <c r="B28" s="34">
        <f t="shared" si="3"/>
        <v>44007</v>
      </c>
      <c r="C28" s="1" t="str">
        <f t="shared" si="1"/>
        <v>Mittwoch</v>
      </c>
      <c r="D28" s="21" t="str">
        <f>IF(COUNTIFS(Verweise!$A$2:$A$4542,Übersicht!$C$7,Verweise!$B$2:$B$4542,B28)=1,"Feiertag",IF(C28="Samstag","",IF(C28="Sonntag","",Übersicht!$C$8)))</f>
        <v>Büro</v>
      </c>
      <c r="E28" s="19"/>
      <c r="F28" s="19"/>
      <c r="G28" s="66"/>
      <c r="H28" s="19"/>
      <c r="I28" s="18" t="str">
        <f t="shared" si="0"/>
        <v/>
      </c>
      <c r="J28" s="39" t="str">
        <f>IF(Übersicht!$C$9="Ja",IF(OR(E28=""),"",I28-$M$2/5),IF(OR(E28="",F28=""),"",I28-$M$2/5))</f>
        <v/>
      </c>
      <c r="K28" s="10">
        <f t="shared" ca="1" si="2"/>
        <v>0</v>
      </c>
    </row>
    <row r="29" spans="1:13" x14ac:dyDescent="0.25">
      <c r="A29" s="51">
        <v>0.49861111111111112</v>
      </c>
      <c r="B29" s="34">
        <f t="shared" si="3"/>
        <v>44008</v>
      </c>
      <c r="C29" s="1" t="str">
        <f t="shared" si="1"/>
        <v>Donnerstag</v>
      </c>
      <c r="D29" s="21" t="str">
        <f>IF(COUNTIFS(Verweise!$A$2:$A$4542,Übersicht!$C$7,Verweise!$B$2:$B$4542,B29)=1,"Feiertag",IF(C29="Samstag","",IF(C29="Sonntag","",Übersicht!$C$8)))</f>
        <v>Büro</v>
      </c>
      <c r="E29" s="19"/>
      <c r="F29" s="19"/>
      <c r="G29" s="66"/>
      <c r="H29" s="19"/>
      <c r="I29" s="18" t="str">
        <f t="shared" si="0"/>
        <v/>
      </c>
      <c r="J29" s="39" t="str">
        <f>IF(Übersicht!$C$9="Ja",IF(OR(E29=""),"",I29-$M$2/5),IF(OR(E29="",F29=""),"",I29-$M$2/5))</f>
        <v/>
      </c>
      <c r="K29" s="10">
        <f t="shared" ca="1" si="2"/>
        <v>0</v>
      </c>
    </row>
    <row r="30" spans="1:13" x14ac:dyDescent="0.25">
      <c r="A30" s="51">
        <v>0.47638888888888892</v>
      </c>
      <c r="B30" s="34">
        <f t="shared" si="3"/>
        <v>44009</v>
      </c>
      <c r="C30" s="1" t="str">
        <f t="shared" si="1"/>
        <v>Freitag</v>
      </c>
      <c r="D30" s="21" t="str">
        <f>IF(COUNTIFS(Verweise!$A$2:$A$4542,Übersicht!$C$7,Verweise!$B$2:$B$4542,B30)=1,"Feiertag",IF(C30="Samstag","",IF(C30="Sonntag","",Übersicht!$C$8)))</f>
        <v>Büro</v>
      </c>
      <c r="E30" s="19"/>
      <c r="F30" s="19"/>
      <c r="G30" s="66"/>
      <c r="H30" s="19"/>
      <c r="I30" s="18" t="str">
        <f t="shared" si="0"/>
        <v/>
      </c>
      <c r="J30" s="39" t="str">
        <f>IF(Übersicht!$C$9="Ja",IF(OR(E30=""),"",I30-$M$2/5),IF(OR(E30="",F30=""),"",I30-$M$2/5))</f>
        <v/>
      </c>
      <c r="K30" s="10">
        <f t="shared" ca="1" si="2"/>
        <v>0</v>
      </c>
    </row>
    <row r="31" spans="1:13" x14ac:dyDescent="0.25">
      <c r="A31" s="51">
        <v>0.50416666666666665</v>
      </c>
      <c r="B31" s="34">
        <f t="shared" si="3"/>
        <v>44010</v>
      </c>
      <c r="C31" s="1" t="str">
        <f t="shared" si="1"/>
        <v>Samstag</v>
      </c>
      <c r="D31" s="21" t="str">
        <f>IF(COUNTIFS(Verweise!$A$2:$A$4542,Übersicht!$C$7,Verweise!$B$2:$B$4542,B31)=1,"Feiertag",IF(C31="Samstag","",IF(C31="Sonntag","",Übersicht!$C$8)))</f>
        <v/>
      </c>
      <c r="E31" s="19"/>
      <c r="F31" s="19"/>
      <c r="G31" s="66"/>
      <c r="H31" s="19"/>
      <c r="I31" s="18" t="str">
        <f t="shared" si="0"/>
        <v/>
      </c>
      <c r="J31" s="39" t="str">
        <f>IF(Übersicht!$C$9="Ja",IF(OR(E31=""),"",I31-$M$2/5),IF(OR(E31="",F31=""),"",I31-$M$2/5))</f>
        <v/>
      </c>
      <c r="K31" s="10">
        <f t="shared" ca="1" si="2"/>
        <v>0</v>
      </c>
    </row>
    <row r="32" spans="1:13" x14ac:dyDescent="0.25">
      <c r="A32" s="51">
        <v>0.4826388888888889</v>
      </c>
      <c r="B32" s="34">
        <f t="shared" si="3"/>
        <v>44011</v>
      </c>
      <c r="C32" s="1" t="str">
        <f t="shared" si="1"/>
        <v>Sonntag</v>
      </c>
      <c r="D32" s="21" t="str">
        <f>IF(COUNTIFS(Verweise!$A$2:$A$4542,Übersicht!$C$7,Verweise!$B$2:$B$4542,B32)=1,"Feiertag",IF(C32="Samstag","",IF(C32="Sonntag","",Übersicht!$C$8)))</f>
        <v/>
      </c>
      <c r="E32" s="19"/>
      <c r="F32" s="19"/>
      <c r="G32" s="66"/>
      <c r="H32" s="19"/>
      <c r="I32" s="18" t="str">
        <f t="shared" si="0"/>
        <v/>
      </c>
      <c r="J32" s="39" t="str">
        <f>IF(Übersicht!$C$9="Ja",IF(OR(E32=""),"",I32-$M$2/5),IF(OR(E32="",F32=""),"",I32-$M$2/5))</f>
        <v/>
      </c>
      <c r="K32" s="10">
        <f t="shared" ca="1" si="2"/>
        <v>0</v>
      </c>
    </row>
    <row r="33" spans="1:1" x14ac:dyDescent="0.25">
      <c r="A33" s="51">
        <v>0.53333333333333333</v>
      </c>
    </row>
  </sheetData>
  <sortState xmlns:xlrd2="http://schemas.microsoft.com/office/spreadsheetml/2017/richdata2" ref="L18:L25">
    <sortCondition ref="L18:L25"/>
  </sortState>
  <conditionalFormatting sqref="B33:J33 B4:C32">
    <cfRule type="expression" dxfId="385" priority="80">
      <formula>OR($C4="Samstag",$C4="Sonntag",$D4="Feiertag")</formula>
    </cfRule>
    <cfRule type="expression" dxfId="384" priority="81">
      <formula>OR($D4="Frei",$D4="Urlaub")</formula>
    </cfRule>
    <cfRule type="expression" dxfId="383" priority="82">
      <formula>$D4="Krank"</formula>
    </cfRule>
  </conditionalFormatting>
  <conditionalFormatting sqref="E31:H32">
    <cfRule type="expression" dxfId="382" priority="64">
      <formula>OR($C31="Samstag",$C31="Sonntag",$D31="Feiertag")</formula>
    </cfRule>
    <cfRule type="expression" dxfId="381" priority="65">
      <formula>OR($D31="Frei",$D31="Urlaub")</formula>
    </cfRule>
    <cfRule type="expression" dxfId="380" priority="66">
      <formula>$D31="Krank"</formula>
    </cfRule>
  </conditionalFormatting>
  <conditionalFormatting sqref="E4:H32">
    <cfRule type="expression" dxfId="379" priority="53">
      <formula>OR($C4="Samstag",$C4="Sonntag",$D4="Feiertag")</formula>
    </cfRule>
    <cfRule type="expression" dxfId="378" priority="54">
      <formula>OR($D4="Frei",$D4="Urlaub")</formula>
    </cfRule>
    <cfRule type="expression" dxfId="377" priority="55">
      <formula>$D4="Krank"</formula>
    </cfRule>
  </conditionalFormatting>
  <conditionalFormatting sqref="D4:D32">
    <cfRule type="expression" dxfId="376" priority="37">
      <formula>OR($C4="Samstag",$C4="Sonntag",$D4="Feiertag")</formula>
    </cfRule>
    <cfRule type="expression" dxfId="375" priority="38">
      <formula>OR($D4="Frei",$D4="Urlaub")</formula>
    </cfRule>
    <cfRule type="expression" dxfId="374" priority="39">
      <formula>$D4="Krank"</formula>
    </cfRule>
  </conditionalFormatting>
  <conditionalFormatting sqref="B3:C3">
    <cfRule type="expression" dxfId="373" priority="34">
      <formula>OR($C3="Samstag",$C3="Sonntag",$D3="Feiertag")</formula>
    </cfRule>
    <cfRule type="expression" dxfId="372" priority="35">
      <formula>OR($D3="Frei",$D3="Urlaub")</formula>
    </cfRule>
    <cfRule type="expression" dxfId="371" priority="36">
      <formula>$D3="Krank"</formula>
    </cfRule>
  </conditionalFormatting>
  <conditionalFormatting sqref="E3:G3">
    <cfRule type="expression" dxfId="370" priority="31">
      <formula>OR($C3="Samstag",$C3="Sonntag",$D3="Feiertag")</formula>
    </cfRule>
    <cfRule type="expression" dxfId="369" priority="32">
      <formula>OR($D3="Frei",$D3="Urlaub")</formula>
    </cfRule>
    <cfRule type="expression" dxfId="368" priority="33">
      <formula>$D3="Krank"</formula>
    </cfRule>
  </conditionalFormatting>
  <conditionalFormatting sqref="I3:I32">
    <cfRule type="expression" dxfId="367" priority="25">
      <formula>OR($C3="Samstag",$C3="Sonntag",$D3="Feiertag")</formula>
    </cfRule>
    <cfRule type="expression" dxfId="366" priority="26">
      <formula>OR($D3="Frei",$D3="Urlaub")</formula>
    </cfRule>
    <cfRule type="expression" dxfId="365" priority="27">
      <formula>$D3="Krank"</formula>
    </cfRule>
  </conditionalFormatting>
  <conditionalFormatting sqref="H3">
    <cfRule type="expression" dxfId="364" priority="14">
      <formula>OR($C3="Samstag",$C3="Sonntag",$D3="Feiertag")</formula>
    </cfRule>
    <cfRule type="expression" dxfId="363" priority="15">
      <formula>OR($D3="Frei",$D3="Urlaub")</formula>
    </cfRule>
    <cfRule type="expression" dxfId="362" priority="16">
      <formula>$D3="Krank"</formula>
    </cfRule>
  </conditionalFormatting>
  <conditionalFormatting sqref="D3">
    <cfRule type="expression" dxfId="361" priority="6">
      <formula>OR($C3="Samstag",$C3="Sonntag",$D3="Feiertag")</formula>
    </cfRule>
    <cfRule type="expression" dxfId="360" priority="7">
      <formula>OR($D3="Frei",$D3="Urlaub")</formula>
    </cfRule>
    <cfRule type="expression" dxfId="359" priority="8">
      <formula>$D3="Krank"</formula>
    </cfRule>
  </conditionalFormatting>
  <conditionalFormatting sqref="J3:J32">
    <cfRule type="cellIs" dxfId="358" priority="1" operator="greaterThan">
      <formula>0</formula>
    </cfRule>
    <cfRule type="cellIs" dxfId="357" priority="2" operator="lessThan">
      <formula>0</formula>
    </cfRule>
    <cfRule type="expression" dxfId="356" priority="3">
      <formula>OR($C3="Samstag",$C3="Sonntag",$D3="Feiertag")</formula>
    </cfRule>
    <cfRule type="expression" dxfId="355" priority="4">
      <formula>OR($D3="Frei",$D3="Urlaub")</formula>
    </cfRule>
    <cfRule type="expression" dxfId="354" priority="5">
      <formula>$D3="Krank"</formula>
    </cfRule>
  </conditionalFormatting>
  <pageMargins left="0.7" right="0.7" top="0.78740157499999996" bottom="0.78740157499999996" header="0.3" footer="0.3"/>
  <customProperties>
    <customPr name="ORB_SHEETNAME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4" r:id="rId4" name="Button 14">
              <controlPr defaultSize="0" print="0" autoFill="0" autoPict="0" macro="[0]!TimeStampStart">
                <anchor moveWithCells="1" sizeWithCells="1">
                  <from>
                    <xdr:col>10</xdr:col>
                    <xdr:colOff>228600</xdr:colOff>
                    <xdr:row>7</xdr:row>
                    <xdr:rowOff>114300</xdr:rowOff>
                  </from>
                  <to>
                    <xdr:col>11</xdr:col>
                    <xdr:colOff>1428750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5" name="Button 15">
              <controlPr defaultSize="0" print="0" autoFill="0" autoPict="0" macro="[0]!TimeStampEnd">
                <anchor moveWithCells="1" sizeWithCells="1">
                  <from>
                    <xdr:col>11</xdr:col>
                    <xdr:colOff>1590675</xdr:colOff>
                    <xdr:row>7</xdr:row>
                    <xdr:rowOff>104775</xdr:rowOff>
                  </from>
                  <to>
                    <xdr:col>13</xdr:col>
                    <xdr:colOff>19050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6" name="Button 16">
              <controlPr defaultSize="0" print="0" autoFill="0" autoPict="0" macro="[0]!PauseStart">
                <anchor moveWithCells="1" sizeWithCells="1">
                  <from>
                    <xdr:col>10</xdr:col>
                    <xdr:colOff>228600</xdr:colOff>
                    <xdr:row>9</xdr:row>
                    <xdr:rowOff>152400</xdr:rowOff>
                  </from>
                  <to>
                    <xdr:col>11</xdr:col>
                    <xdr:colOff>1428750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7" name="Button 17">
              <controlPr defaultSize="0" print="0" autoFill="0" autoPict="0" macro="[0]!PauseEnd">
                <anchor moveWithCells="1" sizeWithCells="1">
                  <from>
                    <xdr:col>11</xdr:col>
                    <xdr:colOff>1590675</xdr:colOff>
                    <xdr:row>9</xdr:row>
                    <xdr:rowOff>142875</xdr:rowOff>
                  </from>
                  <to>
                    <xdr:col>13</xdr:col>
                    <xdr:colOff>19050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Verweise!$F$24:$F$30</xm:f>
          </x14:formula1>
          <xm:sqref>D3:D32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>
    <tabColor theme="3"/>
  </sheetPr>
  <dimension ref="A1:U34"/>
  <sheetViews>
    <sheetView workbookViewId="0">
      <selection activeCell="L20" sqref="L20:L24"/>
    </sheetView>
  </sheetViews>
  <sheetFormatPr defaultColWidth="0" defaultRowHeight="15" zeroHeight="1" x14ac:dyDescent="0.25"/>
  <cols>
    <col min="1" max="1" width="2.7109375" style="7" customWidth="1"/>
    <col min="2" max="2" width="10.7109375" style="7" customWidth="1"/>
    <col min="3" max="3" width="11.5703125" style="7" customWidth="1"/>
    <col min="4" max="4" width="26.42578125" style="7" customWidth="1"/>
    <col min="5" max="5" width="14.42578125" style="7" customWidth="1"/>
    <col min="6" max="6" width="12.140625" style="7" customWidth="1"/>
    <col min="7" max="7" width="12.140625" style="55" customWidth="1"/>
    <col min="8" max="9" width="13.5703125" style="7" customWidth="1"/>
    <col min="10" max="10" width="14.28515625" style="7" customWidth="1"/>
    <col min="11" max="11" width="2.7109375" style="7" customWidth="1"/>
    <col min="12" max="12" width="33.7109375" style="7" bestFit="1" customWidth="1"/>
    <col min="13" max="13" width="11.42578125" style="7" customWidth="1"/>
    <col min="14" max="14" width="2.7109375" style="7" customWidth="1"/>
    <col min="15" max="21" width="0" style="7" hidden="1" customWidth="1"/>
    <col min="22" max="16384" width="11.42578125" style="7" hidden="1"/>
  </cols>
  <sheetData>
    <row r="1" spans="1:18" x14ac:dyDescent="0.25"/>
    <row r="2" spans="1:18" ht="15.75" thickBot="1" x14ac:dyDescent="0.3">
      <c r="B2" s="62" t="s">
        <v>0</v>
      </c>
      <c r="C2" s="62" t="s">
        <v>1</v>
      </c>
      <c r="D2" s="62" t="s">
        <v>2</v>
      </c>
      <c r="E2" s="62" t="s">
        <v>3</v>
      </c>
      <c r="F2" s="62" t="s">
        <v>4</v>
      </c>
      <c r="G2" s="63" t="s">
        <v>81</v>
      </c>
      <c r="H2" s="64" t="s">
        <v>83</v>
      </c>
      <c r="I2" s="62" t="s">
        <v>5</v>
      </c>
      <c r="J2" s="62" t="s">
        <v>82</v>
      </c>
      <c r="L2" s="3" t="s">
        <v>6</v>
      </c>
      <c r="M2" s="6">
        <f>Übersicht!C2</f>
        <v>1.6666666666666667</v>
      </c>
      <c r="Q2" s="10" t="s">
        <v>30</v>
      </c>
      <c r="R2" s="10" t="s">
        <v>31</v>
      </c>
    </row>
    <row r="3" spans="1:18" x14ac:dyDescent="0.25">
      <c r="A3" s="51"/>
      <c r="B3" s="34">
        <f>("01.07."&amp;Übersicht!$C$6)*1</f>
        <v>44012</v>
      </c>
      <c r="C3" s="1" t="str">
        <f>TEXT(B3,"TTTT")</f>
        <v>Montag</v>
      </c>
      <c r="D3" s="21" t="str">
        <f>IF(COUNTIFS(Verweise!$A$2:$A$4542,Übersicht!$C$7,Verweise!$B$2:$B$4542,B3)=1,"Feiertag",IF(C3="Samstag","",IF(C3="Sonntag","",Übersicht!$C$8)))</f>
        <v>Büro</v>
      </c>
      <c r="E3" s="17"/>
      <c r="F3" s="17"/>
      <c r="G3" s="57"/>
      <c r="H3" s="17"/>
      <c r="I3" s="18" t="str">
        <f t="shared" ref="I3:I33" si="0">IF(E3="","",F3-E3-H3)</f>
        <v/>
      </c>
      <c r="J3" s="39" t="str">
        <f>IF(Übersicht!$C$9="Ja",IF(OR(E3=""),"",I3-$M$2/5),IF(OR(E3="",F3=""),"",I3-$M$2/5))</f>
        <v/>
      </c>
      <c r="K3" s="10">
        <f ca="1">IF(B3=TODAY(),ROW(),0)</f>
        <v>0</v>
      </c>
      <c r="L3" s="3" t="str">
        <f>"Ist Arbeitszeit im "&amp;TEXT(B3,"MMMM")</f>
        <v>Ist Arbeitszeit im Juli</v>
      </c>
      <c r="M3" s="29">
        <f>SUM(I3:I32)</f>
        <v>0</v>
      </c>
      <c r="P3" s="10" t="s">
        <v>24</v>
      </c>
    </row>
    <row r="4" spans="1:18" x14ac:dyDescent="0.25">
      <c r="A4" s="51"/>
      <c r="B4" s="34">
        <f>B3+1</f>
        <v>44013</v>
      </c>
      <c r="C4" s="1" t="str">
        <f t="shared" ref="C4:C33" si="1">TEXT(B4,"TTTT")</f>
        <v>Dienstag</v>
      </c>
      <c r="D4" s="21" t="str">
        <f>IF(COUNTIFS(Verweise!$A$2:$A$4542,Übersicht!$C$7,Verweise!$B$2:$B$4542,B4)=1,"Feiertag",IF(C4="Samstag","",IF(C4="Sonntag","",Übersicht!$C$8)))</f>
        <v>Büro</v>
      </c>
      <c r="E4" s="19"/>
      <c r="F4" s="19"/>
      <c r="G4" s="66"/>
      <c r="H4" s="19"/>
      <c r="I4" s="18" t="str">
        <f t="shared" si="0"/>
        <v/>
      </c>
      <c r="J4" s="39" t="str">
        <f>IF(Übersicht!$C$9="Ja",IF(OR(E4=""),"",I4-$M$2/5),IF(OR(E4="",F4=""),"",I4-$M$2/5))</f>
        <v/>
      </c>
      <c r="K4" s="10">
        <f t="shared" ref="K4:K33" ca="1" si="2">IF(B4=TODAY(),ROW(),0)</f>
        <v>0</v>
      </c>
      <c r="L4" s="3" t="str">
        <f>"Wochen im "&amp;TEXT(B3,"MMMM")</f>
        <v>Wochen im Juli</v>
      </c>
      <c r="M4" s="2">
        <f>ROUND(COUNTA(C3:C33)/7,2)</f>
        <v>4.43</v>
      </c>
      <c r="P4" s="10" t="s">
        <v>25</v>
      </c>
    </row>
    <row r="5" spans="1:18" x14ac:dyDescent="0.25">
      <c r="A5" s="51"/>
      <c r="B5" s="34">
        <f t="shared" ref="B5:B33" si="3">B4+1</f>
        <v>44014</v>
      </c>
      <c r="C5" s="1" t="str">
        <f t="shared" si="1"/>
        <v>Mittwoch</v>
      </c>
      <c r="D5" s="21" t="str">
        <f>IF(COUNTIFS(Verweise!$A$2:$A$4542,Übersicht!$C$7,Verweise!$B$2:$B$4542,B5)=1,"Feiertag",IF(C5="Samstag","",IF(C5="Sonntag","",Übersicht!$C$8)))</f>
        <v>Büro</v>
      </c>
      <c r="E5" s="19"/>
      <c r="F5" s="19"/>
      <c r="G5" s="67"/>
      <c r="H5" s="19"/>
      <c r="I5" s="18" t="str">
        <f t="shared" si="0"/>
        <v/>
      </c>
      <c r="J5" s="39" t="str">
        <f>IF(Übersicht!$C$9="Ja",IF(OR(E5=""),"",I5-$M$2/5),IF(OR(E5="",F5=""),"",I5-$M$2/5))</f>
        <v/>
      </c>
      <c r="K5" s="10">
        <f t="shared" ca="1" si="2"/>
        <v>0</v>
      </c>
      <c r="L5" s="3" t="s">
        <v>32</v>
      </c>
      <c r="M5" s="29">
        <f>M4*M2-(SUM(A3:A32)*M2/7)</f>
        <v>7.3833333333333329</v>
      </c>
      <c r="P5" s="10" t="s">
        <v>26</v>
      </c>
    </row>
    <row r="6" spans="1:18" x14ac:dyDescent="0.25">
      <c r="A6" s="51"/>
      <c r="B6" s="34">
        <f t="shared" si="3"/>
        <v>44015</v>
      </c>
      <c r="C6" s="1" t="str">
        <f t="shared" si="1"/>
        <v>Donnerstag</v>
      </c>
      <c r="D6" s="21" t="str">
        <f>IF(COUNTIFS(Verweise!$A$2:$A$4542,Übersicht!$C$7,Verweise!$B$2:$B$4542,B6)=1,"Feiertag",IF(C6="Samstag","",IF(C6="Sonntag","",Übersicht!$C$8)))</f>
        <v>Büro</v>
      </c>
      <c r="E6" s="19"/>
      <c r="F6" s="19"/>
      <c r="G6" s="66"/>
      <c r="H6" s="19"/>
      <c r="I6" s="18" t="str">
        <f t="shared" si="0"/>
        <v/>
      </c>
      <c r="J6" s="39" t="str">
        <f>IF(Übersicht!$C$9="Ja",IF(OR(E6=""),"",I6-$M$2/5),IF(OR(E6="",F6=""),"",I6-$M$2/5))</f>
        <v/>
      </c>
      <c r="K6" s="10">
        <f t="shared" ca="1" si="2"/>
        <v>0</v>
      </c>
      <c r="L6" s="3" t="str">
        <f>IF(M6&lt;0,"Minustunden","Überstunden")</f>
        <v>Überstunden</v>
      </c>
      <c r="M6" s="6">
        <f>SUM(J:J)</f>
        <v>0</v>
      </c>
      <c r="P6" s="10" t="s">
        <v>27</v>
      </c>
    </row>
    <row r="7" spans="1:18" x14ac:dyDescent="0.25">
      <c r="A7" s="51"/>
      <c r="B7" s="34">
        <f t="shared" si="3"/>
        <v>44016</v>
      </c>
      <c r="C7" s="1" t="str">
        <f t="shared" si="1"/>
        <v>Freitag</v>
      </c>
      <c r="D7" s="21" t="str">
        <f>IF(COUNTIFS(Verweise!$A$2:$A$4542,Übersicht!$C$7,Verweise!$B$2:$B$4542,B7)=1,"Feiertag",IF(C7="Samstag","",IF(C7="Sonntag","",Übersicht!$C$8)))</f>
        <v>Büro</v>
      </c>
      <c r="E7" s="19"/>
      <c r="F7" s="19"/>
      <c r="G7" s="66"/>
      <c r="H7" s="19"/>
      <c r="I7" s="18" t="str">
        <f t="shared" si="0"/>
        <v/>
      </c>
      <c r="J7" s="39" t="str">
        <f>IF(Übersicht!$C$9="Ja",IF(OR(E7=""),"",I7-$M$2/5),IF(OR(E7="",F7=""),"",I7-$M$2/5))</f>
        <v/>
      </c>
      <c r="K7" s="10">
        <f t="shared" ca="1" si="2"/>
        <v>0</v>
      </c>
      <c r="L7" s="3" t="str">
        <f ca="1">IF(M7&lt;0,"Minustunden gesamt","Überstunden gesamt")</f>
        <v>Überstunden gesamt</v>
      </c>
      <c r="M7" s="6">
        <f ca="1">Übersicht!C26</f>
        <v>0</v>
      </c>
      <c r="P7" s="10" t="s">
        <v>28</v>
      </c>
    </row>
    <row r="8" spans="1:18" x14ac:dyDescent="0.25">
      <c r="A8" s="51"/>
      <c r="B8" s="34">
        <f t="shared" si="3"/>
        <v>44017</v>
      </c>
      <c r="C8" s="1" t="str">
        <f t="shared" si="1"/>
        <v>Samstag</v>
      </c>
      <c r="D8" s="21" t="str">
        <f>IF(COUNTIFS(Verweise!$A$2:$A$4542,Übersicht!$C$7,Verweise!$B$2:$B$4542,B8)=1,"Feiertag",IF(C8="Samstag","",IF(C8="Sonntag","",Übersicht!$C$8)))</f>
        <v/>
      </c>
      <c r="E8" s="19"/>
      <c r="F8" s="19"/>
      <c r="G8" s="66"/>
      <c r="H8" s="19"/>
      <c r="I8" s="18" t="str">
        <f t="shared" si="0"/>
        <v/>
      </c>
      <c r="J8" s="39" t="str">
        <f>IF(Übersicht!$C$9="Ja",IF(OR(E8=""),"",I8-$M$2/5),IF(OR(E8="",F8=""),"",I8-$M$2/5))</f>
        <v/>
      </c>
      <c r="K8" s="10">
        <f t="shared" ca="1" si="2"/>
        <v>0</v>
      </c>
      <c r="P8" s="10" t="s">
        <v>29</v>
      </c>
    </row>
    <row r="9" spans="1:18" x14ac:dyDescent="0.25">
      <c r="A9" s="51"/>
      <c r="B9" s="34">
        <f t="shared" si="3"/>
        <v>44018</v>
      </c>
      <c r="C9" s="1" t="str">
        <f t="shared" si="1"/>
        <v>Sonntag</v>
      </c>
      <c r="D9" s="21" t="str">
        <f>IF(COUNTIFS(Verweise!$A$2:$A$4542,Übersicht!$C$7,Verweise!$B$2:$B$4542,B9)=1,"Feiertag",IF(C9="Samstag","",IF(C9="Sonntag","",Übersicht!$C$8)))</f>
        <v/>
      </c>
      <c r="E9" s="19"/>
      <c r="F9" s="19"/>
      <c r="G9" s="66"/>
      <c r="H9" s="19"/>
      <c r="I9" s="18" t="str">
        <f t="shared" si="0"/>
        <v/>
      </c>
      <c r="J9" s="39" t="str">
        <f>IF(Übersicht!$C$9="Ja",IF(OR(E9=""),"",I9-$M$2/5),IF(OR(E9="",F9=""),"",I9-$M$2/5))</f>
        <v/>
      </c>
      <c r="K9" s="10">
        <f t="shared" ca="1" si="2"/>
        <v>0</v>
      </c>
    </row>
    <row r="10" spans="1:18" x14ac:dyDescent="0.25">
      <c r="A10" s="51"/>
      <c r="B10" s="34">
        <f t="shared" si="3"/>
        <v>44019</v>
      </c>
      <c r="C10" s="1" t="str">
        <f t="shared" si="1"/>
        <v>Montag</v>
      </c>
      <c r="D10" s="21" t="str">
        <f>IF(COUNTIFS(Verweise!$A$2:$A$4542,Übersicht!$C$7,Verweise!$B$2:$B$4542,B10)=1,"Feiertag",IF(C10="Samstag","",IF(C10="Sonntag","",Übersicht!$C$8)))</f>
        <v>Büro</v>
      </c>
      <c r="E10" s="19"/>
      <c r="F10" s="19"/>
      <c r="G10" s="66"/>
      <c r="H10" s="19"/>
      <c r="I10" s="18" t="str">
        <f t="shared" si="0"/>
        <v/>
      </c>
      <c r="J10" s="39" t="str">
        <f>IF(Übersicht!$C$9="Ja",IF(OR(E10=""),"",I10-$M$2/5),IF(OR(E10="",F10=""),"",I10-$M$2/5))</f>
        <v/>
      </c>
      <c r="K10" s="10">
        <f t="shared" ca="1" si="2"/>
        <v>0</v>
      </c>
    </row>
    <row r="11" spans="1:18" x14ac:dyDescent="0.25">
      <c r="A11" s="51"/>
      <c r="B11" s="34">
        <f t="shared" si="3"/>
        <v>44020</v>
      </c>
      <c r="C11" s="1" t="str">
        <f t="shared" si="1"/>
        <v>Dienstag</v>
      </c>
      <c r="D11" s="21" t="str">
        <f>IF(COUNTIFS(Verweise!$A$2:$A$4542,Übersicht!$C$7,Verweise!$B$2:$B$4542,B11)=1,"Feiertag",IF(C11="Samstag","",IF(C11="Sonntag","",Übersicht!$C$8)))</f>
        <v>Büro</v>
      </c>
      <c r="E11" s="19"/>
      <c r="F11" s="19"/>
      <c r="G11" s="66"/>
      <c r="H11" s="19"/>
      <c r="I11" s="18" t="str">
        <f t="shared" si="0"/>
        <v/>
      </c>
      <c r="J11" s="39" t="str">
        <f>IF(Übersicht!$C$9="Ja",IF(OR(E11=""),"",I11-$M$2/5),IF(OR(E11="",F11=""),"",I11-$M$2/5))</f>
        <v/>
      </c>
      <c r="K11" s="10">
        <f t="shared" ca="1" si="2"/>
        <v>0</v>
      </c>
    </row>
    <row r="12" spans="1:18" x14ac:dyDescent="0.25">
      <c r="A12" s="30"/>
      <c r="B12" s="34">
        <f t="shared" si="3"/>
        <v>44021</v>
      </c>
      <c r="C12" s="1" t="str">
        <f t="shared" si="1"/>
        <v>Mittwoch</v>
      </c>
      <c r="D12" s="21" t="str">
        <f>IF(COUNTIFS(Verweise!$A$2:$A$4542,Übersicht!$C$7,Verweise!$B$2:$B$4542,B12)=1,"Feiertag",IF(C12="Samstag","",IF(C12="Sonntag","",Übersicht!$C$8)))</f>
        <v>Büro</v>
      </c>
      <c r="E12" s="19"/>
      <c r="F12" s="19"/>
      <c r="G12" s="67"/>
      <c r="H12" s="19"/>
      <c r="I12" s="18" t="str">
        <f t="shared" si="0"/>
        <v/>
      </c>
      <c r="J12" s="39" t="str">
        <f>IF(Übersicht!$C$9="Ja",IF(OR(E12=""),"",I12-$M$2/5),IF(OR(E12="",F12=""),"",I12-$M$2/5))</f>
        <v/>
      </c>
      <c r="K12" s="10">
        <f t="shared" ca="1" si="2"/>
        <v>0</v>
      </c>
    </row>
    <row r="13" spans="1:18" x14ac:dyDescent="0.25">
      <c r="A13" s="51"/>
      <c r="B13" s="34">
        <f t="shared" si="3"/>
        <v>44022</v>
      </c>
      <c r="C13" s="1" t="str">
        <f t="shared" si="1"/>
        <v>Donnerstag</v>
      </c>
      <c r="D13" s="21" t="str">
        <f>IF(COUNTIFS(Verweise!$A$2:$A$4542,Übersicht!$C$7,Verweise!$B$2:$B$4542,B13)=1,"Feiertag",IF(C13="Samstag","",IF(C13="Sonntag","",Übersicht!$C$8)))</f>
        <v>Büro</v>
      </c>
      <c r="E13" s="19"/>
      <c r="F13" s="19"/>
      <c r="G13" s="67"/>
      <c r="H13" s="19"/>
      <c r="I13" s="18" t="str">
        <f t="shared" ref="I13" si="4">IF(E13="","",F13-E13-H13)</f>
        <v/>
      </c>
      <c r="J13" s="39" t="str">
        <f>IF(Übersicht!$C$9="Ja",IF(OR(E13=""),"",I13-$M$2/5),IF(OR(E13="",F13=""),"",I13-$M$2/5))</f>
        <v/>
      </c>
      <c r="K13" s="10">
        <f t="shared" ca="1" si="2"/>
        <v>0</v>
      </c>
    </row>
    <row r="14" spans="1:18" x14ac:dyDescent="0.25">
      <c r="A14" s="51"/>
      <c r="B14" s="34">
        <f t="shared" si="3"/>
        <v>44023</v>
      </c>
      <c r="C14" s="1" t="str">
        <f t="shared" si="1"/>
        <v>Freitag</v>
      </c>
      <c r="D14" s="21" t="str">
        <f>IF(COUNTIFS(Verweise!$A$2:$A$4542,Übersicht!$C$7,Verweise!$B$2:$B$4542,B14)=1,"Feiertag",IF(C14="Samstag","",IF(C14="Sonntag","",Übersicht!$C$8)))</f>
        <v>Büro</v>
      </c>
      <c r="E14" s="19"/>
      <c r="F14" s="19"/>
      <c r="G14" s="67"/>
      <c r="H14" s="19"/>
      <c r="I14" s="18" t="str">
        <f t="shared" ref="I14" si="5">IF(E14="","",F14-E14-H14)</f>
        <v/>
      </c>
      <c r="J14" s="39" t="str">
        <f>IF(Übersicht!$C$9="Ja",IF(OR(E14=""),"",I14-$M$2/5),IF(OR(E14="",F14=""),"",I14-$M$2/5))</f>
        <v/>
      </c>
      <c r="K14" s="10">
        <f t="shared" ca="1" si="2"/>
        <v>0</v>
      </c>
      <c r="L14" s="79" t="s">
        <v>85</v>
      </c>
      <c r="M14" s="22">
        <v>0.5180555555555556</v>
      </c>
    </row>
    <row r="15" spans="1:18" x14ac:dyDescent="0.25">
      <c r="A15" s="51"/>
      <c r="B15" s="34">
        <f t="shared" si="3"/>
        <v>44024</v>
      </c>
      <c r="C15" s="1" t="str">
        <f t="shared" si="1"/>
        <v>Samstag</v>
      </c>
      <c r="D15" s="21" t="str">
        <f>IF(COUNTIFS(Verweise!$A$2:$A$4542,Übersicht!$C$7,Verweise!$B$2:$B$4542,B15)=1,"Feiertag",IF(C15="Samstag","",IF(C15="Sonntag","",Übersicht!$C$8)))</f>
        <v/>
      </c>
      <c r="E15" s="19"/>
      <c r="F15" s="19"/>
      <c r="G15" s="67"/>
      <c r="H15" s="19"/>
      <c r="I15" s="18" t="str">
        <f t="shared" si="0"/>
        <v/>
      </c>
      <c r="J15" s="39" t="str">
        <f>IF(Übersicht!$C$9="Ja",IF(OR(E15=""),"",I15-$M$2/5),IF(OR(E15="",F15=""),"",I15-$M$2/5))</f>
        <v/>
      </c>
      <c r="K15" s="10">
        <f t="shared" ca="1" si="2"/>
        <v>0</v>
      </c>
      <c r="L15" s="79" t="s">
        <v>86</v>
      </c>
      <c r="M15" s="22">
        <v>0.56041666666666667</v>
      </c>
    </row>
    <row r="16" spans="1:18" x14ac:dyDescent="0.25">
      <c r="A16" s="51"/>
      <c r="B16" s="34">
        <f t="shared" si="3"/>
        <v>44025</v>
      </c>
      <c r="C16" s="1" t="str">
        <f t="shared" si="1"/>
        <v>Sonntag</v>
      </c>
      <c r="D16" s="21" t="str">
        <f>IF(COUNTIFS(Verweise!$A$2:$A$4542,Übersicht!$C$7,Verweise!$B$2:$B$4542,B16)=1,"Feiertag",IF(C16="Samstag","",IF(C16="Sonntag","",Übersicht!$C$8)))</f>
        <v/>
      </c>
      <c r="E16" s="19"/>
      <c r="F16" s="19"/>
      <c r="G16" s="67"/>
      <c r="H16" s="19"/>
      <c r="I16" s="18" t="str">
        <f t="shared" si="0"/>
        <v/>
      </c>
      <c r="J16" s="39" t="str">
        <f>IF(Übersicht!$C$9="Ja",IF(OR(E16=""),"",I16-$M$2/5),IF(OR(E16="",F16=""),"",I16-$M$2/5))</f>
        <v/>
      </c>
      <c r="K16" s="10">
        <f t="shared" ca="1" si="2"/>
        <v>0</v>
      </c>
      <c r="L16" s="22"/>
    </row>
    <row r="17" spans="1:12" x14ac:dyDescent="0.25">
      <c r="A17" s="51"/>
      <c r="B17" s="34">
        <f t="shared" si="3"/>
        <v>44026</v>
      </c>
      <c r="C17" s="1" t="str">
        <f t="shared" si="1"/>
        <v>Montag</v>
      </c>
      <c r="D17" s="21" t="str">
        <f>IF(COUNTIFS(Verweise!$A$2:$A$4542,Übersicht!$C$7,Verweise!$B$2:$B$4542,B17)=1,"Feiertag",IF(C17="Samstag","",IF(C17="Sonntag","",Übersicht!$C$8)))</f>
        <v>Büro</v>
      </c>
      <c r="E17" s="19"/>
      <c r="F17" s="19"/>
      <c r="G17" s="68"/>
      <c r="H17" s="19"/>
      <c r="I17" s="18" t="str">
        <f t="shared" si="0"/>
        <v/>
      </c>
      <c r="J17" s="39" t="str">
        <f>IF(Übersicht!$C$9="Ja",IF(OR(E17=""),"",I17-$M$2/5),IF(OR(E17="",F17=""),"",I17-$M$2/5))</f>
        <v/>
      </c>
      <c r="K17" s="10">
        <f t="shared" ca="1" si="2"/>
        <v>0</v>
      </c>
      <c r="L17" s="22"/>
    </row>
    <row r="18" spans="1:12" x14ac:dyDescent="0.25">
      <c r="A18" s="51"/>
      <c r="B18" s="34">
        <f t="shared" si="3"/>
        <v>44027</v>
      </c>
      <c r="C18" s="1" t="str">
        <f t="shared" si="1"/>
        <v>Dienstag</v>
      </c>
      <c r="D18" s="21" t="str">
        <f>IF(COUNTIFS(Verweise!$A$2:$A$4542,Übersicht!$C$7,Verweise!$B$2:$B$4542,B18)=1,"Feiertag",IF(C18="Samstag","",IF(C18="Sonntag","",Übersicht!$C$8)))</f>
        <v>Büro</v>
      </c>
      <c r="E18" s="19"/>
      <c r="F18" s="19"/>
      <c r="G18" s="67"/>
      <c r="H18" s="19"/>
      <c r="I18" s="18" t="str">
        <f t="shared" si="0"/>
        <v/>
      </c>
      <c r="J18" s="39" t="str">
        <f>IF(Übersicht!$C$9="Ja",IF(OR(E18=""),"",I18-$M$2/5),IF(OR(E18="",F18=""),"",I18-$M$2/5))</f>
        <v/>
      </c>
      <c r="K18" s="10">
        <f t="shared" ca="1" si="2"/>
        <v>0</v>
      </c>
      <c r="L18" s="22"/>
    </row>
    <row r="19" spans="1:12" x14ac:dyDescent="0.25">
      <c r="A19" s="30"/>
      <c r="B19" s="34">
        <f t="shared" si="3"/>
        <v>44028</v>
      </c>
      <c r="C19" s="1" t="str">
        <f t="shared" si="1"/>
        <v>Mittwoch</v>
      </c>
      <c r="D19" s="21" t="str">
        <f>IF(COUNTIFS(Verweise!$A$2:$A$4542,Übersicht!$C$7,Verweise!$B$2:$B$4542,B19)=1,"Feiertag",IF(C19="Samstag","",IF(C19="Sonntag","",Übersicht!$C$8)))</f>
        <v>Büro</v>
      </c>
      <c r="E19" s="19"/>
      <c r="F19" s="19"/>
      <c r="G19" s="67"/>
      <c r="H19" s="19"/>
      <c r="I19" s="18" t="str">
        <f t="shared" si="0"/>
        <v/>
      </c>
      <c r="J19" s="39" t="str">
        <f>IF(Übersicht!$C$9="Ja",IF(OR(E19=""),"",I19-$M$2/5),IF(OR(E19="",F19=""),"",I19-$M$2/5))</f>
        <v/>
      </c>
      <c r="K19" s="10">
        <f t="shared" ca="1" si="2"/>
        <v>0</v>
      </c>
      <c r="L19" s="22"/>
    </row>
    <row r="20" spans="1:12" x14ac:dyDescent="0.25">
      <c r="A20" s="51"/>
      <c r="B20" s="34">
        <f t="shared" si="3"/>
        <v>44029</v>
      </c>
      <c r="C20" s="1" t="str">
        <f t="shared" si="1"/>
        <v>Donnerstag</v>
      </c>
      <c r="D20" s="21" t="str">
        <f>IF(COUNTIFS(Verweise!$A$2:$A$4542,Übersicht!$C$7,Verweise!$B$2:$B$4542,B20)=1,"Feiertag",IF(C20="Samstag","",IF(C20="Sonntag","",Übersicht!$C$8)))</f>
        <v>Büro</v>
      </c>
      <c r="E20" s="19"/>
      <c r="F20" s="19"/>
      <c r="G20" s="67"/>
      <c r="H20" s="19"/>
      <c r="I20" s="18" t="str">
        <f t="shared" si="0"/>
        <v/>
      </c>
      <c r="J20" s="39" t="str">
        <f>IF(Übersicht!$C$9="Ja",IF(OR(E20=""),"",I20-$M$2/5),IF(OR(E20="",F20=""),"",I20-$M$2/5))</f>
        <v/>
      </c>
      <c r="K20" s="10">
        <f t="shared" ca="1" si="2"/>
        <v>0</v>
      </c>
      <c r="L20" s="22">
        <v>43650</v>
      </c>
    </row>
    <row r="21" spans="1:12" x14ac:dyDescent="0.25">
      <c r="A21" s="51"/>
      <c r="B21" s="34">
        <f t="shared" si="3"/>
        <v>44030</v>
      </c>
      <c r="C21" s="1" t="str">
        <f t="shared" si="1"/>
        <v>Freitag</v>
      </c>
      <c r="D21" s="21" t="str">
        <f>IF(COUNTIFS(Verweise!$A$2:$A$4542,Übersicht!$C$7,Verweise!$B$2:$B$4542,B21)=1,"Feiertag",IF(C21="Samstag","",IF(C21="Sonntag","",Übersicht!$C$8)))</f>
        <v>Büro</v>
      </c>
      <c r="E21" s="19"/>
      <c r="F21" s="19"/>
      <c r="G21" s="67"/>
      <c r="H21" s="19"/>
      <c r="I21" s="18" t="str">
        <f t="shared" ref="I21" si="6">IF(E21="","",F21-E21-H21)</f>
        <v/>
      </c>
      <c r="J21" s="39" t="str">
        <f>IF(Übersicht!$C$9="Ja",IF(OR(E21=""),"",I21-$M$2/5),IF(OR(E21="",F21=""),"",I21-$M$2/5))</f>
        <v/>
      </c>
      <c r="K21" s="10">
        <f t="shared" ca="1" si="2"/>
        <v>0</v>
      </c>
      <c r="L21" s="7">
        <v>43657</v>
      </c>
    </row>
    <row r="22" spans="1:12" x14ac:dyDescent="0.25">
      <c r="A22" s="51"/>
      <c r="B22" s="34">
        <f t="shared" si="3"/>
        <v>44031</v>
      </c>
      <c r="C22" s="1" t="str">
        <f t="shared" si="1"/>
        <v>Samstag</v>
      </c>
      <c r="D22" s="21" t="str">
        <f>IF(COUNTIFS(Verweise!$A$2:$A$4542,Übersicht!$C$7,Verweise!$B$2:$B$4542,B22)=1,"Feiertag",IF(C22="Samstag","",IF(C22="Sonntag","",Übersicht!$C$8)))</f>
        <v/>
      </c>
      <c r="E22" s="19"/>
      <c r="F22" s="19"/>
      <c r="G22" s="67"/>
      <c r="H22" s="19"/>
      <c r="I22" s="18" t="str">
        <f t="shared" si="0"/>
        <v/>
      </c>
      <c r="J22" s="39" t="str">
        <f>IF(Übersicht!$C$9="Ja",IF(OR(E22=""),"",I22-$M$2/5),IF(OR(E22="",F22=""),"",I22-$M$2/5))</f>
        <v/>
      </c>
      <c r="K22" s="10">
        <f t="shared" ca="1" si="2"/>
        <v>0</v>
      </c>
      <c r="L22" s="7">
        <v>43663</v>
      </c>
    </row>
    <row r="23" spans="1:12" x14ac:dyDescent="0.25">
      <c r="A23" s="51"/>
      <c r="B23" s="34">
        <f t="shared" si="3"/>
        <v>44032</v>
      </c>
      <c r="C23" s="1" t="str">
        <f t="shared" si="1"/>
        <v>Sonntag</v>
      </c>
      <c r="D23" s="21" t="str">
        <f>IF(COUNTIFS(Verweise!$A$2:$A$4542,Übersicht!$C$7,Verweise!$B$2:$B$4542,B23)=1,"Feiertag",IF(C23="Samstag","",IF(C23="Sonntag","",Übersicht!$C$8)))</f>
        <v/>
      </c>
      <c r="E23" s="19"/>
      <c r="F23" s="19"/>
      <c r="G23" s="67"/>
      <c r="H23" s="19"/>
      <c r="I23" s="18" t="str">
        <f t="shared" si="0"/>
        <v/>
      </c>
      <c r="J23" s="39" t="str">
        <f>IF(Übersicht!$C$9="Ja",IF(OR(E23=""),"",I23-$M$2/5),IF(OR(E23="",F23=""),"",I23-$M$2/5))</f>
        <v/>
      </c>
      <c r="K23" s="10">
        <f t="shared" ca="1" si="2"/>
        <v>0</v>
      </c>
      <c r="L23" s="7">
        <v>43670</v>
      </c>
    </row>
    <row r="24" spans="1:12" x14ac:dyDescent="0.25">
      <c r="A24" s="51"/>
      <c r="B24" s="34">
        <f t="shared" si="3"/>
        <v>44033</v>
      </c>
      <c r="C24" s="1" t="str">
        <f t="shared" si="1"/>
        <v>Montag</v>
      </c>
      <c r="D24" s="21" t="str">
        <f>IF(COUNTIFS(Verweise!$A$2:$A$4542,Übersicht!$C$7,Verweise!$B$2:$B$4542,B24)=1,"Feiertag",IF(C24="Samstag","",IF(C24="Sonntag","",Übersicht!$C$8)))</f>
        <v>Büro</v>
      </c>
      <c r="E24" s="19"/>
      <c r="F24" s="19"/>
      <c r="G24" s="68"/>
      <c r="H24" s="19"/>
      <c r="I24" s="18" t="str">
        <f t="shared" si="0"/>
        <v/>
      </c>
      <c r="J24" s="39" t="str">
        <f>IF(Übersicht!$C$9="Ja",IF(OR(E24=""),"",I24-$M$2/5),IF(OR(E24="",F24=""),"",I24-$M$2/5))</f>
        <v/>
      </c>
      <c r="K24" s="10">
        <f t="shared" ca="1" si="2"/>
        <v>0</v>
      </c>
    </row>
    <row r="25" spans="1:12" x14ac:dyDescent="0.25">
      <c r="A25" s="51"/>
      <c r="B25" s="34">
        <f t="shared" si="3"/>
        <v>44034</v>
      </c>
      <c r="C25" s="1" t="str">
        <f t="shared" si="1"/>
        <v>Dienstag</v>
      </c>
      <c r="D25" s="21" t="str">
        <f>IF(COUNTIFS(Verweise!$A$2:$A$4542,Übersicht!$C$7,Verweise!$B$2:$B$4542,B25)=1,"Feiertag",IF(C25="Samstag","",IF(C25="Sonntag","",Übersicht!$C$8)))</f>
        <v>Büro</v>
      </c>
      <c r="E25" s="19"/>
      <c r="F25" s="19"/>
      <c r="G25" s="67"/>
      <c r="H25" s="19"/>
      <c r="I25" s="18" t="str">
        <f t="shared" si="0"/>
        <v/>
      </c>
      <c r="J25" s="39" t="str">
        <f>IF(Übersicht!$C$9="Ja",IF(OR(E25=""),"",I25-$M$2/5),IF(OR(E25="",F25=""),"",I25-$M$2/5))</f>
        <v/>
      </c>
      <c r="K25" s="10">
        <f t="shared" ca="1" si="2"/>
        <v>0</v>
      </c>
    </row>
    <row r="26" spans="1:12" x14ac:dyDescent="0.25">
      <c r="A26" s="30"/>
      <c r="B26" s="34">
        <f t="shared" si="3"/>
        <v>44035</v>
      </c>
      <c r="C26" s="1" t="str">
        <f t="shared" si="1"/>
        <v>Mittwoch</v>
      </c>
      <c r="D26" s="21" t="str">
        <f>IF(COUNTIFS(Verweise!$A$2:$A$4542,Übersicht!$C$7,Verweise!$B$2:$B$4542,B26)=1,"Feiertag",IF(C26="Samstag","",IF(C26="Sonntag","",Übersicht!$C$8)))</f>
        <v>Büro</v>
      </c>
      <c r="E26" s="19"/>
      <c r="F26" s="19"/>
      <c r="G26" s="67"/>
      <c r="H26" s="19"/>
      <c r="I26" s="18" t="str">
        <f t="shared" si="0"/>
        <v/>
      </c>
      <c r="J26" s="39" t="str">
        <f>IF(Übersicht!$C$9="Ja",IF(OR(E26=""),"",I26-$M$2/5),IF(OR(E26="",F26=""),"",I26-$M$2/5))</f>
        <v/>
      </c>
      <c r="K26" s="10">
        <f t="shared" ca="1" si="2"/>
        <v>0</v>
      </c>
    </row>
    <row r="27" spans="1:12" x14ac:dyDescent="0.25">
      <c r="A27" s="51"/>
      <c r="B27" s="34">
        <f t="shared" si="3"/>
        <v>44036</v>
      </c>
      <c r="C27" s="1" t="str">
        <f t="shared" si="1"/>
        <v>Donnerstag</v>
      </c>
      <c r="D27" s="21" t="str">
        <f>IF(COUNTIFS(Verweise!$A$2:$A$4542,Übersicht!$C$7,Verweise!$B$2:$B$4542,B27)=1,"Feiertag",IF(C27="Samstag","",IF(C27="Sonntag","",Übersicht!$C$8)))</f>
        <v>Büro</v>
      </c>
      <c r="E27" s="19"/>
      <c r="F27" s="19"/>
      <c r="G27" s="67"/>
      <c r="H27" s="19"/>
      <c r="I27" s="18" t="str">
        <f t="shared" si="0"/>
        <v/>
      </c>
      <c r="J27" s="39" t="str">
        <f>IF(Übersicht!$C$9="Ja",IF(OR(E27=""),"",I27-$M$2/5),IF(OR(E27="",F27=""),"",I27-$M$2/5))</f>
        <v/>
      </c>
      <c r="K27" s="10">
        <f t="shared" ca="1" si="2"/>
        <v>0</v>
      </c>
      <c r="L27" s="22"/>
    </row>
    <row r="28" spans="1:12" x14ac:dyDescent="0.25">
      <c r="A28" s="51"/>
      <c r="B28" s="34">
        <f t="shared" si="3"/>
        <v>44037</v>
      </c>
      <c r="C28" s="1" t="str">
        <f t="shared" si="1"/>
        <v>Freitag</v>
      </c>
      <c r="D28" s="21" t="str">
        <f>IF(COUNTIFS(Verweise!$A$2:$A$4542,Übersicht!$C$7,Verweise!$B$2:$B$4542,B28)=1,"Feiertag",IF(C28="Samstag","",IF(C28="Sonntag","",Übersicht!$C$8)))</f>
        <v>Büro</v>
      </c>
      <c r="E28" s="19"/>
      <c r="F28" s="19"/>
      <c r="G28" s="67"/>
      <c r="H28" s="19"/>
      <c r="I28" s="18" t="str">
        <f t="shared" si="0"/>
        <v/>
      </c>
      <c r="J28" s="39" t="str">
        <f>IF(Übersicht!$C$9="Ja",IF(OR(E28=""),"",I28-$M$2/5),IF(OR(E28="",F28=""),"",I28-$M$2/5))</f>
        <v/>
      </c>
      <c r="K28" s="10">
        <f t="shared" ca="1" si="2"/>
        <v>0</v>
      </c>
      <c r="L28" s="22"/>
    </row>
    <row r="29" spans="1:12" x14ac:dyDescent="0.25">
      <c r="A29" s="51"/>
      <c r="B29" s="34">
        <f t="shared" si="3"/>
        <v>44038</v>
      </c>
      <c r="C29" s="1" t="str">
        <f t="shared" si="1"/>
        <v>Samstag</v>
      </c>
      <c r="D29" s="21" t="str">
        <f>IF(COUNTIFS(Verweise!$A$2:$A$4542,Übersicht!$C$7,Verweise!$B$2:$B$4542,B29)=1,"Feiertag",IF(C29="Samstag","",IF(C29="Sonntag","",Übersicht!$C$8)))</f>
        <v/>
      </c>
      <c r="E29" s="19"/>
      <c r="F29" s="19"/>
      <c r="G29" s="67"/>
      <c r="H29" s="19"/>
      <c r="I29" s="18" t="str">
        <f t="shared" si="0"/>
        <v/>
      </c>
      <c r="J29" s="39" t="str">
        <f>IF(Übersicht!$C$9="Ja",IF(OR(E29=""),"",I29-$M$2/5),IF(OR(E29="",F29=""),"",I29-$M$2/5))</f>
        <v/>
      </c>
      <c r="K29" s="10">
        <f t="shared" ca="1" si="2"/>
        <v>0</v>
      </c>
      <c r="L29" s="22"/>
    </row>
    <row r="30" spans="1:12" x14ac:dyDescent="0.25">
      <c r="A30" s="51"/>
      <c r="B30" s="34">
        <f t="shared" si="3"/>
        <v>44039</v>
      </c>
      <c r="C30" s="1" t="str">
        <f t="shared" si="1"/>
        <v>Sonntag</v>
      </c>
      <c r="D30" s="21" t="str">
        <f>IF(COUNTIFS(Verweise!$A$2:$A$4542,Übersicht!$C$7,Verweise!$B$2:$B$4542,B30)=1,"Feiertag",IF(C30="Samstag","",IF(C30="Sonntag","",Übersicht!$C$8)))</f>
        <v/>
      </c>
      <c r="E30" s="19"/>
      <c r="F30" s="19"/>
      <c r="G30" s="67"/>
      <c r="H30" s="19"/>
      <c r="I30" s="18" t="str">
        <f t="shared" si="0"/>
        <v/>
      </c>
      <c r="J30" s="39" t="str">
        <f>IF(Übersicht!$C$9="Ja",IF(OR(E30=""),"",I30-$M$2/5),IF(OR(E30="",F30=""),"",I30-$M$2/5))</f>
        <v/>
      </c>
      <c r="K30" s="10">
        <f t="shared" ca="1" si="2"/>
        <v>0</v>
      </c>
    </row>
    <row r="31" spans="1:12" x14ac:dyDescent="0.25">
      <c r="A31" s="51"/>
      <c r="B31" s="34">
        <f t="shared" si="3"/>
        <v>44040</v>
      </c>
      <c r="C31" s="1" t="str">
        <f t="shared" si="1"/>
        <v>Montag</v>
      </c>
      <c r="D31" s="21" t="str">
        <f>IF(COUNTIFS(Verweise!$A$2:$A$4542,Übersicht!$C$7,Verweise!$B$2:$B$4542,B31)=1,"Feiertag",IF(C31="Samstag","",IF(C31="Sonntag","",Übersicht!$C$8)))</f>
        <v>Büro</v>
      </c>
      <c r="E31" s="19"/>
      <c r="F31" s="19"/>
      <c r="G31" s="67"/>
      <c r="H31" s="19"/>
      <c r="I31" s="18" t="str">
        <f t="shared" si="0"/>
        <v/>
      </c>
      <c r="J31" s="39" t="str">
        <f>IF(Übersicht!$C$9="Ja",IF(OR(E31=""),"",I31-$M$2/5),IF(OR(E31="",F31=""),"",I31-$M$2/5))</f>
        <v/>
      </c>
      <c r="K31" s="10">
        <f t="shared" ca="1" si="2"/>
        <v>0</v>
      </c>
    </row>
    <row r="32" spans="1:12" x14ac:dyDescent="0.25">
      <c r="A32" s="30"/>
      <c r="B32" s="34">
        <f t="shared" si="3"/>
        <v>44041</v>
      </c>
      <c r="C32" s="1" t="str">
        <f t="shared" si="1"/>
        <v>Dienstag</v>
      </c>
      <c r="D32" s="21" t="str">
        <f>IF(COUNTIFS(Verweise!$A$2:$A$4542,Übersicht!$C$7,Verweise!$B$2:$B$4542,B32)=1,"Feiertag",IF(C32="Samstag","",IF(C32="Sonntag","",Übersicht!$C$8)))</f>
        <v>Büro</v>
      </c>
      <c r="E32" s="19"/>
      <c r="F32" s="19"/>
      <c r="G32" s="67"/>
      <c r="H32" s="19"/>
      <c r="I32" s="18" t="str">
        <f t="shared" si="0"/>
        <v/>
      </c>
      <c r="J32" s="39" t="str">
        <f>IF(Übersicht!$C$9="Ja",IF(OR(E32=""),"",I32-$M$2/5),IF(OR(E32="",F32=""),"",I32-$M$2/5))</f>
        <v/>
      </c>
      <c r="K32" s="10">
        <f t="shared" ca="1" si="2"/>
        <v>0</v>
      </c>
    </row>
    <row r="33" spans="1:11" x14ac:dyDescent="0.25">
      <c r="A33" s="30"/>
      <c r="B33" s="34">
        <f t="shared" si="3"/>
        <v>44042</v>
      </c>
      <c r="C33" s="1" t="str">
        <f t="shared" si="1"/>
        <v>Mittwoch</v>
      </c>
      <c r="D33" s="21" t="str">
        <f>IF(COUNTIFS(Verweise!$A$2:$A$4542,Übersicht!$C$7,Verweise!$B$2:$B$4542,B33)=1,"Feiertag",IF(C33="Samstag","",IF(C33="Sonntag","",Übersicht!$C$8)))</f>
        <v>Büro</v>
      </c>
      <c r="E33" s="19"/>
      <c r="F33" s="19"/>
      <c r="G33" s="67"/>
      <c r="H33" s="19"/>
      <c r="I33" s="18" t="str">
        <f t="shared" si="0"/>
        <v/>
      </c>
      <c r="J33" s="39" t="str">
        <f>IF(Übersicht!$C$9="Ja",IF(OR(E33=""),"",I33-$M$2/5),IF(OR(E33="",F33=""),"",I33-$M$2/5))</f>
        <v/>
      </c>
      <c r="K33" s="10">
        <f t="shared" ca="1" si="2"/>
        <v>0</v>
      </c>
    </row>
    <row r="34" spans="1:11" x14ac:dyDescent="0.25"/>
  </sheetData>
  <conditionalFormatting sqref="B3:C33">
    <cfRule type="expression" dxfId="353" priority="128">
      <formula>OR($C3="Samstag",$C3="Sonntag",$D3="Feiertag")</formula>
    </cfRule>
    <cfRule type="expression" dxfId="352" priority="129">
      <formula>OR($D3="Frei",$D3="Urlaub")</formula>
    </cfRule>
    <cfRule type="expression" dxfId="351" priority="130">
      <formula>$D3="Krank"</formula>
    </cfRule>
  </conditionalFormatting>
  <conditionalFormatting sqref="E33:F33 I33">
    <cfRule type="expression" dxfId="350" priority="109">
      <formula>OR($C33="Samstag",$C33="Sonntag",$D33="Feiertag")</formula>
    </cfRule>
    <cfRule type="expression" dxfId="349" priority="110">
      <formula>OR($D33="Frei",$D33="Urlaub")</formula>
    </cfRule>
    <cfRule type="expression" dxfId="348" priority="111">
      <formula>$D33="Krank"</formula>
    </cfRule>
  </conditionalFormatting>
  <conditionalFormatting sqref="E33:F33 I33">
    <cfRule type="expression" dxfId="347" priority="98">
      <formula>OR($C33="Samstag",$C33="Sonntag",$D33="Feiertag")</formula>
    </cfRule>
    <cfRule type="expression" dxfId="346" priority="99">
      <formula>OR($D33="Frei",$D33="Urlaub")</formula>
    </cfRule>
    <cfRule type="expression" dxfId="345" priority="100">
      <formula>$D33="Krank"</formula>
    </cfRule>
  </conditionalFormatting>
  <conditionalFormatting sqref="E31:I32">
    <cfRule type="expression" dxfId="344" priority="87">
      <formula>OR($C31="Samstag",$C31="Sonntag",$D31="Feiertag")</formula>
    </cfRule>
    <cfRule type="expression" dxfId="343" priority="88">
      <formula>OR($D31="Frei",$D31="Urlaub")</formula>
    </cfRule>
    <cfRule type="expression" dxfId="342" priority="89">
      <formula>$D31="Krank"</formula>
    </cfRule>
  </conditionalFormatting>
  <conditionalFormatting sqref="E3:H3 E4:I12 E15:I32">
    <cfRule type="expression" dxfId="341" priority="76">
      <formula>OR($C3="Samstag",$C3="Sonntag",$D3="Feiertag")</formula>
    </cfRule>
    <cfRule type="expression" dxfId="340" priority="77">
      <formula>OR($D3="Frei",$D3="Urlaub")</formula>
    </cfRule>
    <cfRule type="expression" dxfId="339" priority="78">
      <formula>$D3="Krank"</formula>
    </cfRule>
  </conditionalFormatting>
  <conditionalFormatting sqref="D3:D7 D9:D14 D16:D33">
    <cfRule type="expression" dxfId="338" priority="60">
      <formula>OR($C3="Samstag",$C3="Sonntag",$D3="Feiertag")</formula>
    </cfRule>
    <cfRule type="expression" dxfId="337" priority="61">
      <formula>OR($D3="Frei",$D3="Urlaub")</formula>
    </cfRule>
    <cfRule type="expression" dxfId="336" priority="62">
      <formula>$D3="Krank"</formula>
    </cfRule>
  </conditionalFormatting>
  <conditionalFormatting sqref="I3:I12 I15:I33">
    <cfRule type="expression" dxfId="335" priority="47">
      <formula>OR($C3="Samstag",$C3="Sonntag",$D3="Feiertag")</formula>
    </cfRule>
    <cfRule type="expression" dxfId="334" priority="48">
      <formula>OR($D3="Frei",$D3="Urlaub")</formula>
    </cfRule>
    <cfRule type="expression" dxfId="333" priority="49">
      <formula>$D3="Krank"</formula>
    </cfRule>
  </conditionalFormatting>
  <conditionalFormatting sqref="D8">
    <cfRule type="expression" dxfId="332" priority="39">
      <formula>OR($C8="Samstag",$C8="Sonntag",$D8="Feiertag")</formula>
    </cfRule>
    <cfRule type="expression" dxfId="331" priority="40">
      <formula>OR($D8="Frei",$D8="Urlaub")</formula>
    </cfRule>
    <cfRule type="expression" dxfId="330" priority="41">
      <formula>$D8="Krank"</formula>
    </cfRule>
  </conditionalFormatting>
  <conditionalFormatting sqref="D15">
    <cfRule type="expression" dxfId="329" priority="36">
      <formula>OR($C15="Samstag",$C15="Sonntag",$D15="Feiertag")</formula>
    </cfRule>
    <cfRule type="expression" dxfId="328" priority="37">
      <formula>OR($D15="Frei",$D15="Urlaub")</formula>
    </cfRule>
    <cfRule type="expression" dxfId="327" priority="38">
      <formula>$D15="Krank"</formula>
    </cfRule>
  </conditionalFormatting>
  <conditionalFormatting sqref="J3:J4 J10:J12 J15:J33">
    <cfRule type="cellIs" dxfId="326" priority="31" operator="greaterThan">
      <formula>0</formula>
    </cfRule>
    <cfRule type="cellIs" dxfId="325" priority="32" operator="lessThan">
      <formula>0</formula>
    </cfRule>
    <cfRule type="expression" dxfId="324" priority="33">
      <formula>OR($C3="Samstag",$C3="Sonntag",$D3="Feiertag")</formula>
    </cfRule>
    <cfRule type="expression" dxfId="323" priority="34">
      <formula>OR($D3="Frei",$D3="Urlaub")</formula>
    </cfRule>
    <cfRule type="expression" dxfId="322" priority="35">
      <formula>$D3="Krank"</formula>
    </cfRule>
  </conditionalFormatting>
  <conditionalFormatting sqref="E13:I13">
    <cfRule type="expression" dxfId="321" priority="28">
      <formula>OR($C13="Samstag",$C13="Sonntag",$D13="Feiertag")</formula>
    </cfRule>
    <cfRule type="expression" dxfId="320" priority="29">
      <formula>OR($D13="Frei",$D13="Urlaub")</formula>
    </cfRule>
    <cfRule type="expression" dxfId="319" priority="30">
      <formula>$D13="Krank"</formula>
    </cfRule>
  </conditionalFormatting>
  <conditionalFormatting sqref="I13">
    <cfRule type="expression" dxfId="318" priority="25">
      <formula>OR($C13="Samstag",$C13="Sonntag",$D13="Feiertag")</formula>
    </cfRule>
    <cfRule type="expression" dxfId="317" priority="26">
      <formula>OR($D13="Frei",$D13="Urlaub")</formula>
    </cfRule>
    <cfRule type="expression" dxfId="316" priority="27">
      <formula>$D13="Krank"</formula>
    </cfRule>
  </conditionalFormatting>
  <conditionalFormatting sqref="J13">
    <cfRule type="cellIs" dxfId="315" priority="20" operator="greaterThan">
      <formula>0</formula>
    </cfRule>
    <cfRule type="cellIs" dxfId="314" priority="21" operator="lessThan">
      <formula>0</formula>
    </cfRule>
    <cfRule type="expression" dxfId="313" priority="22">
      <formula>OR($C13="Samstag",$C13="Sonntag",$D13="Feiertag")</formula>
    </cfRule>
    <cfRule type="expression" dxfId="312" priority="23">
      <formula>OR($D13="Frei",$D13="Urlaub")</formula>
    </cfRule>
    <cfRule type="expression" dxfId="311" priority="24">
      <formula>$D13="Krank"</formula>
    </cfRule>
  </conditionalFormatting>
  <conditionalFormatting sqref="J5:J9">
    <cfRule type="cellIs" dxfId="310" priority="15" operator="greaterThan">
      <formula>0</formula>
    </cfRule>
    <cfRule type="cellIs" dxfId="309" priority="16" operator="lessThan">
      <formula>0</formula>
    </cfRule>
    <cfRule type="expression" dxfId="308" priority="17">
      <formula>OR($C5="Samstag",$C5="Sonntag",$D5="Feiertag")</formula>
    </cfRule>
    <cfRule type="expression" dxfId="307" priority="18">
      <formula>OR($D5="Frei",$D5="Urlaub")</formula>
    </cfRule>
    <cfRule type="expression" dxfId="306" priority="19">
      <formula>$D5="Krank"</formula>
    </cfRule>
  </conditionalFormatting>
  <conditionalFormatting sqref="E14:I14">
    <cfRule type="expression" dxfId="305" priority="12">
      <formula>OR($C14="Samstag",$C14="Sonntag",$D14="Feiertag")</formula>
    </cfRule>
    <cfRule type="expression" dxfId="304" priority="13">
      <formula>OR($D14="Frei",$D14="Urlaub")</formula>
    </cfRule>
    <cfRule type="expression" dxfId="303" priority="14">
      <formula>$D14="Krank"</formula>
    </cfRule>
  </conditionalFormatting>
  <conditionalFormatting sqref="I14">
    <cfRule type="expression" dxfId="302" priority="9">
      <formula>OR($C14="Samstag",$C14="Sonntag",$D14="Feiertag")</formula>
    </cfRule>
    <cfRule type="expression" dxfId="301" priority="10">
      <formula>OR($D14="Frei",$D14="Urlaub")</formula>
    </cfRule>
    <cfRule type="expression" dxfId="300" priority="11">
      <formula>$D14="Krank"</formula>
    </cfRule>
  </conditionalFormatting>
  <conditionalFormatting sqref="J14">
    <cfRule type="cellIs" dxfId="299" priority="4" operator="greaterThan">
      <formula>0</formula>
    </cfRule>
    <cfRule type="cellIs" dxfId="298" priority="5" operator="lessThan">
      <formula>0</formula>
    </cfRule>
    <cfRule type="expression" dxfId="297" priority="6">
      <formula>OR($C14="Samstag",$C14="Sonntag",$D14="Feiertag")</formula>
    </cfRule>
    <cfRule type="expression" dxfId="296" priority="7">
      <formula>OR($D14="Frei",$D14="Urlaub")</formula>
    </cfRule>
    <cfRule type="expression" dxfId="295" priority="8">
      <formula>$D14="Krank"</formula>
    </cfRule>
  </conditionalFormatting>
  <conditionalFormatting sqref="G33:H33">
    <cfRule type="expression" dxfId="294" priority="1">
      <formula>OR($C33="Samstag",$C33="Sonntag",$D33="Feiertag")</formula>
    </cfRule>
    <cfRule type="expression" dxfId="293" priority="2">
      <formula>OR($D33="Frei",$D33="Urlaub")</formula>
    </cfRule>
    <cfRule type="expression" dxfId="292" priority="3">
      <formula>$D33="Krank"</formula>
    </cfRule>
  </conditionalFormatting>
  <pageMargins left="0.7" right="0.7" top="0.78740157499999996" bottom="0.78740157499999996" header="0.3" footer="0.3"/>
  <customProperties>
    <customPr name="ORB_SHEETNAME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9" r:id="rId4" name="Button 15">
              <controlPr defaultSize="0" print="0" autoFill="0" autoPict="0" macro="[0]!TimeStampStart">
                <anchor moveWithCells="1" sizeWithCells="1">
                  <from>
                    <xdr:col>10</xdr:col>
                    <xdr:colOff>228600</xdr:colOff>
                    <xdr:row>7</xdr:row>
                    <xdr:rowOff>114300</xdr:rowOff>
                  </from>
                  <to>
                    <xdr:col>11</xdr:col>
                    <xdr:colOff>1428750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5" name="Button 16">
              <controlPr defaultSize="0" print="0" autoFill="0" autoPict="0" macro="[0]!TimeStampEnd">
                <anchor moveWithCells="1" sizeWithCells="1">
                  <from>
                    <xdr:col>11</xdr:col>
                    <xdr:colOff>1590675</xdr:colOff>
                    <xdr:row>7</xdr:row>
                    <xdr:rowOff>104775</xdr:rowOff>
                  </from>
                  <to>
                    <xdr:col>13</xdr:col>
                    <xdr:colOff>19050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6" name="Button 17">
              <controlPr defaultSize="0" print="0" autoFill="0" autoPict="0" macro="[0]!PauseStart">
                <anchor moveWithCells="1" sizeWithCells="1">
                  <from>
                    <xdr:col>10</xdr:col>
                    <xdr:colOff>228600</xdr:colOff>
                    <xdr:row>9</xdr:row>
                    <xdr:rowOff>152400</xdr:rowOff>
                  </from>
                  <to>
                    <xdr:col>11</xdr:col>
                    <xdr:colOff>1428750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7" name="Button 18">
              <controlPr defaultSize="0" print="0" autoFill="0" autoPict="0" macro="[0]!PauseEnd">
                <anchor moveWithCells="1" sizeWithCells="1">
                  <from>
                    <xdr:col>11</xdr:col>
                    <xdr:colOff>1590675</xdr:colOff>
                    <xdr:row>9</xdr:row>
                    <xdr:rowOff>142875</xdr:rowOff>
                  </from>
                  <to>
                    <xdr:col>13</xdr:col>
                    <xdr:colOff>19050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Verweise!$F$24:$F$30</xm:f>
          </x14:formula1>
          <xm:sqref>D3:D33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9">
    <tabColor theme="4" tint="0.79998168889431442"/>
  </sheetPr>
  <dimension ref="A1:U34"/>
  <sheetViews>
    <sheetView workbookViewId="0">
      <selection activeCell="L21" sqref="L21:L25"/>
    </sheetView>
  </sheetViews>
  <sheetFormatPr defaultColWidth="0" defaultRowHeight="15" zeroHeight="1" x14ac:dyDescent="0.25"/>
  <cols>
    <col min="1" max="1" width="2.7109375" style="7" customWidth="1"/>
    <col min="2" max="2" width="10.7109375" style="7" customWidth="1"/>
    <col min="3" max="3" width="11.5703125" style="7" customWidth="1"/>
    <col min="4" max="4" width="26.42578125" style="7" customWidth="1"/>
    <col min="5" max="5" width="14.42578125" style="7" customWidth="1"/>
    <col min="6" max="6" width="12.140625" style="7" customWidth="1"/>
    <col min="7" max="7" width="12.140625" style="55" customWidth="1"/>
    <col min="8" max="9" width="13.5703125" style="7" customWidth="1"/>
    <col min="10" max="10" width="14.28515625" style="7" customWidth="1"/>
    <col min="11" max="11" width="2.7109375" style="7" customWidth="1"/>
    <col min="12" max="12" width="33.7109375" style="7" bestFit="1" customWidth="1"/>
    <col min="13" max="13" width="11.42578125" style="7" customWidth="1"/>
    <col min="14" max="14" width="2.7109375" style="7" customWidth="1"/>
    <col min="15" max="21" width="0" style="7" hidden="1" customWidth="1"/>
    <col min="22" max="16384" width="11.42578125" style="7" hidden="1"/>
  </cols>
  <sheetData>
    <row r="1" spans="1:18" x14ac:dyDescent="0.25">
      <c r="G1" s="7"/>
    </row>
    <row r="2" spans="1:18" ht="15.75" thickBot="1" x14ac:dyDescent="0.3">
      <c r="B2" s="62" t="s">
        <v>0</v>
      </c>
      <c r="C2" s="62" t="s">
        <v>1</v>
      </c>
      <c r="D2" s="62" t="s">
        <v>2</v>
      </c>
      <c r="E2" s="62" t="s">
        <v>3</v>
      </c>
      <c r="F2" s="62" t="s">
        <v>4</v>
      </c>
      <c r="G2" s="63" t="s">
        <v>81</v>
      </c>
      <c r="H2" s="64" t="s">
        <v>83</v>
      </c>
      <c r="I2" s="62" t="s">
        <v>5</v>
      </c>
      <c r="J2" s="62" t="s">
        <v>82</v>
      </c>
      <c r="L2" s="3" t="s">
        <v>6</v>
      </c>
      <c r="M2" s="6">
        <f>Übersicht!C2</f>
        <v>1.6666666666666667</v>
      </c>
      <c r="Q2" s="10" t="s">
        <v>30</v>
      </c>
      <c r="R2" s="10" t="s">
        <v>31</v>
      </c>
    </row>
    <row r="3" spans="1:18" x14ac:dyDescent="0.25">
      <c r="A3" s="30"/>
      <c r="B3" s="34">
        <f>("01.08."&amp;Übersicht!$C$6)*1</f>
        <v>44043</v>
      </c>
      <c r="C3" s="1" t="str">
        <f>TEXT(B3,"TTTT")</f>
        <v>Donnerstag</v>
      </c>
      <c r="D3" s="21" t="str">
        <f>IF(COUNTIFS(Verweise!$A$2:$A$4542,Übersicht!$C$7,Verweise!$B$2:$B$4542,B3)=1,"Feiertag",IF(C3="Samstag","",IF(C3="Sonntag","",Übersicht!$C$8)))</f>
        <v>Büro</v>
      </c>
      <c r="E3" s="19"/>
      <c r="F3" s="19"/>
      <c r="G3" s="67"/>
      <c r="H3" s="19"/>
      <c r="I3" s="18" t="str">
        <f t="shared" ref="I3:I33" si="0">IF(E3="","",F3-E3-H3)</f>
        <v/>
      </c>
      <c r="J3" s="39" t="str">
        <f>IF(Übersicht!$C$9="Ja",IF(OR(E3=""),"",I3-$M$2/5),IF(OR(E3="",F3=""),"",I3-$M$2/5))</f>
        <v/>
      </c>
      <c r="K3" s="10">
        <f ca="1">IF(B3=TODAY(),ROW(),0)</f>
        <v>0</v>
      </c>
      <c r="L3" s="3" t="str">
        <f>"Ist Arbeitszeit im "&amp;TEXT(B3,"MMMM")</f>
        <v>Ist Arbeitszeit im August</v>
      </c>
      <c r="M3" s="29">
        <f>SUM(I3:I32)</f>
        <v>0</v>
      </c>
      <c r="P3" s="10" t="s">
        <v>24</v>
      </c>
    </row>
    <row r="4" spans="1:18" x14ac:dyDescent="0.25">
      <c r="A4" s="51"/>
      <c r="B4" s="34">
        <f>B3+1</f>
        <v>44044</v>
      </c>
      <c r="C4" s="1" t="str">
        <f t="shared" ref="C4:C33" si="1">TEXT(B4,"TTTT")</f>
        <v>Freitag</v>
      </c>
      <c r="D4" s="21" t="str">
        <f>IF(COUNTIFS(Verweise!$A$2:$A$4542,Übersicht!$C$7,Verweise!$B$2:$B$4542,B4)=1,"Feiertag",IF(C4="Samstag","",IF(C4="Sonntag","",Übersicht!$C$8)))</f>
        <v>Büro</v>
      </c>
      <c r="E4" s="19"/>
      <c r="F4" s="19"/>
      <c r="G4" s="67"/>
      <c r="H4" s="19"/>
      <c r="I4" s="18" t="str">
        <f t="shared" si="0"/>
        <v/>
      </c>
      <c r="J4" s="39" t="str">
        <f>IF(Übersicht!$C$9="Ja",IF(OR(E4=""),"",I4-$M$2/5),IF(OR(E4="",F4=""),"",I4-$M$2/5))</f>
        <v/>
      </c>
      <c r="K4" s="10">
        <f t="shared" ref="K4:K33" ca="1" si="2">IF(B4=TODAY(),ROW(),0)</f>
        <v>0</v>
      </c>
      <c r="L4" s="3" t="str">
        <f>"Wochen im "&amp;TEXT(B3,"MMMM")</f>
        <v>Wochen im August</v>
      </c>
      <c r="M4" s="2">
        <f>ROUND(COUNTA(C3:C33)/7,2)</f>
        <v>4.43</v>
      </c>
      <c r="P4" s="10" t="s">
        <v>25</v>
      </c>
    </row>
    <row r="5" spans="1:18" x14ac:dyDescent="0.25">
      <c r="A5" s="51"/>
      <c r="B5" s="34">
        <f t="shared" ref="B5:B33" si="3">B4+1</f>
        <v>44045</v>
      </c>
      <c r="C5" s="1" t="str">
        <f t="shared" si="1"/>
        <v>Samstag</v>
      </c>
      <c r="D5" s="21" t="str">
        <f>IF(COUNTIFS(Verweise!$A$2:$A$4542,Übersicht!$C$7,Verweise!$B$2:$B$4542,B5)=1,"Feiertag",IF(C5="Samstag","",IF(C5="Sonntag","",Übersicht!$C$8)))</f>
        <v/>
      </c>
      <c r="E5" s="19"/>
      <c r="F5" s="19"/>
      <c r="G5" s="67"/>
      <c r="H5" s="19"/>
      <c r="I5" s="18" t="str">
        <f t="shared" si="0"/>
        <v/>
      </c>
      <c r="J5" s="39" t="str">
        <f>IF(Übersicht!$C$9="Ja",IF(OR(E5=""),"",I5-$M$2/5),IF(OR(E5="",F5=""),"",I5-$M$2/5))</f>
        <v/>
      </c>
      <c r="K5" s="10">
        <f t="shared" ca="1" si="2"/>
        <v>0</v>
      </c>
      <c r="L5" s="3" t="s">
        <v>32</v>
      </c>
      <c r="M5" s="29">
        <f>M4*M2-(SUM(A3:A32)*M2/7)</f>
        <v>7.3833333333333329</v>
      </c>
      <c r="P5" s="10" t="s">
        <v>26</v>
      </c>
    </row>
    <row r="6" spans="1:18" x14ac:dyDescent="0.25">
      <c r="A6" s="51"/>
      <c r="B6" s="34">
        <f t="shared" si="3"/>
        <v>44046</v>
      </c>
      <c r="C6" s="1" t="str">
        <f t="shared" si="1"/>
        <v>Sonntag</v>
      </c>
      <c r="D6" s="21" t="str">
        <f>IF(COUNTIFS(Verweise!$A$2:$A$4542,Übersicht!$C$7,Verweise!$B$2:$B$4542,B6)=1,"Feiertag",IF(C6="Samstag","",IF(C6="Sonntag","",Übersicht!$C$8)))</f>
        <v/>
      </c>
      <c r="E6" s="19"/>
      <c r="F6" s="19"/>
      <c r="G6" s="67"/>
      <c r="H6" s="19"/>
      <c r="I6" s="18" t="str">
        <f t="shared" si="0"/>
        <v/>
      </c>
      <c r="J6" s="39" t="str">
        <f>IF(Übersicht!$C$9="Ja",IF(OR(E6=""),"",I6-$M$2/5),IF(OR(E6="",F6=""),"",I6-$M$2/5))</f>
        <v/>
      </c>
      <c r="K6" s="10">
        <f t="shared" ca="1" si="2"/>
        <v>0</v>
      </c>
      <c r="L6" s="3" t="str">
        <f>IF(M6&lt;0,"Minustunden","Überstunden")</f>
        <v>Überstunden</v>
      </c>
      <c r="M6" s="6">
        <f>SUM(J:J)</f>
        <v>0</v>
      </c>
      <c r="P6" s="10" t="s">
        <v>27</v>
      </c>
    </row>
    <row r="7" spans="1:18" x14ac:dyDescent="0.25">
      <c r="A7" s="51"/>
      <c r="B7" s="34">
        <f t="shared" si="3"/>
        <v>44047</v>
      </c>
      <c r="C7" s="1" t="str">
        <f t="shared" si="1"/>
        <v>Montag</v>
      </c>
      <c r="D7" s="21" t="str">
        <f>IF(COUNTIFS(Verweise!$A$2:$A$4542,Übersicht!$C$7,Verweise!$B$2:$B$4542,B7)=1,"Feiertag",IF(C7="Samstag","",IF(C7="Sonntag","",Übersicht!$C$8)))</f>
        <v>Büro</v>
      </c>
      <c r="E7" s="19"/>
      <c r="F7" s="19"/>
      <c r="G7" s="66"/>
      <c r="H7" s="19"/>
      <c r="I7" s="18" t="str">
        <f t="shared" si="0"/>
        <v/>
      </c>
      <c r="J7" s="39" t="str">
        <f>IF(Übersicht!$C$9="Ja",IF(OR(E7=""),"",I7-$M$2/5),IF(OR(E7="",F7=""),"",I7-$M$2/5))</f>
        <v/>
      </c>
      <c r="K7" s="10">
        <f t="shared" ca="1" si="2"/>
        <v>0</v>
      </c>
      <c r="L7" s="3" t="str">
        <f ca="1">IF(M7&lt;0,"Minustunden gesamt","Überstunden gesamt")</f>
        <v>Überstunden gesamt</v>
      </c>
      <c r="M7" s="6">
        <f ca="1">Übersicht!C26</f>
        <v>0</v>
      </c>
      <c r="P7" s="10" t="s">
        <v>28</v>
      </c>
    </row>
    <row r="8" spans="1:18" x14ac:dyDescent="0.25">
      <c r="A8" s="51"/>
      <c r="B8" s="34">
        <f t="shared" si="3"/>
        <v>44048</v>
      </c>
      <c r="C8" s="1" t="str">
        <f t="shared" si="1"/>
        <v>Dienstag</v>
      </c>
      <c r="D8" s="21" t="str">
        <f>IF(COUNTIFS(Verweise!$A$2:$A$4542,Übersicht!$C$7,Verweise!$B$2:$B$4542,B8)=1,"Feiertag",IF(C8="Samstag","",IF(C8="Sonntag","",Übersicht!$C$8)))</f>
        <v>Büro</v>
      </c>
      <c r="E8" s="19"/>
      <c r="F8" s="19"/>
      <c r="G8" s="66"/>
      <c r="H8" s="19"/>
      <c r="I8" s="18" t="str">
        <f t="shared" si="0"/>
        <v/>
      </c>
      <c r="J8" s="39" t="str">
        <f>IF(Übersicht!$C$9="Ja",IF(OR(E8=""),"",I8-$M$2/5),IF(OR(E8="",F8=""),"",I8-$M$2/5))</f>
        <v/>
      </c>
      <c r="K8" s="10">
        <f t="shared" ca="1" si="2"/>
        <v>0</v>
      </c>
      <c r="P8" s="10" t="s">
        <v>29</v>
      </c>
    </row>
    <row r="9" spans="1:18" x14ac:dyDescent="0.25">
      <c r="A9" s="51"/>
      <c r="B9" s="34">
        <f t="shared" si="3"/>
        <v>44049</v>
      </c>
      <c r="C9" s="1" t="str">
        <f t="shared" si="1"/>
        <v>Mittwoch</v>
      </c>
      <c r="D9" s="21" t="str">
        <f>IF(COUNTIFS(Verweise!$A$2:$A$4542,Übersicht!$C$7,Verweise!$B$2:$B$4542,B9)=1,"Feiertag",IF(C9="Samstag","",IF(C9="Sonntag","",Übersicht!$C$8)))</f>
        <v>Büro</v>
      </c>
      <c r="E9" s="19"/>
      <c r="F9" s="19"/>
      <c r="G9" s="67"/>
      <c r="H9" s="19"/>
      <c r="I9" s="18" t="str">
        <f t="shared" si="0"/>
        <v/>
      </c>
      <c r="J9" s="39" t="str">
        <f>IF(Übersicht!$C$9="Ja",IF(OR(E9=""),"",I9-$M$2/5),IF(OR(E9="",F9=""),"",I9-$M$2/5))</f>
        <v/>
      </c>
      <c r="K9" s="10">
        <f t="shared" ca="1" si="2"/>
        <v>0</v>
      </c>
    </row>
    <row r="10" spans="1:18" x14ac:dyDescent="0.25">
      <c r="A10" s="51"/>
      <c r="B10" s="34">
        <f t="shared" si="3"/>
        <v>44050</v>
      </c>
      <c r="C10" s="1" t="str">
        <f t="shared" si="1"/>
        <v>Donnerstag</v>
      </c>
      <c r="D10" s="21" t="str">
        <f>IF(COUNTIFS(Verweise!$A$2:$A$4542,Übersicht!$C$7,Verweise!$B$2:$B$4542,B10)=1,"Feiertag",IF(C10="Samstag","",IF(C10="Sonntag","",Übersicht!$C$8)))</f>
        <v>Büro</v>
      </c>
      <c r="E10" s="19"/>
      <c r="F10" s="19"/>
      <c r="G10" s="67"/>
      <c r="H10" s="19"/>
      <c r="I10" s="18" t="str">
        <f t="shared" si="0"/>
        <v/>
      </c>
      <c r="J10" s="39" t="str">
        <f>IF(Übersicht!$C$9="Ja",IF(OR(E10=""),"",I10-$M$2/5),IF(OR(E10="",F10=""),"",I10-$M$2/5))</f>
        <v/>
      </c>
      <c r="K10" s="10">
        <f t="shared" ca="1" si="2"/>
        <v>0</v>
      </c>
    </row>
    <row r="11" spans="1:18" x14ac:dyDescent="0.25">
      <c r="A11" s="51"/>
      <c r="B11" s="34">
        <f t="shared" si="3"/>
        <v>44051</v>
      </c>
      <c r="C11" s="1" t="str">
        <f t="shared" si="1"/>
        <v>Freitag</v>
      </c>
      <c r="D11" s="21" t="str">
        <f>IF(COUNTIFS(Verweise!$A$2:$A$4542,Übersicht!$C$7,Verweise!$B$2:$B$4542,B11)=1,"Feiertag",IF(C11="Samstag","",IF(C11="Sonntag","",Übersicht!$C$8)))</f>
        <v>Büro</v>
      </c>
      <c r="E11" s="19"/>
      <c r="F11" s="19"/>
      <c r="G11" s="67"/>
      <c r="H11" s="19"/>
      <c r="I11" s="18" t="str">
        <f t="shared" si="0"/>
        <v/>
      </c>
      <c r="J11" s="39" t="str">
        <f>IF(Übersicht!$C$9="Ja",IF(OR(E11=""),"",I11-$M$2/5),IF(OR(E11="",F11=""),"",I11-$M$2/5))</f>
        <v/>
      </c>
      <c r="K11" s="10">
        <f t="shared" ca="1" si="2"/>
        <v>0</v>
      </c>
    </row>
    <row r="12" spans="1:18" x14ac:dyDescent="0.25">
      <c r="A12" s="51"/>
      <c r="B12" s="34">
        <f t="shared" si="3"/>
        <v>44052</v>
      </c>
      <c r="C12" s="1" t="str">
        <f t="shared" si="1"/>
        <v>Samstag</v>
      </c>
      <c r="D12" s="21" t="str">
        <f>IF(COUNTIFS(Verweise!$A$2:$A$4542,Übersicht!$C$7,Verweise!$B$2:$B$4542,B12)=1,"Feiertag",IF(C12="Samstag","",IF(C12="Sonntag","",Übersicht!$C$8)))</f>
        <v/>
      </c>
      <c r="E12" s="19"/>
      <c r="F12" s="19"/>
      <c r="G12" s="67"/>
      <c r="H12" s="19"/>
      <c r="I12" s="18" t="str">
        <f t="shared" si="0"/>
        <v/>
      </c>
      <c r="J12" s="39" t="str">
        <f>IF(Übersicht!$C$9="Ja",IF(OR(E12=""),"",I12-$M$2/5),IF(OR(E12="",F12=""),"",I12-$M$2/5))</f>
        <v/>
      </c>
      <c r="K12" s="10">
        <f t="shared" ca="1" si="2"/>
        <v>0</v>
      </c>
    </row>
    <row r="13" spans="1:18" x14ac:dyDescent="0.25">
      <c r="A13" s="51"/>
      <c r="B13" s="34">
        <f t="shared" si="3"/>
        <v>44053</v>
      </c>
      <c r="C13" s="1" t="str">
        <f t="shared" si="1"/>
        <v>Sonntag</v>
      </c>
      <c r="D13" s="21" t="str">
        <f>IF(COUNTIFS(Verweise!$A$2:$A$4542,Übersicht!$C$7,Verweise!$B$2:$B$4542,B13)=1,"Feiertag",IF(C13="Samstag","",IF(C13="Sonntag","",Übersicht!$C$8)))</f>
        <v/>
      </c>
      <c r="E13" s="19"/>
      <c r="F13" s="19"/>
      <c r="G13" s="67"/>
      <c r="H13" s="19"/>
      <c r="I13" s="18" t="str">
        <f t="shared" si="0"/>
        <v/>
      </c>
      <c r="J13" s="39" t="str">
        <f>IF(Übersicht!$C$9="Ja",IF(OR(E13=""),"",I13-$M$2/5),IF(OR(E13="",F13=""),"",I13-$M$2/5))</f>
        <v/>
      </c>
      <c r="K13" s="10">
        <f t="shared" ca="1" si="2"/>
        <v>0</v>
      </c>
    </row>
    <row r="14" spans="1:18" x14ac:dyDescent="0.25">
      <c r="A14" s="51"/>
      <c r="B14" s="34">
        <f t="shared" si="3"/>
        <v>44054</v>
      </c>
      <c r="C14" s="1" t="str">
        <f t="shared" si="1"/>
        <v>Montag</v>
      </c>
      <c r="D14" s="21" t="str">
        <f>IF(COUNTIFS(Verweise!$A$2:$A$4542,Übersicht!$C$7,Verweise!$B$2:$B$4542,B14)=1,"Feiertag",IF(C14="Samstag","",IF(C14="Sonntag","",Übersicht!$C$8)))</f>
        <v>Büro</v>
      </c>
      <c r="E14" s="19"/>
      <c r="F14" s="19"/>
      <c r="G14" s="66"/>
      <c r="H14" s="19"/>
      <c r="I14" s="18" t="str">
        <f t="shared" si="0"/>
        <v/>
      </c>
      <c r="J14" s="39" t="str">
        <f>IF(Übersicht!$C$9="Ja",IF(OR(E14=""),"",I14-$M$2/5),IF(OR(E14="",F14=""),"",I14-$M$2/5))</f>
        <v/>
      </c>
      <c r="K14" s="10">
        <f t="shared" ca="1" si="2"/>
        <v>0</v>
      </c>
      <c r="L14" s="79" t="s">
        <v>85</v>
      </c>
      <c r="M14" s="22">
        <v>0.50902777777777775</v>
      </c>
    </row>
    <row r="15" spans="1:18" x14ac:dyDescent="0.25">
      <c r="A15" s="51"/>
      <c r="B15" s="34">
        <f t="shared" si="3"/>
        <v>44055</v>
      </c>
      <c r="C15" s="1" t="str">
        <f t="shared" si="1"/>
        <v>Dienstag</v>
      </c>
      <c r="D15" s="21" t="str">
        <f>IF(COUNTIFS(Verweise!$A$2:$A$4542,Übersicht!$C$7,Verweise!$B$2:$B$4542,B15)=1,"Feiertag",IF(C15="Samstag","",IF(C15="Sonntag","",Übersicht!$C$8)))</f>
        <v>Büro</v>
      </c>
      <c r="E15" s="19"/>
      <c r="F15" s="19"/>
      <c r="G15" s="66"/>
      <c r="H15" s="19"/>
      <c r="I15" s="18" t="str">
        <f t="shared" si="0"/>
        <v/>
      </c>
      <c r="J15" s="39" t="str">
        <f>IF(Übersicht!$C$9="Ja",IF(OR(E15=""),"",I15-$M$2/5),IF(OR(E15="",F15=""),"",I15-$M$2/5))</f>
        <v/>
      </c>
      <c r="K15" s="10">
        <f t="shared" ca="1" si="2"/>
        <v>0</v>
      </c>
      <c r="L15" s="79" t="s">
        <v>86</v>
      </c>
      <c r="M15" s="22">
        <v>0.52152777777777781</v>
      </c>
    </row>
    <row r="16" spans="1:18" x14ac:dyDescent="0.25">
      <c r="A16" s="51"/>
      <c r="B16" s="34">
        <f t="shared" si="3"/>
        <v>44056</v>
      </c>
      <c r="C16" s="1" t="str">
        <f t="shared" si="1"/>
        <v>Mittwoch</v>
      </c>
      <c r="D16" s="21" t="str">
        <f>IF(COUNTIFS(Verweise!$A$2:$A$4542,Übersicht!$C$7,Verweise!$B$2:$B$4542,B16)=1,"Feiertag",IF(C16="Samstag","",IF(C16="Sonntag","",Übersicht!$C$8)))</f>
        <v>Büro</v>
      </c>
      <c r="E16" s="19"/>
      <c r="F16" s="19"/>
      <c r="G16" s="66"/>
      <c r="H16" s="19"/>
      <c r="I16" s="18" t="str">
        <f t="shared" si="0"/>
        <v/>
      </c>
      <c r="J16" s="39" t="str">
        <f>IF(Übersicht!$C$9="Ja",IF(OR(E16=""),"",I16-$M$2/5),IF(OR(E16="",F16=""),"",I16-$M$2/5))</f>
        <v/>
      </c>
      <c r="K16" s="10">
        <f t="shared" ca="1" si="2"/>
        <v>0</v>
      </c>
      <c r="M16" s="22"/>
    </row>
    <row r="17" spans="1:14" x14ac:dyDescent="0.25">
      <c r="A17" s="51"/>
      <c r="B17" s="34">
        <f t="shared" si="3"/>
        <v>44057</v>
      </c>
      <c r="C17" s="1" t="str">
        <f t="shared" si="1"/>
        <v>Donnerstag</v>
      </c>
      <c r="D17" s="21" t="str">
        <f>IF(COUNTIFS(Verweise!$A$2:$A$4542,Übersicht!$C$7,Verweise!$B$2:$B$4542,B17)=1,"Feiertag",IF(C17="Samstag","",IF(C17="Sonntag","",Übersicht!$C$8)))</f>
        <v>Büro</v>
      </c>
      <c r="E17" s="19"/>
      <c r="F17" s="19"/>
      <c r="G17" s="67"/>
      <c r="H17" s="19"/>
      <c r="I17" s="18" t="str">
        <f t="shared" si="0"/>
        <v/>
      </c>
      <c r="J17" s="39" t="str">
        <f>IF(Übersicht!$C$9="Ja",IF(OR(E17=""),"",I17-$M$2/5),IF(OR(E17="",F17=""),"",I17-$M$2/5))</f>
        <v/>
      </c>
      <c r="K17" s="10">
        <f t="shared" ca="1" si="2"/>
        <v>0</v>
      </c>
      <c r="L17" s="22"/>
      <c r="M17" s="22"/>
      <c r="N17" s="22"/>
    </row>
    <row r="18" spans="1:14" x14ac:dyDescent="0.25">
      <c r="A18" s="51"/>
      <c r="B18" s="34">
        <f t="shared" si="3"/>
        <v>44058</v>
      </c>
      <c r="C18" s="1" t="str">
        <f t="shared" si="1"/>
        <v>Freitag</v>
      </c>
      <c r="D18" s="21" t="str">
        <f>IF(COUNTIFS(Verweise!$A$2:$A$4542,Übersicht!$C$7,Verweise!$B$2:$B$4542,B18)=1,"Feiertag",IF(C18="Samstag","",IF(C18="Sonntag","",Übersicht!$C$8)))</f>
        <v>Büro</v>
      </c>
      <c r="E18" s="19"/>
      <c r="F18" s="19"/>
      <c r="G18" s="67"/>
      <c r="H18" s="19"/>
      <c r="I18" s="18" t="str">
        <f t="shared" si="0"/>
        <v/>
      </c>
      <c r="J18" s="39" t="str">
        <f>IF(Übersicht!$C$9="Ja",IF(OR(E18=""),"",I18-$M$2/5),IF(OR(E18="",F18=""),"",I18-$M$2/5))</f>
        <v/>
      </c>
      <c r="K18" s="10">
        <f t="shared" ca="1" si="2"/>
        <v>0</v>
      </c>
      <c r="L18" s="22"/>
      <c r="M18" s="22"/>
      <c r="N18" s="22"/>
    </row>
    <row r="19" spans="1:14" x14ac:dyDescent="0.25">
      <c r="A19" s="51"/>
      <c r="B19" s="34">
        <f t="shared" si="3"/>
        <v>44059</v>
      </c>
      <c r="C19" s="1" t="str">
        <f t="shared" si="1"/>
        <v>Samstag</v>
      </c>
      <c r="D19" s="21" t="str">
        <f>IF(COUNTIFS(Verweise!$A$2:$A$4542,Übersicht!$C$7,Verweise!$B$2:$B$4542,B19)=1,"Feiertag",IF(C19="Samstag","",IF(C19="Sonntag","",Übersicht!$C$8)))</f>
        <v/>
      </c>
      <c r="E19" s="19"/>
      <c r="F19" s="19"/>
      <c r="G19" s="67"/>
      <c r="H19" s="19"/>
      <c r="I19" s="18" t="str">
        <f t="shared" si="0"/>
        <v/>
      </c>
      <c r="J19" s="39" t="str">
        <f>IF(Übersicht!$C$9="Ja",IF(OR(E19=""),"",I19-$M$2/5),IF(OR(E19="",F19=""),"",I19-$M$2/5))</f>
        <v/>
      </c>
      <c r="K19" s="10">
        <f t="shared" ca="1" si="2"/>
        <v>0</v>
      </c>
      <c r="L19" s="82"/>
      <c r="M19" s="22"/>
      <c r="N19" s="22"/>
    </row>
    <row r="20" spans="1:14" x14ac:dyDescent="0.25">
      <c r="A20" s="51"/>
      <c r="B20" s="34">
        <f t="shared" si="3"/>
        <v>44060</v>
      </c>
      <c r="C20" s="1" t="str">
        <f t="shared" si="1"/>
        <v>Sonntag</v>
      </c>
      <c r="D20" s="21" t="str">
        <f>IF(COUNTIFS(Verweise!$A$2:$A$4542,Übersicht!$C$7,Verweise!$B$2:$B$4542,B20)=1,"Feiertag",IF(C20="Samstag","",IF(C20="Sonntag","",Übersicht!$C$8)))</f>
        <v/>
      </c>
      <c r="E20" s="19"/>
      <c r="F20" s="19"/>
      <c r="G20" s="66"/>
      <c r="H20" s="19"/>
      <c r="I20" s="18" t="str">
        <f t="shared" si="0"/>
        <v/>
      </c>
      <c r="J20" s="39" t="str">
        <f>IF(Übersicht!$C$9="Ja",IF(OR(E20=""),"",I20-$M$2/5),IF(OR(E20="",F20=""),"",I20-$M$2/5))</f>
        <v/>
      </c>
      <c r="K20" s="10">
        <f t="shared" ca="1" si="2"/>
        <v>0</v>
      </c>
    </row>
    <row r="21" spans="1:14" x14ac:dyDescent="0.25">
      <c r="A21" s="51"/>
      <c r="B21" s="34">
        <f t="shared" si="3"/>
        <v>44061</v>
      </c>
      <c r="C21" s="1" t="str">
        <f t="shared" si="1"/>
        <v>Montag</v>
      </c>
      <c r="D21" s="21" t="str">
        <f>IF(COUNTIFS(Verweise!$A$2:$A$4542,Übersicht!$C$7,Verweise!$B$2:$B$4542,B21)=1,"Feiertag",IF(C21="Samstag","",IF(C21="Sonntag","",Übersicht!$C$8)))</f>
        <v>Büro</v>
      </c>
      <c r="E21" s="19"/>
      <c r="F21" s="19"/>
      <c r="G21" s="66"/>
      <c r="H21" s="19"/>
      <c r="I21" s="18" t="str">
        <f t="shared" si="0"/>
        <v/>
      </c>
      <c r="J21" s="39" t="str">
        <f>IF(Übersicht!$C$9="Ja",IF(OR(E21=""),"",I21-$M$2/5),IF(OR(E21="",F21=""),"",I21-$M$2/5))</f>
        <v/>
      </c>
      <c r="K21" s="10">
        <f t="shared" ca="1" si="2"/>
        <v>0</v>
      </c>
    </row>
    <row r="22" spans="1:14" x14ac:dyDescent="0.25">
      <c r="A22" s="51"/>
      <c r="B22" s="34">
        <f t="shared" si="3"/>
        <v>44062</v>
      </c>
      <c r="C22" s="1" t="str">
        <f t="shared" si="1"/>
        <v>Dienstag</v>
      </c>
      <c r="D22" s="21" t="str">
        <f>IF(COUNTIFS(Verweise!$A$2:$A$4542,Übersicht!$C$7,Verweise!$B$2:$B$4542,B22)=1,"Feiertag",IF(C22="Samstag","",IF(C22="Sonntag","",Übersicht!$C$8)))</f>
        <v>Büro</v>
      </c>
      <c r="E22" s="19"/>
      <c r="F22" s="19"/>
      <c r="G22" s="67"/>
      <c r="H22" s="19"/>
      <c r="I22" s="18" t="str">
        <f t="shared" si="0"/>
        <v/>
      </c>
      <c r="J22" s="39" t="str">
        <f>IF(Übersicht!$C$9="Ja",IF(OR(E22=""),"",I22-$M$2/5),IF(OR(E22="",F22=""),"",I22-$M$2/5))</f>
        <v/>
      </c>
      <c r="K22" s="10">
        <f t="shared" ca="1" si="2"/>
        <v>0</v>
      </c>
    </row>
    <row r="23" spans="1:14" x14ac:dyDescent="0.25">
      <c r="A23" s="30"/>
      <c r="B23" s="34">
        <f t="shared" si="3"/>
        <v>44063</v>
      </c>
      <c r="C23" s="1" t="str">
        <f t="shared" si="1"/>
        <v>Mittwoch</v>
      </c>
      <c r="D23" s="21" t="str">
        <f>IF(COUNTIFS(Verweise!$A$2:$A$4542,Übersicht!$C$7,Verweise!$B$2:$B$4542,B23)=1,"Feiertag",IF(C23="Samstag","",IF(C23="Sonntag","",Übersicht!$C$8)))</f>
        <v>Büro</v>
      </c>
      <c r="E23" s="19"/>
      <c r="F23" s="19"/>
      <c r="G23" s="67"/>
      <c r="H23" s="19"/>
      <c r="I23" s="18" t="str">
        <f t="shared" si="0"/>
        <v/>
      </c>
      <c r="J23" s="39" t="str">
        <f>IF(Übersicht!$C$9="Ja",IF(OR(E23=""),"",I23-$M$2/5),IF(OR(E23="",F23=""),"",I23-$M$2/5))</f>
        <v/>
      </c>
      <c r="K23" s="10">
        <f t="shared" ca="1" si="2"/>
        <v>0</v>
      </c>
    </row>
    <row r="24" spans="1:14" x14ac:dyDescent="0.25">
      <c r="A24" s="51"/>
      <c r="B24" s="34">
        <f t="shared" si="3"/>
        <v>44064</v>
      </c>
      <c r="C24" s="1" t="str">
        <f t="shared" si="1"/>
        <v>Donnerstag</v>
      </c>
      <c r="D24" s="21" t="str">
        <f>IF(COUNTIFS(Verweise!$A$2:$A$4542,Übersicht!$C$7,Verweise!$B$2:$B$4542,B24)=1,"Feiertag",IF(C24="Samstag","",IF(C24="Sonntag","",Übersicht!$C$8)))</f>
        <v>Büro</v>
      </c>
      <c r="E24" s="19"/>
      <c r="F24" s="19"/>
      <c r="G24" s="67"/>
      <c r="H24" s="19"/>
      <c r="I24" s="18" t="str">
        <f t="shared" si="0"/>
        <v/>
      </c>
      <c r="J24" s="39" t="str">
        <f>IF(Übersicht!$C$9="Ja",IF(OR(E24=""),"",I24-$M$2/5),IF(OR(E24="",F24=""),"",I24-$M$2/5))</f>
        <v/>
      </c>
      <c r="K24" s="10">
        <f t="shared" ca="1" si="2"/>
        <v>0</v>
      </c>
    </row>
    <row r="25" spans="1:14" x14ac:dyDescent="0.25">
      <c r="A25" s="51"/>
      <c r="B25" s="34">
        <f t="shared" si="3"/>
        <v>44065</v>
      </c>
      <c r="C25" s="1" t="str">
        <f t="shared" si="1"/>
        <v>Freitag</v>
      </c>
      <c r="D25" s="21" t="str">
        <f>IF(COUNTIFS(Verweise!$A$2:$A$4542,Übersicht!$C$7,Verweise!$B$2:$B$4542,B25)=1,"Feiertag",IF(C25="Samstag","",IF(C25="Sonntag","",Übersicht!$C$8)))</f>
        <v>Büro</v>
      </c>
      <c r="E25" s="19"/>
      <c r="F25" s="19"/>
      <c r="G25" s="67"/>
      <c r="H25" s="19"/>
      <c r="I25" s="18" t="str">
        <f t="shared" si="0"/>
        <v/>
      </c>
      <c r="J25" s="39" t="str">
        <f>IF(Übersicht!$C$9="Ja",IF(OR(E25=""),"",I25-$M$2/5),IF(OR(E25="",F25=""),"",I25-$M$2/5))</f>
        <v/>
      </c>
      <c r="K25" s="10">
        <f t="shared" ca="1" si="2"/>
        <v>0</v>
      </c>
    </row>
    <row r="26" spans="1:14" x14ac:dyDescent="0.25">
      <c r="A26" s="51"/>
      <c r="B26" s="34">
        <f t="shared" si="3"/>
        <v>44066</v>
      </c>
      <c r="C26" s="1" t="str">
        <f t="shared" si="1"/>
        <v>Samstag</v>
      </c>
      <c r="D26" s="21" t="str">
        <f>IF(COUNTIFS(Verweise!$A$2:$A$4542,Übersicht!$C$7,Verweise!$B$2:$B$4542,B26)=1,"Feiertag",IF(C26="Samstag","",IF(C26="Sonntag","",Übersicht!$C$8)))</f>
        <v/>
      </c>
      <c r="E26" s="19"/>
      <c r="F26" s="19"/>
      <c r="G26" s="67"/>
      <c r="H26" s="19"/>
      <c r="I26" s="18" t="str">
        <f t="shared" si="0"/>
        <v/>
      </c>
      <c r="J26" s="39" t="str">
        <f>IF(Übersicht!$C$9="Ja",IF(OR(E26=""),"",I26-$M$2/5),IF(OR(E26="",F26=""),"",I26-$M$2/5))</f>
        <v/>
      </c>
      <c r="K26" s="10">
        <f t="shared" ca="1" si="2"/>
        <v>0</v>
      </c>
    </row>
    <row r="27" spans="1:14" x14ac:dyDescent="0.25">
      <c r="A27" s="51"/>
      <c r="B27" s="34">
        <f t="shared" si="3"/>
        <v>44067</v>
      </c>
      <c r="C27" s="1" t="str">
        <f t="shared" si="1"/>
        <v>Sonntag</v>
      </c>
      <c r="D27" s="21" t="str">
        <f>IF(COUNTIFS(Verweise!$A$2:$A$4542,Übersicht!$C$7,Verweise!$B$2:$B$4542,B27)=1,"Feiertag",IF(C27="Samstag","",IF(C27="Sonntag","",Übersicht!$C$8)))</f>
        <v/>
      </c>
      <c r="E27" s="19"/>
      <c r="F27" s="19"/>
      <c r="G27" s="67"/>
      <c r="H27" s="19"/>
      <c r="I27" s="18" t="str">
        <f t="shared" si="0"/>
        <v/>
      </c>
      <c r="J27" s="39" t="str">
        <f>IF(Übersicht!$C$9="Ja",IF(OR(E27=""),"",I27-$M$2/5),IF(OR(E27="",F27=""),"",I27-$M$2/5))</f>
        <v/>
      </c>
      <c r="K27" s="10">
        <f t="shared" ca="1" si="2"/>
        <v>0</v>
      </c>
    </row>
    <row r="28" spans="1:14" x14ac:dyDescent="0.25">
      <c r="A28" s="51"/>
      <c r="B28" s="34">
        <f t="shared" si="3"/>
        <v>44068</v>
      </c>
      <c r="C28" s="1" t="str">
        <f t="shared" si="1"/>
        <v>Montag</v>
      </c>
      <c r="D28" s="21" t="str">
        <f>IF(COUNTIFS(Verweise!$A$2:$A$4542,Übersicht!$C$7,Verweise!$B$2:$B$4542,B28)=1,"Feiertag",IF(C28="Samstag","",IF(C28="Sonntag","",Übersicht!$C$8)))</f>
        <v>Büro</v>
      </c>
      <c r="E28" s="19"/>
      <c r="F28" s="19"/>
      <c r="G28" s="66"/>
      <c r="H28" s="19"/>
      <c r="I28" s="18" t="str">
        <f t="shared" si="0"/>
        <v/>
      </c>
      <c r="J28" s="39" t="str">
        <f>IF(Übersicht!$C$9="Ja",IF(OR(E28=""),"",I28-$M$2/5),IF(OR(E28="",F28=""),"",I28-$M$2/5))</f>
        <v/>
      </c>
      <c r="K28" s="10">
        <f t="shared" ca="1" si="2"/>
        <v>0</v>
      </c>
    </row>
    <row r="29" spans="1:14" x14ac:dyDescent="0.25">
      <c r="A29" s="51"/>
      <c r="B29" s="34">
        <f t="shared" si="3"/>
        <v>44069</v>
      </c>
      <c r="C29" s="1" t="str">
        <f t="shared" si="1"/>
        <v>Dienstag</v>
      </c>
      <c r="D29" s="21" t="str">
        <f>IF(COUNTIFS(Verweise!$A$2:$A$4542,Übersicht!$C$7,Verweise!$B$2:$B$4542,B29)=1,"Feiertag",IF(C29="Samstag","",IF(C29="Sonntag","",Übersicht!$C$8)))</f>
        <v>Büro</v>
      </c>
      <c r="E29" s="19"/>
      <c r="F29" s="19"/>
      <c r="G29" s="66"/>
      <c r="H29" s="19"/>
      <c r="I29" s="18" t="str">
        <f t="shared" si="0"/>
        <v/>
      </c>
      <c r="J29" s="39" t="str">
        <f>IF(Übersicht!$C$9="Ja",IF(OR(E29=""),"",I29-$M$2/5),IF(OR(E29="",F29=""),"",I29-$M$2/5))</f>
        <v/>
      </c>
      <c r="K29" s="10">
        <f t="shared" ca="1" si="2"/>
        <v>0</v>
      </c>
    </row>
    <row r="30" spans="1:14" x14ac:dyDescent="0.25">
      <c r="A30" s="51"/>
      <c r="B30" s="34">
        <f t="shared" si="3"/>
        <v>44070</v>
      </c>
      <c r="C30" s="1" t="str">
        <f t="shared" si="1"/>
        <v>Mittwoch</v>
      </c>
      <c r="D30" s="21" t="str">
        <f>IF(COUNTIFS(Verweise!$A$2:$A$4542,Übersicht!$C$7,Verweise!$B$2:$B$4542,B30)=1,"Feiertag",IF(C30="Samstag","",IF(C30="Sonntag","",Übersicht!$C$8)))</f>
        <v>Büro</v>
      </c>
      <c r="E30" s="19"/>
      <c r="F30" s="19"/>
      <c r="G30" s="67"/>
      <c r="H30" s="19"/>
      <c r="I30" s="18" t="str">
        <f t="shared" si="0"/>
        <v/>
      </c>
      <c r="J30" s="39" t="str">
        <f>IF(Übersicht!$C$9="Ja",IF(OR(E30=""),"",I30-$M$2/5),IF(OR(E30="",F30=""),"",I30-$M$2/5))</f>
        <v/>
      </c>
      <c r="K30" s="10">
        <f t="shared" ca="1" si="2"/>
        <v>0</v>
      </c>
    </row>
    <row r="31" spans="1:14" x14ac:dyDescent="0.25">
      <c r="A31" s="30"/>
      <c r="B31" s="34">
        <f t="shared" si="3"/>
        <v>44071</v>
      </c>
      <c r="C31" s="1" t="str">
        <f t="shared" si="1"/>
        <v>Donnerstag</v>
      </c>
      <c r="D31" s="21" t="str">
        <f>IF(COUNTIFS(Verweise!$A$2:$A$4542,Übersicht!$C$7,Verweise!$B$2:$B$4542,B31)=1,"Feiertag",IF(C31="Samstag","",IF(C31="Sonntag","",Übersicht!$C$8)))</f>
        <v>Büro</v>
      </c>
      <c r="E31" s="19"/>
      <c r="F31" s="19"/>
      <c r="G31" s="67"/>
      <c r="H31" s="19"/>
      <c r="I31" s="18" t="str">
        <f t="shared" si="0"/>
        <v/>
      </c>
      <c r="J31" s="39" t="str">
        <f>IF(Übersicht!$C$9="Ja",IF(OR(E31=""),"",I31-$M$2/5),IF(OR(E31="",F31=""),"",I31-$M$2/5))</f>
        <v/>
      </c>
      <c r="K31" s="10">
        <f t="shared" ca="1" si="2"/>
        <v>0</v>
      </c>
    </row>
    <row r="32" spans="1:14" x14ac:dyDescent="0.25">
      <c r="A32" s="51"/>
      <c r="B32" s="34">
        <f t="shared" si="3"/>
        <v>44072</v>
      </c>
      <c r="C32" s="1" t="str">
        <f t="shared" si="1"/>
        <v>Freitag</v>
      </c>
      <c r="D32" s="21" t="str">
        <f>IF(COUNTIFS(Verweise!$A$2:$A$4542,Übersicht!$C$7,Verweise!$B$2:$B$4542,B32)=1,"Feiertag",IF(C32="Samstag","",IF(C32="Sonntag","",Übersicht!$C$8)))</f>
        <v>Büro</v>
      </c>
      <c r="E32" s="19"/>
      <c r="F32" s="19"/>
      <c r="G32" s="67"/>
      <c r="H32" s="19"/>
      <c r="I32" s="18" t="str">
        <f t="shared" si="0"/>
        <v/>
      </c>
      <c r="J32" s="39" t="str">
        <f>IF(Übersicht!$C$9="Ja",IF(OR(E32=""),"",I32-$M$2/5),IF(OR(E32="",F32=""),"",I32-$M$2/5))</f>
        <v/>
      </c>
      <c r="K32" s="10">
        <f t="shared" ca="1" si="2"/>
        <v>0</v>
      </c>
    </row>
    <row r="33" spans="1:11" x14ac:dyDescent="0.25">
      <c r="A33" s="51"/>
      <c r="B33" s="34">
        <f t="shared" si="3"/>
        <v>44073</v>
      </c>
      <c r="C33" s="1" t="str">
        <f t="shared" si="1"/>
        <v>Samstag</v>
      </c>
      <c r="D33" s="21" t="str">
        <f>IF(COUNTIFS(Verweise!$A$2:$A$4542,Übersicht!$C$7,Verweise!$B$2:$B$4542,B33)=1,"Feiertag",IF(C33="Samstag","",IF(C33="Sonntag","",Übersicht!$C$8)))</f>
        <v/>
      </c>
      <c r="E33" s="19"/>
      <c r="F33" s="19"/>
      <c r="G33" s="67"/>
      <c r="H33" s="19"/>
      <c r="I33" s="18" t="str">
        <f t="shared" si="0"/>
        <v/>
      </c>
      <c r="J33" s="39" t="str">
        <f>IF(Übersicht!$C$9="Ja",IF(OR(E33=""),"",I33-$M$2/5),IF(OR(E33="",F33=""),"",I33-$M$2/5))</f>
        <v/>
      </c>
      <c r="K33" s="10">
        <f t="shared" ca="1" si="2"/>
        <v>0</v>
      </c>
    </row>
    <row r="34" spans="1:11" x14ac:dyDescent="0.25">
      <c r="A34" s="22"/>
    </row>
  </sheetData>
  <phoneticPr fontId="11" type="noConversion"/>
  <conditionalFormatting sqref="B4:C33">
    <cfRule type="expression" dxfId="291" priority="182">
      <formula>OR($C4="Samstag",$C4="Sonntag",$D4="Feiertag")</formula>
    </cfRule>
    <cfRule type="expression" dxfId="290" priority="183">
      <formula>OR($D4="Frei",$D4="Urlaub")</formula>
    </cfRule>
    <cfRule type="expression" dxfId="289" priority="184">
      <formula>$D4="Krank"</formula>
    </cfRule>
  </conditionalFormatting>
  <conditionalFormatting sqref="E33">
    <cfRule type="expression" dxfId="288" priority="166">
      <formula>OR($C33="Samstag",$C33="Sonntag",$D33="Feiertag")</formula>
    </cfRule>
    <cfRule type="expression" dxfId="287" priority="167">
      <formula>OR($D33="Frei",$D33="Urlaub")</formula>
    </cfRule>
    <cfRule type="expression" dxfId="286" priority="168">
      <formula>$D33="Krank"</formula>
    </cfRule>
  </conditionalFormatting>
  <conditionalFormatting sqref="E33">
    <cfRule type="expression" dxfId="285" priority="155">
      <formula>OR($C33="Samstag",$C33="Sonntag",$D33="Feiertag")</formula>
    </cfRule>
    <cfRule type="expression" dxfId="284" priority="156">
      <formula>OR($D33="Frei",$D33="Urlaub")</formula>
    </cfRule>
    <cfRule type="expression" dxfId="283" priority="157">
      <formula>$D33="Krank"</formula>
    </cfRule>
  </conditionalFormatting>
  <conditionalFormatting sqref="E31:E32">
    <cfRule type="expression" dxfId="282" priority="144">
      <formula>OR($C31="Samstag",$C31="Sonntag",$D31="Feiertag")</formula>
    </cfRule>
    <cfRule type="expression" dxfId="281" priority="145">
      <formula>OR($D31="Frei",$D31="Urlaub")</formula>
    </cfRule>
    <cfRule type="expression" dxfId="280" priority="146">
      <formula>$D31="Krank"</formula>
    </cfRule>
  </conditionalFormatting>
  <conditionalFormatting sqref="E7:H8 E4:F6 E14:H15 E9:F13 E21:H22 E17:F19 E28:H29 E23:F27 E30:F32">
    <cfRule type="expression" dxfId="279" priority="133">
      <formula>OR($C4="Samstag",$C4="Sonntag",$D4="Feiertag")</formula>
    </cfRule>
    <cfRule type="expression" dxfId="278" priority="134">
      <formula>OR($D4="Frei",$D4="Urlaub")</formula>
    </cfRule>
    <cfRule type="expression" dxfId="277" priority="135">
      <formula>$D4="Krank"</formula>
    </cfRule>
  </conditionalFormatting>
  <conditionalFormatting sqref="D4:D11 D14:D25 D27:D33">
    <cfRule type="expression" dxfId="276" priority="117">
      <formula>OR($C4="Samstag",$C4="Sonntag",$D4="Feiertag")</formula>
    </cfRule>
    <cfRule type="expression" dxfId="275" priority="118">
      <formula>OR($D4="Frei",$D4="Urlaub")</formula>
    </cfRule>
    <cfRule type="expression" dxfId="274" priority="119">
      <formula>$D4="Krank"</formula>
    </cfRule>
  </conditionalFormatting>
  <conditionalFormatting sqref="B3:C3">
    <cfRule type="expression" dxfId="273" priority="114">
      <formula>OR($C3="Samstag",$C3="Sonntag",$D3="Feiertag")</formula>
    </cfRule>
    <cfRule type="expression" dxfId="272" priority="115">
      <formula>OR($D3="Frei",$D3="Urlaub")</formula>
    </cfRule>
    <cfRule type="expression" dxfId="271" priority="116">
      <formula>$D3="Krank"</formula>
    </cfRule>
  </conditionalFormatting>
  <conditionalFormatting sqref="D3">
    <cfRule type="expression" dxfId="270" priority="108">
      <formula>OR($C3="Samstag",$C3="Sonntag",$D3="Feiertag")</formula>
    </cfRule>
    <cfRule type="expression" dxfId="269" priority="109">
      <formula>OR($D3="Frei",$D3="Urlaub")</formula>
    </cfRule>
    <cfRule type="expression" dxfId="268" priority="110">
      <formula>$D3="Krank"</formula>
    </cfRule>
  </conditionalFormatting>
  <conditionalFormatting sqref="I3:I15 I17:I33">
    <cfRule type="expression" dxfId="267" priority="92">
      <formula>OR($C3="Samstag",$C3="Sonntag",$D3="Feiertag")</formula>
    </cfRule>
    <cfRule type="expression" dxfId="266" priority="93">
      <formula>OR($D3="Frei",$D3="Urlaub")</formula>
    </cfRule>
    <cfRule type="expression" dxfId="265" priority="94">
      <formula>$D3="Krank"</formula>
    </cfRule>
  </conditionalFormatting>
  <conditionalFormatting sqref="E3:F3">
    <cfRule type="expression" dxfId="264" priority="84">
      <formula>OR($C3="Samstag",$C3="Sonntag",$D3="Feiertag")</formula>
    </cfRule>
    <cfRule type="expression" dxfId="263" priority="85">
      <formula>OR($D3="Frei",$D3="Urlaub")</formula>
    </cfRule>
    <cfRule type="expression" dxfId="262" priority="86">
      <formula>$D3="Krank"</formula>
    </cfRule>
  </conditionalFormatting>
  <conditionalFormatting sqref="D12:D13">
    <cfRule type="expression" dxfId="261" priority="81">
      <formula>OR($C12="Samstag",$C12="Sonntag",$D12="Feiertag")</formula>
    </cfRule>
    <cfRule type="expression" dxfId="260" priority="82">
      <formula>OR($D12="Frei",$D12="Urlaub")</formula>
    </cfRule>
    <cfRule type="expression" dxfId="259" priority="83">
      <formula>$D12="Krank"</formula>
    </cfRule>
  </conditionalFormatting>
  <conditionalFormatting sqref="D26">
    <cfRule type="expression" dxfId="258" priority="78">
      <formula>OR($C26="Samstag",$C26="Sonntag",$D26="Feiertag")</formula>
    </cfRule>
    <cfRule type="expression" dxfId="257" priority="79">
      <formula>OR($D26="Frei",$D26="Urlaub")</formula>
    </cfRule>
    <cfRule type="expression" dxfId="256" priority="80">
      <formula>$D26="Krank"</formula>
    </cfRule>
  </conditionalFormatting>
  <conditionalFormatting sqref="J3:J33">
    <cfRule type="cellIs" dxfId="255" priority="73" operator="greaterThan">
      <formula>0</formula>
    </cfRule>
    <cfRule type="cellIs" dxfId="254" priority="74" operator="lessThan">
      <formula>0</formula>
    </cfRule>
    <cfRule type="expression" dxfId="253" priority="75">
      <formula>OR($C3="Samstag",$C3="Sonntag",$D3="Feiertag")</formula>
    </cfRule>
    <cfRule type="expression" dxfId="252" priority="76">
      <formula>OR($D3="Frei",$D3="Urlaub")</formula>
    </cfRule>
    <cfRule type="expression" dxfId="251" priority="77">
      <formula>$D3="Krank"</formula>
    </cfRule>
  </conditionalFormatting>
  <conditionalFormatting sqref="G3:H4">
    <cfRule type="expression" dxfId="250" priority="70">
      <formula>OR($C3="Samstag",$C3="Sonntag",$D3="Feiertag")</formula>
    </cfRule>
    <cfRule type="expression" dxfId="249" priority="71">
      <formula>OR($D3="Frei",$D3="Urlaub")</formula>
    </cfRule>
    <cfRule type="expression" dxfId="248" priority="72">
      <formula>$D3="Krank"</formula>
    </cfRule>
  </conditionalFormatting>
  <conditionalFormatting sqref="G5:H5">
    <cfRule type="expression" dxfId="247" priority="67">
      <formula>OR($C5="Samstag",$C5="Sonntag",$D5="Feiertag")</formula>
    </cfRule>
    <cfRule type="expression" dxfId="246" priority="68">
      <formula>OR($D5="Frei",$D5="Urlaub")</formula>
    </cfRule>
    <cfRule type="expression" dxfId="245" priority="69">
      <formula>$D5="Krank"</formula>
    </cfRule>
  </conditionalFormatting>
  <conditionalFormatting sqref="G6:H6">
    <cfRule type="expression" dxfId="244" priority="64">
      <formula>OR($C6="Samstag",$C6="Sonntag",$D6="Feiertag")</formula>
    </cfRule>
    <cfRule type="expression" dxfId="243" priority="65">
      <formula>OR($D6="Frei",$D6="Urlaub")</formula>
    </cfRule>
    <cfRule type="expression" dxfId="242" priority="66">
      <formula>$D6="Krank"</formula>
    </cfRule>
  </conditionalFormatting>
  <conditionalFormatting sqref="G9:H9">
    <cfRule type="expression" dxfId="241" priority="61">
      <formula>OR($C9="Samstag",$C9="Sonntag",$D9="Feiertag")</formula>
    </cfRule>
    <cfRule type="expression" dxfId="240" priority="62">
      <formula>OR($D9="Frei",$D9="Urlaub")</formula>
    </cfRule>
    <cfRule type="expression" dxfId="239" priority="63">
      <formula>$D9="Krank"</formula>
    </cfRule>
  </conditionalFormatting>
  <conditionalFormatting sqref="G10:H10">
    <cfRule type="expression" dxfId="238" priority="58">
      <formula>OR($C10="Samstag",$C10="Sonntag",$D10="Feiertag")</formula>
    </cfRule>
    <cfRule type="expression" dxfId="237" priority="59">
      <formula>OR($D10="Frei",$D10="Urlaub")</formula>
    </cfRule>
    <cfRule type="expression" dxfId="236" priority="60">
      <formula>$D10="Krank"</formula>
    </cfRule>
  </conditionalFormatting>
  <conditionalFormatting sqref="G11:H11">
    <cfRule type="expression" dxfId="235" priority="55">
      <formula>OR($C11="Samstag",$C11="Sonntag",$D11="Feiertag")</formula>
    </cfRule>
    <cfRule type="expression" dxfId="234" priority="56">
      <formula>OR($D11="Frei",$D11="Urlaub")</formula>
    </cfRule>
    <cfRule type="expression" dxfId="233" priority="57">
      <formula>$D11="Krank"</formula>
    </cfRule>
  </conditionalFormatting>
  <conditionalFormatting sqref="G12:H12">
    <cfRule type="expression" dxfId="232" priority="52">
      <formula>OR($C12="Samstag",$C12="Sonntag",$D12="Feiertag")</formula>
    </cfRule>
    <cfRule type="expression" dxfId="231" priority="53">
      <formula>OR($D12="Frei",$D12="Urlaub")</formula>
    </cfRule>
    <cfRule type="expression" dxfId="230" priority="54">
      <formula>$D12="Krank"</formula>
    </cfRule>
  </conditionalFormatting>
  <conditionalFormatting sqref="G13:H13">
    <cfRule type="expression" dxfId="229" priority="49">
      <formula>OR($C13="Samstag",$C13="Sonntag",$D13="Feiertag")</formula>
    </cfRule>
    <cfRule type="expression" dxfId="228" priority="50">
      <formula>OR($D13="Frei",$D13="Urlaub")</formula>
    </cfRule>
    <cfRule type="expression" dxfId="227" priority="51">
      <formula>$D13="Krank"</formula>
    </cfRule>
  </conditionalFormatting>
  <conditionalFormatting sqref="E16:I16">
    <cfRule type="expression" dxfId="226" priority="46">
      <formula>OR($C16="Samstag",$C16="Sonntag",$D16="Feiertag")</formula>
    </cfRule>
    <cfRule type="expression" dxfId="225" priority="47">
      <formula>OR($D16="Frei",$D16="Urlaub")</formula>
    </cfRule>
    <cfRule type="expression" dxfId="224" priority="48">
      <formula>$D16="Krank"</formula>
    </cfRule>
  </conditionalFormatting>
  <conditionalFormatting sqref="E16">
    <cfRule type="expression" dxfId="223" priority="43">
      <formula>OR($C16="Samstag",$C16="Sonntag",$D16="Feiertag")</formula>
    </cfRule>
    <cfRule type="expression" dxfId="222" priority="44">
      <formula>OR($D16="Frei",$D16="Urlaub")</formula>
    </cfRule>
    <cfRule type="expression" dxfId="221" priority="45">
      <formula>$D16="Krank"</formula>
    </cfRule>
  </conditionalFormatting>
  <conditionalFormatting sqref="I16">
    <cfRule type="expression" dxfId="220" priority="40">
      <formula>OR($C16="Samstag",$C16="Sonntag",$D16="Feiertag")</formula>
    </cfRule>
    <cfRule type="expression" dxfId="219" priority="41">
      <formula>OR($D16="Frei",$D16="Urlaub")</formula>
    </cfRule>
    <cfRule type="expression" dxfId="218" priority="42">
      <formula>$D16="Krank"</formula>
    </cfRule>
  </conditionalFormatting>
  <conditionalFormatting sqref="G17:H17">
    <cfRule type="expression" dxfId="217" priority="37">
      <formula>OR($C17="Samstag",$C17="Sonntag",$D17="Feiertag")</formula>
    </cfRule>
    <cfRule type="expression" dxfId="216" priority="38">
      <formula>OR($D17="Frei",$D17="Urlaub")</formula>
    </cfRule>
    <cfRule type="expression" dxfId="215" priority="39">
      <formula>$D17="Krank"</formula>
    </cfRule>
  </conditionalFormatting>
  <conditionalFormatting sqref="G18:H18">
    <cfRule type="expression" dxfId="214" priority="34">
      <formula>OR($C18="Samstag",$C18="Sonntag",$D18="Feiertag")</formula>
    </cfRule>
    <cfRule type="expression" dxfId="213" priority="35">
      <formula>OR($D18="Frei",$D18="Urlaub")</formula>
    </cfRule>
    <cfRule type="expression" dxfId="212" priority="36">
      <formula>$D18="Krank"</formula>
    </cfRule>
  </conditionalFormatting>
  <conditionalFormatting sqref="G19:H19">
    <cfRule type="expression" dxfId="211" priority="31">
      <formula>OR($C19="Samstag",$C19="Sonntag",$D19="Feiertag")</formula>
    </cfRule>
    <cfRule type="expression" dxfId="210" priority="32">
      <formula>OR($D19="Frei",$D19="Urlaub")</formula>
    </cfRule>
    <cfRule type="expression" dxfId="209" priority="33">
      <formula>$D19="Krank"</formula>
    </cfRule>
  </conditionalFormatting>
  <conditionalFormatting sqref="E20:H20">
    <cfRule type="expression" dxfId="208" priority="28">
      <formula>OR($C20="Samstag",$C20="Sonntag",$D20="Feiertag")</formula>
    </cfRule>
    <cfRule type="expression" dxfId="207" priority="29">
      <formula>OR($D20="Frei",$D20="Urlaub")</formula>
    </cfRule>
    <cfRule type="expression" dxfId="206" priority="30">
      <formula>$D20="Krank"</formula>
    </cfRule>
  </conditionalFormatting>
  <conditionalFormatting sqref="G23:H23">
    <cfRule type="expression" dxfId="205" priority="25">
      <formula>OR($C23="Samstag",$C23="Sonntag",$D23="Feiertag")</formula>
    </cfRule>
    <cfRule type="expression" dxfId="204" priority="26">
      <formula>OR($D23="Frei",$D23="Urlaub")</formula>
    </cfRule>
    <cfRule type="expression" dxfId="203" priority="27">
      <formula>$D23="Krank"</formula>
    </cfRule>
  </conditionalFormatting>
  <conditionalFormatting sqref="G24:H24">
    <cfRule type="expression" dxfId="202" priority="22">
      <formula>OR($C24="Samstag",$C24="Sonntag",$D24="Feiertag")</formula>
    </cfRule>
    <cfRule type="expression" dxfId="201" priority="23">
      <formula>OR($D24="Frei",$D24="Urlaub")</formula>
    </cfRule>
    <cfRule type="expression" dxfId="200" priority="24">
      <formula>$D24="Krank"</formula>
    </cfRule>
  </conditionalFormatting>
  <conditionalFormatting sqref="G25:H25">
    <cfRule type="expression" dxfId="199" priority="19">
      <formula>OR($C25="Samstag",$C25="Sonntag",$D25="Feiertag")</formula>
    </cfRule>
    <cfRule type="expression" dxfId="198" priority="20">
      <formula>OR($D25="Frei",$D25="Urlaub")</formula>
    </cfRule>
    <cfRule type="expression" dxfId="197" priority="21">
      <formula>$D25="Krank"</formula>
    </cfRule>
  </conditionalFormatting>
  <conditionalFormatting sqref="G26:H27">
    <cfRule type="expression" dxfId="196" priority="16">
      <formula>OR($C26="Samstag",$C26="Sonntag",$D26="Feiertag")</formula>
    </cfRule>
    <cfRule type="expression" dxfId="195" priority="17">
      <formula>OR($D26="Frei",$D26="Urlaub")</formula>
    </cfRule>
    <cfRule type="expression" dxfId="194" priority="18">
      <formula>$D26="Krank"</formula>
    </cfRule>
  </conditionalFormatting>
  <conditionalFormatting sqref="G30:H30">
    <cfRule type="expression" dxfId="193" priority="13">
      <formula>OR($C30="Samstag",$C30="Sonntag",$D30="Feiertag")</formula>
    </cfRule>
    <cfRule type="expression" dxfId="192" priority="14">
      <formula>OR($D30="Frei",$D30="Urlaub")</formula>
    </cfRule>
    <cfRule type="expression" dxfId="191" priority="15">
      <formula>$D30="Krank"</formula>
    </cfRule>
  </conditionalFormatting>
  <conditionalFormatting sqref="G31:H31">
    <cfRule type="expression" dxfId="190" priority="10">
      <formula>OR($C31="Samstag",$C31="Sonntag",$D31="Feiertag")</formula>
    </cfRule>
    <cfRule type="expression" dxfId="189" priority="11">
      <formula>OR($D31="Frei",$D31="Urlaub")</formula>
    </cfRule>
    <cfRule type="expression" dxfId="188" priority="12">
      <formula>$D31="Krank"</formula>
    </cfRule>
  </conditionalFormatting>
  <conditionalFormatting sqref="G32:H32">
    <cfRule type="expression" dxfId="187" priority="7">
      <formula>OR($C32="Samstag",$C32="Sonntag",$D32="Feiertag")</formula>
    </cfRule>
    <cfRule type="expression" dxfId="186" priority="8">
      <formula>OR($D32="Frei",$D32="Urlaub")</formula>
    </cfRule>
    <cfRule type="expression" dxfId="185" priority="9">
      <formula>$D32="Krank"</formula>
    </cfRule>
  </conditionalFormatting>
  <conditionalFormatting sqref="F33">
    <cfRule type="expression" dxfId="184" priority="4">
      <formula>OR($C33="Samstag",$C33="Sonntag",$D33="Feiertag")</formula>
    </cfRule>
    <cfRule type="expression" dxfId="183" priority="5">
      <formula>OR($D33="Frei",$D33="Urlaub")</formula>
    </cfRule>
    <cfRule type="expression" dxfId="182" priority="6">
      <formula>$D33="Krank"</formula>
    </cfRule>
  </conditionalFormatting>
  <conditionalFormatting sqref="G33:H33">
    <cfRule type="expression" dxfId="181" priority="1">
      <formula>OR($C33="Samstag",$C33="Sonntag",$D33="Feiertag")</formula>
    </cfRule>
    <cfRule type="expression" dxfId="180" priority="2">
      <formula>OR($D33="Frei",$D33="Urlaub")</formula>
    </cfRule>
    <cfRule type="expression" dxfId="179" priority="3">
      <formula>$D33="Krank"</formula>
    </cfRule>
  </conditionalFormatting>
  <pageMargins left="0.7" right="0.7" top="0.78740157499999996" bottom="0.78740157499999996" header="0.3" footer="0.3"/>
  <customProperties>
    <customPr name="ORB_SHEETNAME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3" r:id="rId4" name="Button 15">
              <controlPr defaultSize="0" print="0" autoFill="0" autoPict="0" macro="[0]!TimeStampStart">
                <anchor moveWithCells="1" sizeWithCells="1">
                  <from>
                    <xdr:col>10</xdr:col>
                    <xdr:colOff>228600</xdr:colOff>
                    <xdr:row>7</xdr:row>
                    <xdr:rowOff>114300</xdr:rowOff>
                  </from>
                  <to>
                    <xdr:col>11</xdr:col>
                    <xdr:colOff>1428750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5" name="Button 16">
              <controlPr defaultSize="0" print="0" autoFill="0" autoPict="0" macro="[0]!TimeStampEnd">
                <anchor moveWithCells="1" sizeWithCells="1">
                  <from>
                    <xdr:col>11</xdr:col>
                    <xdr:colOff>1590675</xdr:colOff>
                    <xdr:row>7</xdr:row>
                    <xdr:rowOff>104775</xdr:rowOff>
                  </from>
                  <to>
                    <xdr:col>13</xdr:col>
                    <xdr:colOff>19050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6" name="Button 17">
              <controlPr defaultSize="0" print="0" autoFill="0" autoPict="0" macro="[0]!PauseStart">
                <anchor moveWithCells="1" sizeWithCells="1">
                  <from>
                    <xdr:col>10</xdr:col>
                    <xdr:colOff>228600</xdr:colOff>
                    <xdr:row>9</xdr:row>
                    <xdr:rowOff>152400</xdr:rowOff>
                  </from>
                  <to>
                    <xdr:col>11</xdr:col>
                    <xdr:colOff>1428750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7" name="Button 18">
              <controlPr defaultSize="0" print="0" autoFill="0" autoPict="0" macro="[0]!PauseEnd">
                <anchor moveWithCells="1" sizeWithCells="1">
                  <from>
                    <xdr:col>11</xdr:col>
                    <xdr:colOff>1590675</xdr:colOff>
                    <xdr:row>9</xdr:row>
                    <xdr:rowOff>142875</xdr:rowOff>
                  </from>
                  <to>
                    <xdr:col>13</xdr:col>
                    <xdr:colOff>19050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8" name="Button 19">
              <controlPr defaultSize="0" print="0" autoFill="0" autoPict="0" macro="[0]!TimeStampStart">
                <anchor moveWithCells="1" sizeWithCells="1">
                  <from>
                    <xdr:col>10</xdr:col>
                    <xdr:colOff>228600</xdr:colOff>
                    <xdr:row>7</xdr:row>
                    <xdr:rowOff>114300</xdr:rowOff>
                  </from>
                  <to>
                    <xdr:col>11</xdr:col>
                    <xdr:colOff>1428750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9" name="Button 20">
              <controlPr defaultSize="0" print="0" autoFill="0" autoPict="0" macro="[0]!PauseStart">
                <anchor moveWithCells="1" sizeWithCells="1">
                  <from>
                    <xdr:col>10</xdr:col>
                    <xdr:colOff>228600</xdr:colOff>
                    <xdr:row>9</xdr:row>
                    <xdr:rowOff>152400</xdr:rowOff>
                  </from>
                  <to>
                    <xdr:col>11</xdr:col>
                    <xdr:colOff>1428750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Verweise!$F$24:$F$30</xm:f>
          </x14:formula1>
          <xm:sqref>D3:D33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0">
    <tabColor theme="3"/>
  </sheetPr>
  <dimension ref="A1:U33"/>
  <sheetViews>
    <sheetView workbookViewId="0">
      <selection activeCell="J1" sqref="J1:J1048576"/>
    </sheetView>
  </sheetViews>
  <sheetFormatPr defaultColWidth="0" defaultRowHeight="15" zeroHeight="1" x14ac:dyDescent="0.25"/>
  <cols>
    <col min="1" max="1" width="2.7109375" style="7" customWidth="1"/>
    <col min="2" max="2" width="10.7109375" style="7" customWidth="1"/>
    <col min="3" max="3" width="11.5703125" style="7" customWidth="1"/>
    <col min="4" max="4" width="26.42578125" style="7" customWidth="1"/>
    <col min="5" max="5" width="14.42578125" style="7" customWidth="1"/>
    <col min="6" max="7" width="12.140625" style="7" customWidth="1"/>
    <col min="8" max="9" width="13.5703125" style="7" customWidth="1"/>
    <col min="10" max="10" width="14.28515625" style="7" customWidth="1"/>
    <col min="11" max="11" width="2.7109375" style="7" customWidth="1"/>
    <col min="12" max="12" width="33.7109375" style="7" bestFit="1" customWidth="1"/>
    <col min="13" max="13" width="11.42578125" style="7" customWidth="1"/>
    <col min="14" max="14" width="2.7109375" style="7" customWidth="1"/>
    <col min="15" max="21" width="0" style="7" hidden="1" customWidth="1"/>
    <col min="22" max="16384" width="11.42578125" style="7" hidden="1"/>
  </cols>
  <sheetData>
    <row r="1" spans="1:18" x14ac:dyDescent="0.25"/>
    <row r="2" spans="1:18" ht="15.75" thickBot="1" x14ac:dyDescent="0.3">
      <c r="B2" s="62" t="s">
        <v>0</v>
      </c>
      <c r="C2" s="62" t="s">
        <v>1</v>
      </c>
      <c r="D2" s="62" t="s">
        <v>2</v>
      </c>
      <c r="E2" s="62" t="s">
        <v>3</v>
      </c>
      <c r="F2" s="62" t="s">
        <v>4</v>
      </c>
      <c r="G2" s="63" t="s">
        <v>81</v>
      </c>
      <c r="H2" s="64" t="s">
        <v>83</v>
      </c>
      <c r="I2" s="62" t="s">
        <v>5</v>
      </c>
      <c r="J2" s="62" t="s">
        <v>82</v>
      </c>
      <c r="L2" s="3" t="s">
        <v>6</v>
      </c>
      <c r="M2" s="6">
        <f>Übersicht!C2</f>
        <v>1.6666666666666667</v>
      </c>
      <c r="Q2" s="10" t="s">
        <v>30</v>
      </c>
      <c r="R2" s="10" t="s">
        <v>31</v>
      </c>
    </row>
    <row r="3" spans="1:18" x14ac:dyDescent="0.25">
      <c r="A3" s="51">
        <v>0.52430555555555558</v>
      </c>
      <c r="B3" s="65">
        <f>("01.09."&amp;Übersicht!$C$6)*1</f>
        <v>44074</v>
      </c>
      <c r="C3" s="59" t="str">
        <f>TEXT(B3,"TTTT")</f>
        <v>Sonntag</v>
      </c>
      <c r="D3" s="21" t="str">
        <f>IF(COUNTIFS(Verweise!$A$2:$A$4542,Übersicht!$C$7,Verweise!$B$2:$B$4542,B3)=1,"Feiertag",IF(C3="Samstag","",IF(C3="Sonntag","",Übersicht!$C$8)))</f>
        <v/>
      </c>
      <c r="E3" s="17"/>
      <c r="F3" s="17"/>
      <c r="G3" s="67"/>
      <c r="H3" s="19"/>
      <c r="I3" s="18" t="str">
        <f t="shared" ref="I3:I32" si="0">IF(E3="","",F3-E3-H3)</f>
        <v/>
      </c>
      <c r="J3" s="39" t="str">
        <f>IF(Übersicht!$C$9="Ja",IF(OR(E3=""),"",I3-$M$2/5),IF(OR(E3="",F3=""),"",I3-$M$2/5))</f>
        <v/>
      </c>
      <c r="K3" s="10">
        <f t="shared" ref="K3:K32" ca="1" si="1">IF(B3=TODAY(),ROW(),0)</f>
        <v>0</v>
      </c>
      <c r="L3" s="3" t="str">
        <f>"Ist Arbeitszeit im "&amp;TEXT(B3,"MMMM")</f>
        <v>Ist Arbeitszeit im September</v>
      </c>
      <c r="M3" s="29">
        <f>SUM(I3:I32)</f>
        <v>0</v>
      </c>
      <c r="P3" s="10" t="s">
        <v>24</v>
      </c>
    </row>
    <row r="4" spans="1:18" x14ac:dyDescent="0.25">
      <c r="A4" s="51">
        <v>0.71458333333333324</v>
      </c>
      <c r="B4" s="65">
        <f>B3+1</f>
        <v>44075</v>
      </c>
      <c r="C4" s="59" t="str">
        <f t="shared" ref="C4:C32" si="2">TEXT(B4,"TTTT")</f>
        <v>Montag</v>
      </c>
      <c r="D4" s="21" t="str">
        <f>IF(COUNTIFS(Verweise!$A$2:$A$4542,Übersicht!$C$7,Verweise!$B$2:$B$4542,B4)=1,"Feiertag",IF(C4="Samstag","",IF(C4="Sonntag","",Übersicht!$C$8)))</f>
        <v>Büro</v>
      </c>
      <c r="E4" s="17"/>
      <c r="F4" s="17"/>
      <c r="G4" s="57"/>
      <c r="H4" s="17"/>
      <c r="I4" s="18" t="str">
        <f t="shared" si="0"/>
        <v/>
      </c>
      <c r="J4" s="39" t="str">
        <f>IF(Übersicht!$C$9="Ja",IF(OR(E4=""),"",I4-$M$2/5),IF(OR(E4="",F4=""),"",I4-$M$2/5))</f>
        <v/>
      </c>
      <c r="K4" s="10">
        <f t="shared" ca="1" si="1"/>
        <v>0</v>
      </c>
      <c r="L4" s="3" t="str">
        <f>"Wochen im "&amp;TEXT(B3,"MMMM")</f>
        <v>Wochen im September</v>
      </c>
      <c r="M4" s="2">
        <f>ROUND(COUNTA(C3:C33)/7,2)</f>
        <v>4.29</v>
      </c>
      <c r="P4" s="10" t="s">
        <v>25</v>
      </c>
    </row>
    <row r="5" spans="1:18" x14ac:dyDescent="0.25">
      <c r="A5" s="51">
        <v>0.4916666666666667</v>
      </c>
      <c r="B5" s="65">
        <f t="shared" ref="B5:B32" si="3">B4+1</f>
        <v>44076</v>
      </c>
      <c r="C5" s="59" t="str">
        <f t="shared" si="2"/>
        <v>Dienstag</v>
      </c>
      <c r="D5" s="21" t="str">
        <f>IF(COUNTIFS(Verweise!$A$2:$A$4542,Übersicht!$C$7,Verweise!$B$2:$B$4542,B5)=1,"Feiertag",IF(C5="Samstag","",IF(C5="Sonntag","",Übersicht!$C$8)))</f>
        <v>Büro</v>
      </c>
      <c r="E5" s="17"/>
      <c r="F5" s="17"/>
      <c r="G5" s="57"/>
      <c r="H5" s="17"/>
      <c r="I5" s="18" t="str">
        <f t="shared" si="0"/>
        <v/>
      </c>
      <c r="J5" s="39" t="str">
        <f>IF(Übersicht!$C$9="Ja",IF(OR(E5=""),"",I5-$M$2/5),IF(OR(E5="",F5=""),"",I5-$M$2/5))</f>
        <v/>
      </c>
      <c r="K5" s="10">
        <f t="shared" ca="1" si="1"/>
        <v>0</v>
      </c>
      <c r="L5" s="3" t="s">
        <v>32</v>
      </c>
      <c r="M5" s="29">
        <f>M4*M2-(SUM(A3:A32)*M2/7)</f>
        <v>4.7730158730158738</v>
      </c>
      <c r="P5" s="10" t="s">
        <v>26</v>
      </c>
    </row>
    <row r="6" spans="1:18" x14ac:dyDescent="0.25">
      <c r="A6" s="51">
        <v>0.54027777777777775</v>
      </c>
      <c r="B6" s="65">
        <f t="shared" si="3"/>
        <v>44077</v>
      </c>
      <c r="C6" s="59" t="str">
        <f t="shared" si="2"/>
        <v>Mittwoch</v>
      </c>
      <c r="D6" s="21" t="str">
        <f>IF(COUNTIFS(Verweise!$A$2:$A$4542,Übersicht!$C$7,Verweise!$B$2:$B$4542,B6)=1,"Feiertag",IF(C6="Samstag","",IF(C6="Sonntag","",Übersicht!$C$8)))</f>
        <v>Büro</v>
      </c>
      <c r="E6" s="17"/>
      <c r="F6" s="17"/>
      <c r="G6" s="57"/>
      <c r="H6" s="17"/>
      <c r="I6" s="18" t="str">
        <f t="shared" si="0"/>
        <v/>
      </c>
      <c r="J6" s="39" t="str">
        <f>IF(Übersicht!$C$9="Ja",IF(OR(E6=""),"",I6-$M$2/5),IF(OR(E6="",F6=""),"",I6-$M$2/5))</f>
        <v/>
      </c>
      <c r="K6" s="10">
        <f t="shared" ca="1" si="1"/>
        <v>0</v>
      </c>
      <c r="L6" s="3" t="str">
        <f>IF(M6&lt;0,"Minustunden","Überstunden")</f>
        <v>Überstunden</v>
      </c>
      <c r="M6" s="6">
        <f>SUM(J:J)</f>
        <v>0</v>
      </c>
      <c r="P6" s="10" t="s">
        <v>27</v>
      </c>
    </row>
    <row r="7" spans="1:18" x14ac:dyDescent="0.25">
      <c r="A7" s="30">
        <f t="shared" ref="A7:A32" si="4">IF(AND(AND(C7&lt;&gt;"Samstag",C7&lt;&gt;"Sonntag"),OR(D7="Urlaub",D7="Frei",D7="Feiertag",D7="Krank")),1,0)</f>
        <v>0</v>
      </c>
      <c r="B7" s="65">
        <f t="shared" si="3"/>
        <v>44078</v>
      </c>
      <c r="C7" s="59" t="str">
        <f t="shared" si="2"/>
        <v>Donnerstag</v>
      </c>
      <c r="D7" s="21" t="str">
        <f>IF(COUNTIFS(Verweise!$A$2:$A$4542,Übersicht!$C$7,Verweise!$B$2:$B$4542,B7)=1,"Feiertag",IF(C7="Samstag","",IF(C7="Sonntag","",Übersicht!$C$8)))</f>
        <v>Büro</v>
      </c>
      <c r="E7" s="17"/>
      <c r="F7" s="17"/>
      <c r="G7" s="57"/>
      <c r="H7" s="17"/>
      <c r="I7" s="18" t="str">
        <f t="shared" si="0"/>
        <v/>
      </c>
      <c r="J7" s="39" t="str">
        <f>IF(Übersicht!$C$9="Ja",IF(OR(E7=""),"",I7-$M$2/5),IF(OR(E7="",F7=""),"",I7-$M$2/5))</f>
        <v/>
      </c>
      <c r="K7" s="10">
        <f t="shared" ca="1" si="1"/>
        <v>0</v>
      </c>
      <c r="L7" s="3" t="str">
        <f ca="1">IF(M7&lt;0,"Minustunden gesamt","Überstunden gesamt")</f>
        <v>Überstunden gesamt</v>
      </c>
      <c r="M7" s="6">
        <f ca="1">Übersicht!C26</f>
        <v>0</v>
      </c>
      <c r="P7" s="10" t="s">
        <v>28</v>
      </c>
    </row>
    <row r="8" spans="1:18" x14ac:dyDescent="0.25">
      <c r="A8" s="51">
        <v>0.48888888888888887</v>
      </c>
      <c r="B8" s="65">
        <f t="shared" si="3"/>
        <v>44079</v>
      </c>
      <c r="C8" s="59" t="str">
        <f t="shared" si="2"/>
        <v>Freitag</v>
      </c>
      <c r="D8" s="21" t="str">
        <f>IF(COUNTIFS(Verweise!$A$2:$A$4542,Übersicht!$C$7,Verweise!$B$2:$B$4542,B8)=1,"Feiertag",IF(C8="Samstag","",IF(C8="Sonntag","",Übersicht!$C$8)))</f>
        <v>Büro</v>
      </c>
      <c r="E8" s="17"/>
      <c r="F8" s="17"/>
      <c r="G8" s="57"/>
      <c r="H8" s="17"/>
      <c r="I8" s="18" t="str">
        <f t="shared" si="0"/>
        <v/>
      </c>
      <c r="J8" s="39" t="str">
        <f>IF(Übersicht!$C$9="Ja",IF(OR(E8=""),"",I8-$M$2/5),IF(OR(E8="",F8=""),"",I8-$M$2/5))</f>
        <v/>
      </c>
      <c r="K8" s="10">
        <f t="shared" ca="1" si="1"/>
        <v>0</v>
      </c>
      <c r="P8" s="10" t="s">
        <v>29</v>
      </c>
    </row>
    <row r="9" spans="1:18" x14ac:dyDescent="0.25">
      <c r="A9" s="51">
        <v>0.54097222222222219</v>
      </c>
      <c r="B9" s="65">
        <f t="shared" si="3"/>
        <v>44080</v>
      </c>
      <c r="C9" s="59" t="str">
        <f t="shared" si="2"/>
        <v>Samstag</v>
      </c>
      <c r="D9" s="21" t="str">
        <f>IF(COUNTIFS(Verweise!$A$2:$A$4542,Übersicht!$C$7,Verweise!$B$2:$B$4542,B9)=1,"Feiertag",IF(C9="Samstag","",IF(C9="Sonntag","",Übersicht!$C$8)))</f>
        <v/>
      </c>
      <c r="E9" s="17"/>
      <c r="F9" s="17"/>
      <c r="G9" s="57"/>
      <c r="H9" s="17"/>
      <c r="I9" s="18" t="str">
        <f t="shared" si="0"/>
        <v/>
      </c>
      <c r="J9" s="39" t="str">
        <f>IF(Übersicht!$C$9="Ja",IF(OR(E9=""),"",I9-$M$2/5),IF(OR(E9="",F9=""),"",I9-$M$2/5))</f>
        <v/>
      </c>
      <c r="K9" s="10">
        <f t="shared" ca="1" si="1"/>
        <v>0</v>
      </c>
    </row>
    <row r="10" spans="1:18" x14ac:dyDescent="0.25">
      <c r="A10" s="30">
        <f t="shared" si="4"/>
        <v>0</v>
      </c>
      <c r="B10" s="65">
        <f t="shared" si="3"/>
        <v>44081</v>
      </c>
      <c r="C10" s="59" t="str">
        <f t="shared" si="2"/>
        <v>Sonntag</v>
      </c>
      <c r="D10" s="21" t="str">
        <f>IF(COUNTIFS(Verweise!$A$2:$A$4542,Übersicht!$C$7,Verweise!$B$2:$B$4542,B10)=1,"Feiertag",IF(C10="Samstag","",IF(C10="Sonntag","",Übersicht!$C$8)))</f>
        <v/>
      </c>
      <c r="E10" s="17"/>
      <c r="F10" s="17"/>
      <c r="G10" s="57"/>
      <c r="H10" s="17"/>
      <c r="I10" s="18" t="str">
        <f t="shared" si="0"/>
        <v/>
      </c>
      <c r="J10" s="39" t="str">
        <f>IF(Übersicht!$C$9="Ja",IF(OR(E10=""),"",I10-$M$2/5),IF(OR(E10="",F10=""),"",I10-$M$2/5))</f>
        <v/>
      </c>
      <c r="K10" s="10">
        <f t="shared" ca="1" si="1"/>
        <v>0</v>
      </c>
    </row>
    <row r="11" spans="1:18" x14ac:dyDescent="0.25">
      <c r="A11" s="30">
        <f t="shared" si="4"/>
        <v>0</v>
      </c>
      <c r="B11" s="65">
        <f t="shared" si="3"/>
        <v>44082</v>
      </c>
      <c r="C11" s="59" t="str">
        <f t="shared" si="2"/>
        <v>Montag</v>
      </c>
      <c r="D11" s="21" t="str">
        <f>IF(COUNTIFS(Verweise!$A$2:$A$4542,Übersicht!$C$7,Verweise!$B$2:$B$4542,B11)=1,"Feiertag",IF(C11="Samstag","",IF(C11="Sonntag","",Übersicht!$C$8)))</f>
        <v>Büro</v>
      </c>
      <c r="E11" s="17"/>
      <c r="F11" s="17"/>
      <c r="G11" s="57"/>
      <c r="H11" s="17"/>
      <c r="I11" s="18" t="str">
        <f t="shared" si="0"/>
        <v/>
      </c>
      <c r="J11" s="39" t="str">
        <f>IF(Übersicht!$C$9="Ja",IF(OR(E11=""),"",I11-$M$2/5),IF(OR(E11="",F11=""),"",I11-$M$2/5))</f>
        <v/>
      </c>
      <c r="K11" s="10">
        <f t="shared" ca="1" si="1"/>
        <v>0</v>
      </c>
    </row>
    <row r="12" spans="1:18" x14ac:dyDescent="0.25">
      <c r="A12" s="51">
        <v>0.49444444444444446</v>
      </c>
      <c r="B12" s="65">
        <f t="shared" si="3"/>
        <v>44083</v>
      </c>
      <c r="C12" s="59" t="str">
        <f t="shared" si="2"/>
        <v>Dienstag</v>
      </c>
      <c r="D12" s="21" t="str">
        <f>IF(COUNTIFS(Verweise!$A$2:$A$4542,Übersicht!$C$7,Verweise!$B$2:$B$4542,B12)=1,"Feiertag",IF(C12="Samstag","",IF(C12="Sonntag","",Übersicht!$C$8)))</f>
        <v>Büro</v>
      </c>
      <c r="E12" s="17"/>
      <c r="F12" s="17"/>
      <c r="G12" s="57"/>
      <c r="H12" s="17"/>
      <c r="I12" s="18" t="str">
        <f t="shared" si="0"/>
        <v/>
      </c>
      <c r="J12" s="39" t="str">
        <f>IF(Übersicht!$C$9="Ja",IF(OR(E12=""),"",I12-$M$2/5),IF(OR(E12="",F12=""),"",I12-$M$2/5))</f>
        <v/>
      </c>
      <c r="K12" s="10">
        <f t="shared" ca="1" si="1"/>
        <v>0</v>
      </c>
    </row>
    <row r="13" spans="1:18" x14ac:dyDescent="0.25">
      <c r="A13" s="51">
        <v>0.54722222222222217</v>
      </c>
      <c r="B13" s="65">
        <f t="shared" si="3"/>
        <v>44084</v>
      </c>
      <c r="C13" s="59" t="str">
        <f t="shared" si="2"/>
        <v>Mittwoch</v>
      </c>
      <c r="D13" s="21" t="str">
        <f>IF(COUNTIFS(Verweise!$A$2:$A$4542,Übersicht!$C$7,Verweise!$B$2:$B$4542,B13)=1,"Feiertag",IF(C13="Samstag","",IF(C13="Sonntag","",Übersicht!$C$8)))</f>
        <v>Büro</v>
      </c>
      <c r="E13" s="17"/>
      <c r="F13" s="17"/>
      <c r="G13" s="57"/>
      <c r="H13" s="17"/>
      <c r="I13" s="18" t="str">
        <f t="shared" si="0"/>
        <v/>
      </c>
      <c r="J13" s="39" t="str">
        <f>IF(Übersicht!$C$9="Ja",IF(OR(E13=""),"",I13-$M$2/5),IF(OR(E13="",F13=""),"",I13-$M$2/5))</f>
        <v/>
      </c>
      <c r="K13" s="10">
        <f t="shared" ca="1" si="1"/>
        <v>0</v>
      </c>
    </row>
    <row r="14" spans="1:18" x14ac:dyDescent="0.25">
      <c r="A14" s="30">
        <f t="shared" si="4"/>
        <v>0</v>
      </c>
      <c r="B14" s="65">
        <f t="shared" si="3"/>
        <v>44085</v>
      </c>
      <c r="C14" s="59" t="str">
        <f t="shared" si="2"/>
        <v>Donnerstag</v>
      </c>
      <c r="D14" s="21" t="str">
        <f>IF(COUNTIFS(Verweise!$A$2:$A$4542,Übersicht!$C$7,Verweise!$B$2:$B$4542,B14)=1,"Feiertag",IF(C14="Samstag","",IF(C14="Sonntag","",Übersicht!$C$8)))</f>
        <v>Büro</v>
      </c>
      <c r="E14" s="17"/>
      <c r="F14" s="17"/>
      <c r="G14" s="67"/>
      <c r="H14" s="19"/>
      <c r="I14" s="18" t="str">
        <f t="shared" si="0"/>
        <v/>
      </c>
      <c r="J14" s="39" t="str">
        <f>IF(Übersicht!$C$9="Ja",IF(OR(E14=""),"",I14-$M$2/5),IF(OR(E14="",F14=""),"",I14-$M$2/5))</f>
        <v/>
      </c>
      <c r="K14" s="10">
        <f t="shared" ca="1" si="1"/>
        <v>0</v>
      </c>
      <c r="L14" s="79" t="s">
        <v>85</v>
      </c>
      <c r="M14" s="22">
        <v>0.65138888888888891</v>
      </c>
    </row>
    <row r="15" spans="1:18" x14ac:dyDescent="0.25">
      <c r="A15" s="51">
        <v>0.52847222222222223</v>
      </c>
      <c r="B15" s="65">
        <f t="shared" si="3"/>
        <v>44086</v>
      </c>
      <c r="C15" s="59" t="str">
        <f t="shared" si="2"/>
        <v>Freitag</v>
      </c>
      <c r="D15" s="21" t="str">
        <f>IF(COUNTIFS(Verweise!$A$2:$A$4542,Übersicht!$C$7,Verweise!$B$2:$B$4542,B15)=1,"Feiertag",IF(C15="Samstag","",IF(C15="Sonntag","",Übersicht!$C$8)))</f>
        <v>Büro</v>
      </c>
      <c r="E15" s="17"/>
      <c r="F15" s="17"/>
      <c r="G15" s="67"/>
      <c r="H15" s="19"/>
      <c r="I15" s="18" t="str">
        <f t="shared" si="0"/>
        <v/>
      </c>
      <c r="J15" s="39" t="str">
        <f>IF(Übersicht!$C$9="Ja",IF(OR(E15=""),"",I15-$M$2/5),IF(OR(E15="",F15=""),"",I15-$M$2/5))</f>
        <v/>
      </c>
      <c r="K15" s="10">
        <f t="shared" ca="1" si="1"/>
        <v>0</v>
      </c>
      <c r="L15" s="79" t="s">
        <v>86</v>
      </c>
      <c r="M15" s="22">
        <v>0.54583333333333328</v>
      </c>
    </row>
    <row r="16" spans="1:18" x14ac:dyDescent="0.25">
      <c r="A16" s="51">
        <v>0.55486111111111114</v>
      </c>
      <c r="B16" s="65">
        <f t="shared" si="3"/>
        <v>44087</v>
      </c>
      <c r="C16" s="59" t="str">
        <f t="shared" si="2"/>
        <v>Samstag</v>
      </c>
      <c r="D16" s="21" t="str">
        <f>IF(COUNTIFS(Verweise!$A$2:$A$4542,Übersicht!$C$7,Verweise!$B$2:$B$4542,B16)=1,"Feiertag",IF(C16="Samstag","",IF(C16="Sonntag","",Übersicht!$C$8)))</f>
        <v/>
      </c>
      <c r="E16" s="17"/>
      <c r="F16" s="17"/>
      <c r="G16" s="67"/>
      <c r="H16" s="19"/>
      <c r="I16" s="18" t="str">
        <f t="shared" si="0"/>
        <v/>
      </c>
      <c r="J16" s="39" t="str">
        <f>IF(Übersicht!$C$9="Ja",IF(OR(E16=""),"",I16-$M$2/5),IF(OR(E16="",F16=""),"",I16-$M$2/5))</f>
        <v/>
      </c>
      <c r="K16" s="10">
        <f t="shared" ca="1" si="1"/>
        <v>0</v>
      </c>
      <c r="M16" s="22"/>
    </row>
    <row r="17" spans="1:13" x14ac:dyDescent="0.25">
      <c r="A17" s="51">
        <v>0.50138888888888888</v>
      </c>
      <c r="B17" s="65">
        <f t="shared" si="3"/>
        <v>44088</v>
      </c>
      <c r="C17" s="59" t="str">
        <f t="shared" si="2"/>
        <v>Sonntag</v>
      </c>
      <c r="D17" s="21" t="str">
        <f>IF(COUNTIFS(Verweise!$A$2:$A$4542,Übersicht!$C$7,Verweise!$B$2:$B$4542,B17)=1,"Feiertag",IF(C17="Samstag","",IF(C17="Sonntag","",Übersicht!$C$8)))</f>
        <v/>
      </c>
      <c r="E17" s="17"/>
      <c r="F17" s="17"/>
      <c r="G17" s="67"/>
      <c r="H17" s="19"/>
      <c r="I17" s="18" t="str">
        <f t="shared" si="0"/>
        <v/>
      </c>
      <c r="J17" s="39" t="str">
        <f>IF(Übersicht!$C$9="Ja",IF(OR(E17=""),"",I17-$M$2/5),IF(OR(E17="",F17=""),"",I17-$M$2/5))</f>
        <v/>
      </c>
      <c r="K17" s="10">
        <f t="shared" ca="1" si="1"/>
        <v>0</v>
      </c>
      <c r="M17" s="22"/>
    </row>
    <row r="18" spans="1:13" x14ac:dyDescent="0.25">
      <c r="A18" s="51">
        <v>0.49444444444444446</v>
      </c>
      <c r="B18" s="65">
        <f t="shared" si="3"/>
        <v>44089</v>
      </c>
      <c r="C18" s="59" t="str">
        <f t="shared" si="2"/>
        <v>Montag</v>
      </c>
      <c r="D18" s="21" t="str">
        <f>IF(COUNTIFS(Verweise!$A$2:$A$4542,Übersicht!$C$7,Verweise!$B$2:$B$4542,B18)=1,"Feiertag",IF(C18="Samstag","",IF(C18="Sonntag","",Übersicht!$C$8)))</f>
        <v>Büro</v>
      </c>
      <c r="E18" s="17"/>
      <c r="F18" s="17"/>
      <c r="G18" s="57"/>
      <c r="H18" s="17"/>
      <c r="I18" s="18" t="str">
        <f t="shared" si="0"/>
        <v/>
      </c>
      <c r="J18" s="39" t="str">
        <f>IF(Übersicht!$C$9="Ja",IF(OR(E18=""),"",I18-$M$2/5),IF(OR(E18="",F18=""),"",I18-$M$2/5))</f>
        <v/>
      </c>
      <c r="K18" s="10">
        <f t="shared" ca="1" si="1"/>
        <v>0</v>
      </c>
      <c r="M18" s="22"/>
    </row>
    <row r="19" spans="1:13" x14ac:dyDescent="0.25">
      <c r="A19" s="51">
        <v>0.51250000000000007</v>
      </c>
      <c r="B19" s="65">
        <f t="shared" si="3"/>
        <v>44090</v>
      </c>
      <c r="C19" s="59" t="str">
        <f t="shared" si="2"/>
        <v>Dienstag</v>
      </c>
      <c r="D19" s="21" t="str">
        <f>IF(COUNTIFS(Verweise!$A$2:$A$4542,Übersicht!$C$7,Verweise!$B$2:$B$4542,B19)=1,"Feiertag",IF(C19="Samstag","",IF(C19="Sonntag","",Übersicht!$C$8)))</f>
        <v>Büro</v>
      </c>
      <c r="E19" s="17"/>
      <c r="F19" s="17"/>
      <c r="G19" s="57"/>
      <c r="H19" s="17"/>
      <c r="I19" s="18" t="str">
        <f t="shared" si="0"/>
        <v/>
      </c>
      <c r="J19" s="39" t="str">
        <f>IF(Übersicht!$C$9="Ja",IF(OR(E19=""),"",I19-$M$2/5),IF(OR(E19="",F19=""),"",I19-$M$2/5))</f>
        <v/>
      </c>
      <c r="K19" s="10">
        <f t="shared" ca="1" si="1"/>
        <v>0</v>
      </c>
      <c r="M19" s="22"/>
    </row>
    <row r="20" spans="1:13" x14ac:dyDescent="0.25">
      <c r="A20" s="51">
        <v>0.52847222222222223</v>
      </c>
      <c r="B20" s="65">
        <f t="shared" si="3"/>
        <v>44091</v>
      </c>
      <c r="C20" s="59" t="str">
        <f t="shared" si="2"/>
        <v>Mittwoch</v>
      </c>
      <c r="D20" s="21" t="str">
        <f>IF(COUNTIFS(Verweise!$A$2:$A$4542,Übersicht!$C$7,Verweise!$B$2:$B$4542,B20)=1,"Feiertag",IF(C20="Samstag","",IF(C20="Sonntag","",Übersicht!$C$8)))</f>
        <v>Büro</v>
      </c>
      <c r="E20" s="17"/>
      <c r="F20" s="17"/>
      <c r="G20" s="67"/>
      <c r="H20" s="19"/>
      <c r="I20" s="18" t="str">
        <f t="shared" si="0"/>
        <v/>
      </c>
      <c r="J20" s="39" t="str">
        <f>IF(Übersicht!$C$9="Ja",IF(OR(E20=""),"",I20-$M$2/5),IF(OR(E20="",F20=""),"",I20-$M$2/5))</f>
        <v/>
      </c>
      <c r="K20" s="10">
        <f t="shared" ca="1" si="1"/>
        <v>0</v>
      </c>
    </row>
    <row r="21" spans="1:13" x14ac:dyDescent="0.25">
      <c r="A21" s="30">
        <f t="shared" si="4"/>
        <v>0</v>
      </c>
      <c r="B21" s="65">
        <f t="shared" si="3"/>
        <v>44092</v>
      </c>
      <c r="C21" s="59" t="str">
        <f t="shared" si="2"/>
        <v>Donnerstag</v>
      </c>
      <c r="D21" s="21" t="str">
        <f>IF(COUNTIFS(Verweise!$A$2:$A$4542,Übersicht!$C$7,Verweise!$B$2:$B$4542,B21)=1,"Feiertag",IF(C21="Samstag","",IF(C21="Sonntag","",Übersicht!$C$8)))</f>
        <v>Büro</v>
      </c>
      <c r="E21" s="17"/>
      <c r="F21" s="17"/>
      <c r="G21" s="67"/>
      <c r="H21" s="19"/>
      <c r="I21" s="18" t="str">
        <f t="shared" si="0"/>
        <v/>
      </c>
      <c r="J21" s="39" t="str">
        <f>IF(Übersicht!$C$9="Ja",IF(OR(E21=""),"",I21-$M$2/5),IF(OR(E21="",F21=""),"",I21-$M$2/5))</f>
        <v/>
      </c>
      <c r="K21" s="10">
        <f t="shared" ca="1" si="1"/>
        <v>0</v>
      </c>
    </row>
    <row r="22" spans="1:13" x14ac:dyDescent="0.25">
      <c r="A22" s="51">
        <v>0.56666666666666665</v>
      </c>
      <c r="B22" s="65">
        <f t="shared" si="3"/>
        <v>44093</v>
      </c>
      <c r="C22" s="59" t="str">
        <f t="shared" si="2"/>
        <v>Freitag</v>
      </c>
      <c r="D22" s="21" t="str">
        <f>IF(COUNTIFS(Verweise!$A$2:$A$4542,Übersicht!$C$7,Verweise!$B$2:$B$4542,B22)=1,"Feiertag",IF(C22="Samstag","",IF(C22="Sonntag","",Übersicht!$C$8)))</f>
        <v>Büro</v>
      </c>
      <c r="E22" s="17"/>
      <c r="F22" s="17"/>
      <c r="G22" s="67"/>
      <c r="H22" s="19"/>
      <c r="I22" s="18" t="str">
        <f t="shared" si="0"/>
        <v/>
      </c>
      <c r="J22" s="39" t="str">
        <f>IF(Übersicht!$C$9="Ja",IF(OR(E22=""),"",I22-$M$2/5),IF(OR(E22="",F22=""),"",I22-$M$2/5))</f>
        <v/>
      </c>
      <c r="K22" s="10">
        <f t="shared" ca="1" si="1"/>
        <v>0</v>
      </c>
    </row>
    <row r="23" spans="1:13" x14ac:dyDescent="0.25">
      <c r="A23" s="51">
        <v>0.51041666666666663</v>
      </c>
      <c r="B23" s="65">
        <f t="shared" si="3"/>
        <v>44094</v>
      </c>
      <c r="C23" s="59" t="str">
        <f t="shared" si="2"/>
        <v>Samstag</v>
      </c>
      <c r="D23" s="21" t="str">
        <f>IF(COUNTIFS(Verweise!$A$2:$A$4542,Übersicht!$C$7,Verweise!$B$2:$B$4542,B23)=1,"Feiertag",IF(C23="Samstag","",IF(C23="Sonntag","",Übersicht!$C$8)))</f>
        <v/>
      </c>
      <c r="E23" s="17"/>
      <c r="F23" s="17"/>
      <c r="G23" s="67"/>
      <c r="H23" s="19"/>
      <c r="I23" s="18" t="str">
        <f t="shared" si="0"/>
        <v/>
      </c>
      <c r="J23" s="39" t="str">
        <f>IF(Übersicht!$C$9="Ja",IF(OR(E23=""),"",I23-$M$2/5),IF(OR(E23="",F23=""),"",I23-$M$2/5))</f>
        <v/>
      </c>
      <c r="K23" s="10">
        <f t="shared" ca="1" si="1"/>
        <v>0</v>
      </c>
    </row>
    <row r="24" spans="1:13" x14ac:dyDescent="0.25">
      <c r="A24" s="51">
        <v>0.54513888888888895</v>
      </c>
      <c r="B24" s="65">
        <f t="shared" si="3"/>
        <v>44095</v>
      </c>
      <c r="C24" s="59" t="str">
        <f t="shared" si="2"/>
        <v>Sonntag</v>
      </c>
      <c r="D24" s="21" t="str">
        <f>IF(COUNTIFS(Verweise!$A$2:$A$4542,Übersicht!$C$7,Verweise!$B$2:$B$4542,B24)=1,"Feiertag",IF(C24="Samstag","",IF(C24="Sonntag","",Übersicht!$C$8)))</f>
        <v/>
      </c>
      <c r="E24" s="17"/>
      <c r="F24" s="17"/>
      <c r="G24" s="67"/>
      <c r="H24" s="19"/>
      <c r="I24" s="18" t="str">
        <f t="shared" si="0"/>
        <v/>
      </c>
      <c r="J24" s="39" t="str">
        <f>IF(Übersicht!$C$9="Ja",IF(OR(E24=""),"",I24-$M$2/5),IF(OR(E24="",F24=""),"",I24-$M$2/5))</f>
        <v/>
      </c>
      <c r="K24" s="10">
        <f t="shared" ca="1" si="1"/>
        <v>0</v>
      </c>
    </row>
    <row r="25" spans="1:13" x14ac:dyDescent="0.25">
      <c r="A25" s="51">
        <v>0.54652777777777783</v>
      </c>
      <c r="B25" s="65">
        <f t="shared" si="3"/>
        <v>44096</v>
      </c>
      <c r="C25" s="59" t="str">
        <f t="shared" si="2"/>
        <v>Montag</v>
      </c>
      <c r="D25" s="21" t="str">
        <f>IF(COUNTIFS(Verweise!$A$2:$A$4542,Übersicht!$C$7,Verweise!$B$2:$B$4542,B25)=1,"Feiertag",IF(C25="Samstag","",IF(C25="Sonntag","",Übersicht!$C$8)))</f>
        <v>Büro</v>
      </c>
      <c r="E25" s="17"/>
      <c r="F25" s="17"/>
      <c r="G25" s="57"/>
      <c r="H25" s="17"/>
      <c r="I25" s="18" t="str">
        <f t="shared" si="0"/>
        <v/>
      </c>
      <c r="J25" s="39" t="str">
        <f>IF(Übersicht!$C$9="Ja",IF(OR(E25=""),"",I25-$M$2/5),IF(OR(E25="",F25=""),"",I25-$M$2/5))</f>
        <v/>
      </c>
      <c r="K25" s="10">
        <f t="shared" ca="1" si="1"/>
        <v>0</v>
      </c>
    </row>
    <row r="26" spans="1:13" x14ac:dyDescent="0.25">
      <c r="A26" s="51">
        <v>0.3520833333333333</v>
      </c>
      <c r="B26" s="65">
        <f t="shared" si="3"/>
        <v>44097</v>
      </c>
      <c r="C26" s="59" t="str">
        <f t="shared" si="2"/>
        <v>Dienstag</v>
      </c>
      <c r="D26" s="21" t="str">
        <f>IF(COUNTIFS(Verweise!$A$2:$A$4542,Übersicht!$C$7,Verweise!$B$2:$B$4542,B26)=1,"Feiertag",IF(C26="Samstag","",IF(C26="Sonntag","",Übersicht!$C$8)))</f>
        <v>Büro</v>
      </c>
      <c r="E26" s="17"/>
      <c r="F26" s="17"/>
      <c r="G26" s="57"/>
      <c r="H26" s="17"/>
      <c r="I26" s="18" t="str">
        <f t="shared" si="0"/>
        <v/>
      </c>
      <c r="J26" s="39" t="str">
        <f>IF(Übersicht!$C$9="Ja",IF(OR(E26=""),"",I26-$M$2/5),IF(OR(E26="",F26=""),"",I26-$M$2/5))</f>
        <v/>
      </c>
      <c r="K26" s="10">
        <f t="shared" ca="1" si="1"/>
        <v>0</v>
      </c>
    </row>
    <row r="27" spans="1:13" x14ac:dyDescent="0.25">
      <c r="A27" s="30">
        <f t="shared" si="4"/>
        <v>0</v>
      </c>
      <c r="B27" s="65">
        <f t="shared" si="3"/>
        <v>44098</v>
      </c>
      <c r="C27" s="59" t="str">
        <f t="shared" si="2"/>
        <v>Mittwoch</v>
      </c>
      <c r="D27" s="21" t="str">
        <f>IF(COUNTIFS(Verweise!$A$2:$A$4542,Übersicht!$C$7,Verweise!$B$2:$B$4542,B27)=1,"Feiertag",IF(C27="Samstag","",IF(C27="Sonntag","",Übersicht!$C$8)))</f>
        <v>Büro</v>
      </c>
      <c r="E27" s="17"/>
      <c r="F27" s="17"/>
      <c r="G27" s="67"/>
      <c r="H27" s="19"/>
      <c r="I27" s="18" t="str">
        <f t="shared" si="0"/>
        <v/>
      </c>
      <c r="J27" s="39" t="str">
        <f>IF(Übersicht!$C$9="Ja",IF(OR(E27=""),"",I27-$M$2/5),IF(OR(E27="",F27=""),"",I27-$M$2/5))</f>
        <v/>
      </c>
      <c r="K27" s="10">
        <f t="shared" ca="1" si="1"/>
        <v>0</v>
      </c>
    </row>
    <row r="28" spans="1:13" x14ac:dyDescent="0.25">
      <c r="A28" s="30">
        <f t="shared" si="4"/>
        <v>0</v>
      </c>
      <c r="B28" s="65">
        <f t="shared" si="3"/>
        <v>44099</v>
      </c>
      <c r="C28" s="59" t="str">
        <f t="shared" si="2"/>
        <v>Donnerstag</v>
      </c>
      <c r="D28" s="21" t="str">
        <f>IF(COUNTIFS(Verweise!$A$2:$A$4542,Übersicht!$C$7,Verweise!$B$2:$B$4542,B28)=1,"Feiertag",IF(C28="Samstag","",IF(C28="Sonntag","",Übersicht!$C$8)))</f>
        <v>Büro</v>
      </c>
      <c r="E28" s="17"/>
      <c r="F28" s="17"/>
      <c r="G28" s="67"/>
      <c r="H28" s="19"/>
      <c r="I28" s="18" t="str">
        <f t="shared" si="0"/>
        <v/>
      </c>
      <c r="J28" s="39" t="str">
        <f>IF(Übersicht!$C$9="Ja",IF(OR(E28=""),"",I28-$M$2/5),IF(OR(E28="",F28=""),"",I28-$M$2/5))</f>
        <v/>
      </c>
      <c r="K28" s="10">
        <f t="shared" ca="1" si="1"/>
        <v>0</v>
      </c>
    </row>
    <row r="29" spans="1:13" x14ac:dyDescent="0.25">
      <c r="A29" s="30">
        <f t="shared" si="4"/>
        <v>0</v>
      </c>
      <c r="B29" s="65">
        <f t="shared" si="3"/>
        <v>44100</v>
      </c>
      <c r="C29" s="59" t="str">
        <f t="shared" si="2"/>
        <v>Freitag</v>
      </c>
      <c r="D29" s="21" t="str">
        <f>IF(COUNTIFS(Verweise!$A$2:$A$4542,Übersicht!$C$7,Verweise!$B$2:$B$4542,B29)=1,"Feiertag",IF(C29="Samstag","",IF(C29="Sonntag","",Übersicht!$C$8)))</f>
        <v>Büro</v>
      </c>
      <c r="E29" s="17"/>
      <c r="F29" s="17"/>
      <c r="G29" s="67"/>
      <c r="H29" s="19"/>
      <c r="I29" s="18" t="str">
        <f t="shared" si="0"/>
        <v/>
      </c>
      <c r="J29" s="39" t="str">
        <f>IF(Übersicht!$C$9="Ja",IF(OR(E29=""),"",I29-$M$2/5),IF(OR(E29="",F29=""),"",I29-$M$2/5))</f>
        <v/>
      </c>
      <c r="K29" s="10">
        <f t="shared" ca="1" si="1"/>
        <v>0</v>
      </c>
    </row>
    <row r="30" spans="1:13" x14ac:dyDescent="0.25">
      <c r="A30" s="30">
        <f t="shared" si="4"/>
        <v>0</v>
      </c>
      <c r="B30" s="65">
        <f t="shared" si="3"/>
        <v>44101</v>
      </c>
      <c r="C30" s="59" t="str">
        <f t="shared" si="2"/>
        <v>Samstag</v>
      </c>
      <c r="D30" s="21" t="str">
        <f>IF(COUNTIFS(Verweise!$A$2:$A$4542,Übersicht!$C$7,Verweise!$B$2:$B$4542,B30)=1,"Feiertag",IF(C30="Samstag","",IF(C30="Sonntag","",Übersicht!$C$8)))</f>
        <v/>
      </c>
      <c r="E30" s="17"/>
      <c r="F30" s="17"/>
      <c r="G30" s="67"/>
      <c r="H30" s="19"/>
      <c r="I30" s="18" t="str">
        <f t="shared" si="0"/>
        <v/>
      </c>
      <c r="J30" s="39" t="str">
        <f>IF(Übersicht!$C$9="Ja",IF(OR(E30=""),"",I30-$M$2/5),IF(OR(E30="",F30=""),"",I30-$M$2/5))</f>
        <v/>
      </c>
      <c r="K30" s="10">
        <f t="shared" ca="1" si="1"/>
        <v>0</v>
      </c>
    </row>
    <row r="31" spans="1:13" x14ac:dyDescent="0.25">
      <c r="A31" s="30">
        <f t="shared" si="4"/>
        <v>0</v>
      </c>
      <c r="B31" s="65">
        <f t="shared" si="3"/>
        <v>44102</v>
      </c>
      <c r="C31" s="59" t="str">
        <f t="shared" si="2"/>
        <v>Sonntag</v>
      </c>
      <c r="D31" s="21" t="str">
        <f>IF(COUNTIFS(Verweise!$A$2:$A$4542,Übersicht!$C$7,Verweise!$B$2:$B$4542,B31)=1,"Feiertag",IF(C31="Samstag","",IF(C31="Sonntag","",Übersicht!$C$8)))</f>
        <v/>
      </c>
      <c r="E31" s="17"/>
      <c r="F31" s="17"/>
      <c r="G31" s="67"/>
      <c r="H31" s="19"/>
      <c r="I31" s="18" t="str">
        <f t="shared" si="0"/>
        <v/>
      </c>
      <c r="J31" s="39" t="str">
        <f>IF(Übersicht!$C$9="Ja",IF(OR(E31=""),"",I31-$M$2/5),IF(OR(E31="",F31=""),"",I31-$M$2/5))</f>
        <v/>
      </c>
      <c r="K31" s="10">
        <f t="shared" ca="1" si="1"/>
        <v>0</v>
      </c>
    </row>
    <row r="32" spans="1:13" x14ac:dyDescent="0.25">
      <c r="A32" s="30">
        <f t="shared" si="4"/>
        <v>0</v>
      </c>
      <c r="B32" s="65">
        <f t="shared" si="3"/>
        <v>44103</v>
      </c>
      <c r="C32" s="59" t="str">
        <f t="shared" si="2"/>
        <v>Montag</v>
      </c>
      <c r="D32" s="21" t="str">
        <f>IF(COUNTIFS(Verweise!$A$2:$A$4542,Übersicht!$C$7,Verweise!$B$2:$B$4542,B32)=1,"Feiertag",IF(C32="Samstag","",IF(C32="Sonntag","",Übersicht!$C$8)))</f>
        <v>Büro</v>
      </c>
      <c r="E32" s="17"/>
      <c r="F32" s="17"/>
      <c r="G32" s="57"/>
      <c r="H32" s="17"/>
      <c r="I32" s="18" t="str">
        <f t="shared" si="0"/>
        <v/>
      </c>
      <c r="J32" s="39" t="str">
        <f>IF(Übersicht!$C$9="Ja",IF(OR(E32=""),"",I32-$M$2/5),IF(OR(E32="",F32=""),"",I32-$M$2/5))</f>
        <v/>
      </c>
      <c r="K32" s="10">
        <f t="shared" ca="1" si="1"/>
        <v>0</v>
      </c>
    </row>
    <row r="33" spans="1:2" x14ac:dyDescent="0.25">
      <c r="A33" s="30"/>
      <c r="B33" s="30"/>
    </row>
  </sheetData>
  <conditionalFormatting sqref="B33:J33 B4:C32">
    <cfRule type="expression" dxfId="178" priority="135">
      <formula>OR($C4="Samstag",$C4="Sonntag",$D4="Feiertag")</formula>
    </cfRule>
    <cfRule type="expression" dxfId="177" priority="136">
      <formula>OR($D4="Frei",$D4="Urlaub")</formula>
    </cfRule>
    <cfRule type="expression" dxfId="176" priority="137">
      <formula>$D4="Krank"</formula>
    </cfRule>
  </conditionalFormatting>
  <conditionalFormatting sqref="E32:I32 I3:I32">
    <cfRule type="expression" dxfId="175" priority="114">
      <formula>OR($C3="Samstag",$C3="Sonntag",$D3="Feiertag")</formula>
    </cfRule>
    <cfRule type="expression" dxfId="174" priority="115">
      <formula>OR($D3="Frei",$D3="Urlaub")</formula>
    </cfRule>
    <cfRule type="expression" dxfId="173" priority="116">
      <formula>$D3="Krank"</formula>
    </cfRule>
  </conditionalFormatting>
  <conditionalFormatting sqref="E4:I13 E18:I19 E14:F17 E25:I26 E20:F24 E32:I32 I3:I32 E27:F31">
    <cfRule type="expression" dxfId="172" priority="103">
      <formula>OR($C3="Samstag",$C3="Sonntag",$D3="Feiertag")</formula>
    </cfRule>
    <cfRule type="expression" dxfId="171" priority="104">
      <formula>OR($D3="Frei",$D3="Urlaub")</formula>
    </cfRule>
    <cfRule type="expression" dxfId="170" priority="105">
      <formula>$D3="Krank"</formula>
    </cfRule>
  </conditionalFormatting>
  <conditionalFormatting sqref="D24:D27 D31 D4:D22">
    <cfRule type="expression" dxfId="169" priority="87">
      <formula>OR($C4="Samstag",$C4="Sonntag",$D4="Feiertag")</formula>
    </cfRule>
    <cfRule type="expression" dxfId="168" priority="88">
      <formula>OR($D4="Frei",$D4="Urlaub")</formula>
    </cfRule>
    <cfRule type="expression" dxfId="167" priority="89">
      <formula>$D4="Krank"</formula>
    </cfRule>
  </conditionalFormatting>
  <conditionalFormatting sqref="B3:C3">
    <cfRule type="expression" dxfId="166" priority="84">
      <formula>OR($C3="Samstag",$C3="Sonntag",$D3="Feiertag")</formula>
    </cfRule>
    <cfRule type="expression" dxfId="165" priority="85">
      <formula>OR($D3="Frei",$D3="Urlaub")</formula>
    </cfRule>
    <cfRule type="expression" dxfId="164" priority="86">
      <formula>$D3="Krank"</formula>
    </cfRule>
  </conditionalFormatting>
  <conditionalFormatting sqref="E4:H13 E3:F3 E18:H19 E14:F17 E25:H26 E20:F24 E32:H32 E27:F31">
    <cfRule type="expression" dxfId="163" priority="81">
      <formula>OR($C3="Samstag",$C3="Sonntag",$D3="Feiertag")</formula>
    </cfRule>
    <cfRule type="expression" dxfId="162" priority="82">
      <formula>OR($D3="Frei",$D3="Urlaub")</formula>
    </cfRule>
    <cfRule type="expression" dxfId="161" priority="83">
      <formula>$D3="Krank"</formula>
    </cfRule>
  </conditionalFormatting>
  <conditionalFormatting sqref="D3">
    <cfRule type="expression" dxfId="160" priority="78">
      <formula>OR($C3="Samstag",$C3="Sonntag",$D3="Feiertag")</formula>
    </cfRule>
    <cfRule type="expression" dxfId="159" priority="79">
      <formula>OR($D3="Frei",$D3="Urlaub")</formula>
    </cfRule>
    <cfRule type="expression" dxfId="158" priority="80">
      <formula>$D3="Krank"</formula>
    </cfRule>
  </conditionalFormatting>
  <conditionalFormatting sqref="I3:I32">
    <cfRule type="expression" dxfId="157" priority="70">
      <formula>OR($C3="Samstag",$C3="Sonntag",$D3="Feiertag")</formula>
    </cfRule>
    <cfRule type="expression" dxfId="156" priority="71">
      <formula>OR($D3="Frei",$D3="Urlaub")</formula>
    </cfRule>
    <cfRule type="expression" dxfId="155" priority="72">
      <formula>$D3="Krank"</formula>
    </cfRule>
  </conditionalFormatting>
  <conditionalFormatting sqref="D23">
    <cfRule type="expression" dxfId="154" priority="57">
      <formula>OR($C23="Samstag",$C23="Sonntag",$D23="Feiertag")</formula>
    </cfRule>
    <cfRule type="expression" dxfId="153" priority="58">
      <formula>OR($D23="Frei",$D23="Urlaub")</formula>
    </cfRule>
    <cfRule type="expression" dxfId="152" priority="59">
      <formula>$D23="Krank"</formula>
    </cfRule>
  </conditionalFormatting>
  <conditionalFormatting sqref="D28:D30">
    <cfRule type="expression" dxfId="151" priority="54">
      <formula>OR($C28="Samstag",$C28="Sonntag",$D28="Feiertag")</formula>
    </cfRule>
    <cfRule type="expression" dxfId="150" priority="55">
      <formula>OR($D28="Frei",$D28="Urlaub")</formula>
    </cfRule>
    <cfRule type="expression" dxfId="149" priority="56">
      <formula>$D28="Krank"</formula>
    </cfRule>
  </conditionalFormatting>
  <conditionalFormatting sqref="D32">
    <cfRule type="expression" dxfId="148" priority="51">
      <formula>OR($C32="Samstag",$C32="Sonntag",$D32="Feiertag")</formula>
    </cfRule>
    <cfRule type="expression" dxfId="147" priority="52">
      <formula>OR($D32="Frei",$D32="Urlaub")</formula>
    </cfRule>
    <cfRule type="expression" dxfId="146" priority="53">
      <formula>$D32="Krank"</formula>
    </cfRule>
  </conditionalFormatting>
  <conditionalFormatting sqref="J3:J32">
    <cfRule type="cellIs" dxfId="145" priority="46" operator="greaterThan">
      <formula>0</formula>
    </cfRule>
    <cfRule type="cellIs" dxfId="144" priority="47" operator="lessThan">
      <formula>0</formula>
    </cfRule>
    <cfRule type="expression" dxfId="143" priority="48">
      <formula>OR($C3="Samstag",$C3="Sonntag",$D3="Feiertag")</formula>
    </cfRule>
    <cfRule type="expression" dxfId="142" priority="49">
      <formula>OR($D3="Frei",$D3="Urlaub")</formula>
    </cfRule>
    <cfRule type="expression" dxfId="141" priority="50">
      <formula>$D3="Krank"</formula>
    </cfRule>
  </conditionalFormatting>
  <conditionalFormatting sqref="G3:H3">
    <cfRule type="expression" dxfId="140" priority="43">
      <formula>OR($C3="Samstag",$C3="Sonntag",$D3="Feiertag")</formula>
    </cfRule>
    <cfRule type="expression" dxfId="139" priority="44">
      <formula>OR($D3="Frei",$D3="Urlaub")</formula>
    </cfRule>
    <cfRule type="expression" dxfId="138" priority="45">
      <formula>$D3="Krank"</formula>
    </cfRule>
  </conditionalFormatting>
  <conditionalFormatting sqref="G14:H14">
    <cfRule type="expression" dxfId="137" priority="40">
      <formula>OR($C14="Samstag",$C14="Sonntag",$D14="Feiertag")</formula>
    </cfRule>
    <cfRule type="expression" dxfId="136" priority="41">
      <formula>OR($D14="Frei",$D14="Urlaub")</formula>
    </cfRule>
    <cfRule type="expression" dxfId="135" priority="42">
      <formula>$D14="Krank"</formula>
    </cfRule>
  </conditionalFormatting>
  <conditionalFormatting sqref="G15:H15">
    <cfRule type="expression" dxfId="134" priority="37">
      <formula>OR($C15="Samstag",$C15="Sonntag",$D15="Feiertag")</formula>
    </cfRule>
    <cfRule type="expression" dxfId="133" priority="38">
      <formula>OR($D15="Frei",$D15="Urlaub")</formula>
    </cfRule>
    <cfRule type="expression" dxfId="132" priority="39">
      <formula>$D15="Krank"</formula>
    </cfRule>
  </conditionalFormatting>
  <conditionalFormatting sqref="G16:H16">
    <cfRule type="expression" dxfId="131" priority="34">
      <formula>OR($C16="Samstag",$C16="Sonntag",$D16="Feiertag")</formula>
    </cfRule>
    <cfRule type="expression" dxfId="130" priority="35">
      <formula>OR($D16="Frei",$D16="Urlaub")</formula>
    </cfRule>
    <cfRule type="expression" dxfId="129" priority="36">
      <formula>$D16="Krank"</formula>
    </cfRule>
  </conditionalFormatting>
  <conditionalFormatting sqref="G17:H17">
    <cfRule type="expression" dxfId="128" priority="31">
      <formula>OR($C17="Samstag",$C17="Sonntag",$D17="Feiertag")</formula>
    </cfRule>
    <cfRule type="expression" dxfId="127" priority="32">
      <formula>OR($D17="Frei",$D17="Urlaub")</formula>
    </cfRule>
    <cfRule type="expression" dxfId="126" priority="33">
      <formula>$D17="Krank"</formula>
    </cfRule>
  </conditionalFormatting>
  <conditionalFormatting sqref="G20:H20">
    <cfRule type="expression" dxfId="125" priority="28">
      <formula>OR($C20="Samstag",$C20="Sonntag",$D20="Feiertag")</formula>
    </cfRule>
    <cfRule type="expression" dxfId="124" priority="29">
      <formula>OR($D20="Frei",$D20="Urlaub")</formula>
    </cfRule>
    <cfRule type="expression" dxfId="123" priority="30">
      <formula>$D20="Krank"</formula>
    </cfRule>
  </conditionalFormatting>
  <conditionalFormatting sqref="G21:H21">
    <cfRule type="expression" dxfId="122" priority="25">
      <formula>OR($C21="Samstag",$C21="Sonntag",$D21="Feiertag")</formula>
    </cfRule>
    <cfRule type="expression" dxfId="121" priority="26">
      <formula>OR($D21="Frei",$D21="Urlaub")</formula>
    </cfRule>
    <cfRule type="expression" dxfId="120" priority="27">
      <formula>$D21="Krank"</formula>
    </cfRule>
  </conditionalFormatting>
  <conditionalFormatting sqref="G22:H22">
    <cfRule type="expression" dxfId="119" priority="22">
      <formula>OR($C22="Samstag",$C22="Sonntag",$D22="Feiertag")</formula>
    </cfRule>
    <cfRule type="expression" dxfId="118" priority="23">
      <formula>OR($D22="Frei",$D22="Urlaub")</formula>
    </cfRule>
    <cfRule type="expression" dxfId="117" priority="24">
      <formula>$D22="Krank"</formula>
    </cfRule>
  </conditionalFormatting>
  <conditionalFormatting sqref="G23:H23">
    <cfRule type="expression" dxfId="116" priority="19">
      <formula>OR($C23="Samstag",$C23="Sonntag",$D23="Feiertag")</formula>
    </cfRule>
    <cfRule type="expression" dxfId="115" priority="20">
      <formula>OR($D23="Frei",$D23="Urlaub")</formula>
    </cfRule>
    <cfRule type="expression" dxfId="114" priority="21">
      <formula>$D23="Krank"</formula>
    </cfRule>
  </conditionalFormatting>
  <conditionalFormatting sqref="G24:H24">
    <cfRule type="expression" dxfId="113" priority="16">
      <formula>OR($C24="Samstag",$C24="Sonntag",$D24="Feiertag")</formula>
    </cfRule>
    <cfRule type="expression" dxfId="112" priority="17">
      <formula>OR($D24="Frei",$D24="Urlaub")</formula>
    </cfRule>
    <cfRule type="expression" dxfId="111" priority="18">
      <formula>$D24="Krank"</formula>
    </cfRule>
  </conditionalFormatting>
  <conditionalFormatting sqref="G27:H27">
    <cfRule type="expression" dxfId="110" priority="13">
      <formula>OR($C27="Samstag",$C27="Sonntag",$D27="Feiertag")</formula>
    </cfRule>
    <cfRule type="expression" dxfId="109" priority="14">
      <formula>OR($D27="Frei",$D27="Urlaub")</formula>
    </cfRule>
    <cfRule type="expression" dxfId="108" priority="15">
      <formula>$D27="Krank"</formula>
    </cfRule>
  </conditionalFormatting>
  <conditionalFormatting sqref="G28:H28">
    <cfRule type="expression" dxfId="107" priority="10">
      <formula>OR($C28="Samstag",$C28="Sonntag",$D28="Feiertag")</formula>
    </cfRule>
    <cfRule type="expression" dxfId="106" priority="11">
      <formula>OR($D28="Frei",$D28="Urlaub")</formula>
    </cfRule>
    <cfRule type="expression" dxfId="105" priority="12">
      <formula>$D28="Krank"</formula>
    </cfRule>
  </conditionalFormatting>
  <conditionalFormatting sqref="G29:H29">
    <cfRule type="expression" dxfId="104" priority="7">
      <formula>OR($C29="Samstag",$C29="Sonntag",$D29="Feiertag")</formula>
    </cfRule>
    <cfRule type="expression" dxfId="103" priority="8">
      <formula>OR($D29="Frei",$D29="Urlaub")</formula>
    </cfRule>
    <cfRule type="expression" dxfId="102" priority="9">
      <formula>$D29="Krank"</formula>
    </cfRule>
  </conditionalFormatting>
  <conditionalFormatting sqref="G30:H30">
    <cfRule type="expression" dxfId="101" priority="4">
      <formula>OR($C30="Samstag",$C30="Sonntag",$D30="Feiertag")</formula>
    </cfRule>
    <cfRule type="expression" dxfId="100" priority="5">
      <formula>OR($D30="Frei",$D30="Urlaub")</formula>
    </cfRule>
    <cfRule type="expression" dxfId="99" priority="6">
      <formula>$D30="Krank"</formula>
    </cfRule>
  </conditionalFormatting>
  <conditionalFormatting sqref="G31:H31">
    <cfRule type="expression" dxfId="98" priority="1">
      <formula>OR($C31="Samstag",$C31="Sonntag",$D31="Feiertag")</formula>
    </cfRule>
    <cfRule type="expression" dxfId="97" priority="2">
      <formula>OR($D31="Frei",$D31="Urlaub")</formula>
    </cfRule>
    <cfRule type="expression" dxfId="96" priority="3">
      <formula>$D31="Krank"</formula>
    </cfRule>
  </conditionalFormatting>
  <pageMargins left="0.7" right="0.7" top="0.78740157499999996" bottom="0.78740157499999996" header="0.3" footer="0.3"/>
  <pageSetup paperSize="9" orientation="portrait" r:id="rId1"/>
  <customProperties>
    <customPr name="ORB_SHEETNAM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7" r:id="rId5" name="Button 15">
              <controlPr defaultSize="0" print="0" autoFill="0" autoPict="0" macro="[0]!TimeStampStart">
                <anchor moveWithCells="1" sizeWithCells="1">
                  <from>
                    <xdr:col>10</xdr:col>
                    <xdr:colOff>228600</xdr:colOff>
                    <xdr:row>7</xdr:row>
                    <xdr:rowOff>114300</xdr:rowOff>
                  </from>
                  <to>
                    <xdr:col>11</xdr:col>
                    <xdr:colOff>1428750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6" name="Button 16">
              <controlPr defaultSize="0" print="0" autoFill="0" autoPict="0" macro="[0]!TimeStampEnd">
                <anchor moveWithCells="1" sizeWithCells="1">
                  <from>
                    <xdr:col>11</xdr:col>
                    <xdr:colOff>1590675</xdr:colOff>
                    <xdr:row>7</xdr:row>
                    <xdr:rowOff>104775</xdr:rowOff>
                  </from>
                  <to>
                    <xdr:col>13</xdr:col>
                    <xdr:colOff>19050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print="0" autoFill="0" autoPict="0" macro="[0]!PauseStart">
                <anchor moveWithCells="1" sizeWithCells="1">
                  <from>
                    <xdr:col>10</xdr:col>
                    <xdr:colOff>228600</xdr:colOff>
                    <xdr:row>9</xdr:row>
                    <xdr:rowOff>152400</xdr:rowOff>
                  </from>
                  <to>
                    <xdr:col>11</xdr:col>
                    <xdr:colOff>1428750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8" name="Button 18">
              <controlPr defaultSize="0" print="0" autoFill="0" autoPict="0" macro="[0]!PauseEnd">
                <anchor moveWithCells="1" sizeWithCells="1">
                  <from>
                    <xdr:col>11</xdr:col>
                    <xdr:colOff>1590675</xdr:colOff>
                    <xdr:row>9</xdr:row>
                    <xdr:rowOff>142875</xdr:rowOff>
                  </from>
                  <to>
                    <xdr:col>13</xdr:col>
                    <xdr:colOff>19050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Verweise!$F$24:$F$30</xm:f>
          </x14:formula1>
          <xm:sqref>D3:D32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1">
    <tabColor theme="4" tint="0.79998168889431442"/>
  </sheetPr>
  <dimension ref="A1:U34"/>
  <sheetViews>
    <sheetView workbookViewId="0">
      <selection activeCell="G15" sqref="G15:H15"/>
    </sheetView>
  </sheetViews>
  <sheetFormatPr defaultColWidth="0" defaultRowHeight="15" zeroHeight="1" x14ac:dyDescent="0.25"/>
  <cols>
    <col min="1" max="1" width="2.7109375" style="7" customWidth="1"/>
    <col min="2" max="2" width="10.7109375" style="7" customWidth="1"/>
    <col min="3" max="3" width="11.5703125" style="7" customWidth="1"/>
    <col min="4" max="4" width="26.42578125" style="7" customWidth="1"/>
    <col min="5" max="5" width="14.42578125" style="7" customWidth="1"/>
    <col min="6" max="6" width="12.140625" style="7" customWidth="1"/>
    <col min="7" max="7" width="12.140625" style="55" customWidth="1"/>
    <col min="8" max="9" width="13.5703125" style="7" customWidth="1"/>
    <col min="10" max="10" width="14.28515625" style="7" customWidth="1"/>
    <col min="11" max="11" width="2.7109375" style="7" customWidth="1"/>
    <col min="12" max="12" width="33.7109375" style="7" bestFit="1" customWidth="1"/>
    <col min="13" max="13" width="11.42578125" style="7" customWidth="1"/>
    <col min="14" max="14" width="2.7109375" style="7" customWidth="1"/>
    <col min="15" max="21" width="0" style="7" hidden="1" customWidth="1"/>
    <col min="22" max="16384" width="11.42578125" style="7" hidden="1"/>
  </cols>
  <sheetData>
    <row r="1" spans="1:18" x14ac:dyDescent="0.25"/>
    <row r="2" spans="1:18" ht="15.75" thickBot="1" x14ac:dyDescent="0.3">
      <c r="B2" s="35" t="s">
        <v>0</v>
      </c>
      <c r="C2" s="16" t="s">
        <v>1</v>
      </c>
      <c r="D2" s="62" t="s">
        <v>2</v>
      </c>
      <c r="E2" s="62" t="s">
        <v>3</v>
      </c>
      <c r="F2" s="62" t="s">
        <v>4</v>
      </c>
      <c r="G2" s="63" t="s">
        <v>81</v>
      </c>
      <c r="H2" s="64" t="s">
        <v>83</v>
      </c>
      <c r="I2" s="62" t="s">
        <v>5</v>
      </c>
      <c r="J2" s="62" t="s">
        <v>82</v>
      </c>
      <c r="L2" s="3" t="s">
        <v>6</v>
      </c>
      <c r="M2" s="6">
        <f>Übersicht!C2</f>
        <v>1.6666666666666667</v>
      </c>
      <c r="Q2" s="10" t="s">
        <v>30</v>
      </c>
      <c r="R2" s="10" t="s">
        <v>31</v>
      </c>
    </row>
    <row r="3" spans="1:18" x14ac:dyDescent="0.25">
      <c r="A3" s="30">
        <f t="shared" ref="A3:A33" si="0">IF(AND(AND(C3&lt;&gt;"Samstag",C3&lt;&gt;"Sonntag"),OR(D3="Urlaub",D3="Frei",D3="Feiertag",D3="Krank")),1,0)</f>
        <v>0</v>
      </c>
      <c r="B3" s="34" t="str">
        <f>"01.10."&amp;Übersicht!$C$6</f>
        <v>01.10.2024</v>
      </c>
      <c r="C3" s="1" t="str">
        <f>TEXT(B3,"TTTT")</f>
        <v>Dienstag</v>
      </c>
      <c r="D3" s="69" t="str">
        <f>IF(COUNTIFS(Verweise!$A$2:$A$4542,Übersicht!$C$7,Verweise!$B$2:$B$4542,B3)=1,"Feiertag",IF(C3="Samstag","",IF(C3="Sonntag","",Übersicht!$C$8)))</f>
        <v>Büro</v>
      </c>
      <c r="E3" s="70"/>
      <c r="F3" s="70"/>
      <c r="G3" s="71"/>
      <c r="H3" s="70"/>
      <c r="I3" s="18" t="str">
        <f t="shared" ref="I3:I33" si="1">IF(E3="","",F3-E3-H3)</f>
        <v/>
      </c>
      <c r="J3" s="39" t="str">
        <f>IF(Übersicht!$C$9="Ja",IF(OR(E3=""),"",I3-$M$2/5),IF(OR(E3="",F3=""),"",I3-$M$2/5))</f>
        <v/>
      </c>
      <c r="K3" s="10">
        <f ca="1">IF(B3*1=TODAY(),ROW(),0)</f>
        <v>0</v>
      </c>
      <c r="L3" s="3" t="str">
        <f>"Ist Arbeitszeit im "&amp;TEXT(B3,"MMMM")</f>
        <v>Ist Arbeitszeit im Oktober</v>
      </c>
      <c r="M3" s="29">
        <f>SUM(I3:I32)</f>
        <v>0</v>
      </c>
      <c r="P3" s="10" t="s">
        <v>24</v>
      </c>
    </row>
    <row r="4" spans="1:18" x14ac:dyDescent="0.25">
      <c r="A4" s="30">
        <f t="shared" si="0"/>
        <v>0</v>
      </c>
      <c r="B4" s="33">
        <f>B3+1</f>
        <v>44105</v>
      </c>
      <c r="C4" s="1" t="str">
        <f t="shared" ref="C4:C32" si="2">TEXT(B4,"TTTT")</f>
        <v>Mittwoch</v>
      </c>
      <c r="D4" s="21" t="str">
        <f>IF(COUNTIFS(Verweise!$A$2:$A$4542,Übersicht!$C$7,Verweise!$B$2:$B$4542,B4)=1,"Feiertag",IF(C4="Samstag","",IF(C4="Sonntag","",Übersicht!$C$8)))</f>
        <v>Büro</v>
      </c>
      <c r="E4" s="19"/>
      <c r="F4" s="19"/>
      <c r="G4" s="67"/>
      <c r="H4" s="19"/>
      <c r="I4" s="18" t="str">
        <f t="shared" si="1"/>
        <v/>
      </c>
      <c r="J4" s="39" t="str">
        <f>IF(Übersicht!$C$9="Ja",IF(OR(E4=""),"",I4-$M$2/5),IF(OR(E4="",F4=""),"",I4-$M$2/5))</f>
        <v/>
      </c>
      <c r="K4" s="10">
        <f t="shared" ref="K4:K33" ca="1" si="3">IF(B4*1=TODAY(),ROW(),0)</f>
        <v>0</v>
      </c>
      <c r="L4" s="3" t="str">
        <f>"Wochen im "&amp;TEXT(B3,"MMMM")</f>
        <v>Wochen im Oktober</v>
      </c>
      <c r="M4" s="2">
        <f>ROUND(COUNTA(C3:C33)/7,2)</f>
        <v>4.43</v>
      </c>
      <c r="P4" s="10" t="s">
        <v>25</v>
      </c>
    </row>
    <row r="5" spans="1:18" x14ac:dyDescent="0.25">
      <c r="A5" s="30">
        <f t="shared" si="0"/>
        <v>1</v>
      </c>
      <c r="B5" s="33">
        <f t="shared" ref="B5:B33" si="4">B4+1</f>
        <v>44106</v>
      </c>
      <c r="C5" s="1" t="str">
        <f t="shared" si="2"/>
        <v>Donnerstag</v>
      </c>
      <c r="D5" s="21" t="str">
        <f>IF(COUNTIFS(Verweise!$A$2:$A$4542,Übersicht!$C$7,Verweise!$B$2:$B$4542,B5)=1,"Feiertag",IF(C5="Samstag","",IF(C5="Sonntag","",Übersicht!$C$8)))</f>
        <v>Feiertag</v>
      </c>
      <c r="E5" s="19"/>
      <c r="F5" s="19"/>
      <c r="G5" s="67"/>
      <c r="H5" s="19"/>
      <c r="I5" s="18" t="str">
        <f t="shared" si="1"/>
        <v/>
      </c>
      <c r="J5" s="39" t="str">
        <f>IF(Übersicht!$C$9="Ja",IF(OR(E5=""),"",I5-$M$2/5),IF(OR(E5="",F5=""),"",I5-$M$2/5))</f>
        <v/>
      </c>
      <c r="K5" s="10">
        <f t="shared" ca="1" si="3"/>
        <v>0</v>
      </c>
      <c r="L5" s="3" t="s">
        <v>32</v>
      </c>
      <c r="M5" s="29">
        <f>M4*M2-(SUM(A3:A32)*M2/7)</f>
        <v>7.1452380952380947</v>
      </c>
      <c r="P5" s="10" t="s">
        <v>26</v>
      </c>
    </row>
    <row r="6" spans="1:18" x14ac:dyDescent="0.25">
      <c r="A6" s="30">
        <f t="shared" si="0"/>
        <v>0</v>
      </c>
      <c r="B6" s="33">
        <f t="shared" si="4"/>
        <v>44107</v>
      </c>
      <c r="C6" s="1" t="str">
        <f t="shared" si="2"/>
        <v>Freitag</v>
      </c>
      <c r="D6" s="21" t="str">
        <f>IF(COUNTIFS(Verweise!$A$2:$A$4542,Übersicht!$C$7,Verweise!$B$2:$B$4542,B6)=1,"Feiertag",IF(C6="Samstag","",IF(C6="Sonntag","",Übersicht!$C$8)))</f>
        <v>Büro</v>
      </c>
      <c r="E6" s="19"/>
      <c r="F6" s="19"/>
      <c r="G6" s="67"/>
      <c r="H6" s="19"/>
      <c r="I6" s="18" t="str">
        <f t="shared" si="1"/>
        <v/>
      </c>
      <c r="J6" s="39" t="str">
        <f>IF(Übersicht!$C$9="Ja",IF(OR(E6=""),"",I6-$M$2/5),IF(OR(E6="",F6=""),"",I6-$M$2/5))</f>
        <v/>
      </c>
      <c r="K6" s="10">
        <f t="shared" ca="1" si="3"/>
        <v>0</v>
      </c>
      <c r="L6" s="3" t="str">
        <f>IF(M6&lt;0,"Minustunden","Überstunden")</f>
        <v>Überstunden</v>
      </c>
      <c r="M6" s="6">
        <f>SUM(J:J)</f>
        <v>0</v>
      </c>
      <c r="P6" s="10" t="s">
        <v>27</v>
      </c>
    </row>
    <row r="7" spans="1:18" x14ac:dyDescent="0.25">
      <c r="A7" s="30">
        <f t="shared" si="0"/>
        <v>0</v>
      </c>
      <c r="B7" s="33">
        <f t="shared" si="4"/>
        <v>44108</v>
      </c>
      <c r="C7" s="1" t="str">
        <f t="shared" si="2"/>
        <v>Samstag</v>
      </c>
      <c r="D7" s="21" t="str">
        <f>IF(COUNTIFS(Verweise!$A$2:$A$4542,Übersicht!$C$7,Verweise!$B$2:$B$4542,B7)=1,"Feiertag",IF(C7="Samstag","",IF(C7="Sonntag","",Übersicht!$C$8)))</f>
        <v/>
      </c>
      <c r="E7" s="19"/>
      <c r="F7" s="19"/>
      <c r="G7" s="67"/>
      <c r="H7" s="19"/>
      <c r="I7" s="18" t="str">
        <f t="shared" si="1"/>
        <v/>
      </c>
      <c r="J7" s="39" t="str">
        <f>IF(Übersicht!$C$9="Ja",IF(OR(E7=""),"",I7-$M$2/5),IF(OR(E7="",F7=""),"",I7-$M$2/5))</f>
        <v/>
      </c>
      <c r="K7" s="10">
        <f t="shared" ca="1" si="3"/>
        <v>0</v>
      </c>
      <c r="L7" s="3" t="str">
        <f ca="1">IF(M7&lt;0,"Minustunden gesamt","Überstunden gesamt")</f>
        <v>Überstunden gesamt</v>
      </c>
      <c r="M7" s="6">
        <f ca="1">Übersicht!C26</f>
        <v>0</v>
      </c>
      <c r="P7" s="10" t="s">
        <v>28</v>
      </c>
    </row>
    <row r="8" spans="1:18" x14ac:dyDescent="0.25">
      <c r="A8" s="30">
        <f t="shared" si="0"/>
        <v>0</v>
      </c>
      <c r="B8" s="33">
        <f t="shared" si="4"/>
        <v>44109</v>
      </c>
      <c r="C8" s="1" t="str">
        <f t="shared" si="2"/>
        <v>Sonntag</v>
      </c>
      <c r="D8" s="21" t="str">
        <f>IF(COUNTIFS(Verweise!$A$2:$A$4542,Übersicht!$C$7,Verweise!$B$2:$B$4542,B8)=1,"Feiertag",IF(C8="Samstag","",IF(C8="Sonntag","",Übersicht!$C$8)))</f>
        <v/>
      </c>
      <c r="E8" s="19"/>
      <c r="F8" s="19"/>
      <c r="G8" s="67"/>
      <c r="H8" s="19"/>
      <c r="I8" s="18" t="str">
        <f t="shared" si="1"/>
        <v/>
      </c>
      <c r="J8" s="39" t="str">
        <f>IF(Übersicht!$C$9="Ja",IF(OR(E8=""),"",I8-$M$2/5),IF(OR(E8="",F8=""),"",I8-$M$2/5))</f>
        <v/>
      </c>
      <c r="K8" s="10">
        <f t="shared" ca="1" si="3"/>
        <v>0</v>
      </c>
      <c r="P8" s="10" t="s">
        <v>29</v>
      </c>
    </row>
    <row r="9" spans="1:18" x14ac:dyDescent="0.25">
      <c r="A9" s="30">
        <f t="shared" si="0"/>
        <v>0</v>
      </c>
      <c r="B9" s="33">
        <f t="shared" si="4"/>
        <v>44110</v>
      </c>
      <c r="C9" s="1" t="str">
        <f t="shared" si="2"/>
        <v>Montag</v>
      </c>
      <c r="D9" s="21" t="str">
        <f>IF(COUNTIFS(Verweise!$A$2:$A$4542,Übersicht!$C$7,Verweise!$B$2:$B$4542,B9)=1,"Feiertag",IF(C9="Samstag","",IF(C9="Sonntag","",Übersicht!$C$8)))</f>
        <v>Büro</v>
      </c>
      <c r="E9" s="19"/>
      <c r="F9" s="19"/>
      <c r="G9" s="66"/>
      <c r="H9" s="19"/>
      <c r="I9" s="18" t="str">
        <f t="shared" si="1"/>
        <v/>
      </c>
      <c r="J9" s="39" t="str">
        <f>IF(Übersicht!$C$9="Ja",IF(OR(E9=""),"",I9-$M$2/5),IF(OR(E9="",F9=""),"",I9-$M$2/5))</f>
        <v/>
      </c>
      <c r="K9" s="10">
        <f t="shared" ca="1" si="3"/>
        <v>0</v>
      </c>
    </row>
    <row r="10" spans="1:18" x14ac:dyDescent="0.25">
      <c r="A10" s="30">
        <f t="shared" si="0"/>
        <v>0</v>
      </c>
      <c r="B10" s="33">
        <f t="shared" si="4"/>
        <v>44111</v>
      </c>
      <c r="C10" s="1" t="str">
        <f t="shared" si="2"/>
        <v>Dienstag</v>
      </c>
      <c r="D10" s="21" t="str">
        <f>IF(COUNTIFS(Verweise!$A$2:$A$4542,Übersicht!$C$7,Verweise!$B$2:$B$4542,B10)=1,"Feiertag",IF(C10="Samstag","",IF(C10="Sonntag","",Übersicht!$C$8)))</f>
        <v>Büro</v>
      </c>
      <c r="E10" s="19"/>
      <c r="F10" s="19"/>
      <c r="G10" s="67"/>
      <c r="H10" s="19"/>
      <c r="I10" s="18" t="str">
        <f t="shared" si="1"/>
        <v/>
      </c>
      <c r="J10" s="39" t="str">
        <f>IF(Übersicht!$C$9="Ja",IF(OR(E10=""),"",I10-$M$2/5),IF(OR(E10="",F10=""),"",I10-$M$2/5))</f>
        <v/>
      </c>
      <c r="K10" s="10">
        <f t="shared" ca="1" si="3"/>
        <v>0</v>
      </c>
    </row>
    <row r="11" spans="1:18" x14ac:dyDescent="0.25">
      <c r="A11" s="30">
        <f t="shared" si="0"/>
        <v>0</v>
      </c>
      <c r="B11" s="33">
        <f t="shared" si="4"/>
        <v>44112</v>
      </c>
      <c r="C11" s="1" t="str">
        <f t="shared" si="2"/>
        <v>Mittwoch</v>
      </c>
      <c r="D11" s="21" t="str">
        <f>IF(COUNTIFS(Verweise!$A$2:$A$4542,Übersicht!$C$7,Verweise!$B$2:$B$4542,B11)=1,"Feiertag",IF(C11="Samstag","",IF(C11="Sonntag","",Übersicht!$C$8)))</f>
        <v>Büro</v>
      </c>
      <c r="E11" s="19"/>
      <c r="F11" s="19"/>
      <c r="G11" s="67"/>
      <c r="H11" s="19"/>
      <c r="I11" s="18" t="str">
        <f t="shared" si="1"/>
        <v/>
      </c>
      <c r="J11" s="39" t="str">
        <f>IF(Übersicht!$C$9="Ja",IF(OR(E11=""),"",I11-$M$2/5),IF(OR(E11="",F11=""),"",I11-$M$2/5))</f>
        <v/>
      </c>
      <c r="K11" s="10">
        <f t="shared" ca="1" si="3"/>
        <v>0</v>
      </c>
    </row>
    <row r="12" spans="1:18" x14ac:dyDescent="0.25">
      <c r="A12" s="30">
        <f t="shared" si="0"/>
        <v>0</v>
      </c>
      <c r="B12" s="33">
        <f t="shared" si="4"/>
        <v>44113</v>
      </c>
      <c r="C12" s="1" t="str">
        <f t="shared" si="2"/>
        <v>Donnerstag</v>
      </c>
      <c r="D12" s="21" t="str">
        <f>IF(COUNTIFS(Verweise!$A$2:$A$4542,Übersicht!$C$7,Verweise!$B$2:$B$4542,B12)=1,"Feiertag",IF(C12="Samstag","",IF(C12="Sonntag","",Übersicht!$C$8)))</f>
        <v>Büro</v>
      </c>
      <c r="E12" s="19"/>
      <c r="F12" s="19"/>
      <c r="G12" s="67"/>
      <c r="H12" s="19"/>
      <c r="I12" s="18" t="str">
        <f t="shared" si="1"/>
        <v/>
      </c>
      <c r="J12" s="39" t="str">
        <f>IF(Übersicht!$C$9="Ja",IF(OR(E12=""),"",I12-$M$2/5),IF(OR(E12="",F12=""),"",I12-$M$2/5))</f>
        <v/>
      </c>
      <c r="K12" s="10">
        <f t="shared" ca="1" si="3"/>
        <v>0</v>
      </c>
    </row>
    <row r="13" spans="1:18" x14ac:dyDescent="0.25">
      <c r="A13" s="30">
        <f t="shared" si="0"/>
        <v>0</v>
      </c>
      <c r="B13" s="33">
        <f t="shared" si="4"/>
        <v>44114</v>
      </c>
      <c r="C13" s="1" t="str">
        <f t="shared" si="2"/>
        <v>Freitag</v>
      </c>
      <c r="D13" s="21" t="str">
        <f>IF(COUNTIFS(Verweise!$A$2:$A$4542,Übersicht!$C$7,Verweise!$B$2:$B$4542,B13)=1,"Feiertag",IF(C13="Samstag","",IF(C13="Sonntag","",Übersicht!$C$8)))</f>
        <v>Büro</v>
      </c>
      <c r="E13" s="19"/>
      <c r="F13" s="19"/>
      <c r="G13" s="67"/>
      <c r="H13" s="19"/>
      <c r="I13" s="18" t="str">
        <f t="shared" si="1"/>
        <v/>
      </c>
      <c r="J13" s="39" t="str">
        <f>IF(Übersicht!$C$9="Ja",IF(OR(E13=""),"",I13-$M$2/5),IF(OR(E13="",F13=""),"",I13-$M$2/5))</f>
        <v/>
      </c>
      <c r="K13" s="10">
        <f t="shared" ca="1" si="3"/>
        <v>0</v>
      </c>
    </row>
    <row r="14" spans="1:18" x14ac:dyDescent="0.25">
      <c r="A14" s="30">
        <f t="shared" si="0"/>
        <v>0</v>
      </c>
      <c r="B14" s="33">
        <f t="shared" si="4"/>
        <v>44115</v>
      </c>
      <c r="C14" s="1" t="str">
        <f t="shared" si="2"/>
        <v>Samstag</v>
      </c>
      <c r="D14" s="21" t="str">
        <f>IF(COUNTIFS(Verweise!$A$2:$A$4542,Übersicht!$C$7,Verweise!$B$2:$B$4542,B14)=1,"Feiertag",IF(C14="Samstag","",IF(C14="Sonntag","",Übersicht!$C$8)))</f>
        <v/>
      </c>
      <c r="E14" s="19"/>
      <c r="F14" s="19"/>
      <c r="G14" s="67"/>
      <c r="H14" s="19"/>
      <c r="I14" s="18" t="str">
        <f t="shared" si="1"/>
        <v/>
      </c>
      <c r="J14" s="39" t="str">
        <f>IF(Übersicht!$C$9="Ja",IF(OR(E14=""),"",I14-$M$2/5),IF(OR(E14="",F14=""),"",I14-$M$2/5))</f>
        <v/>
      </c>
      <c r="K14" s="10">
        <f t="shared" ca="1" si="3"/>
        <v>0</v>
      </c>
      <c r="L14" s="79" t="s">
        <v>85</v>
      </c>
      <c r="M14" s="22">
        <v>0.50277777777777777</v>
      </c>
    </row>
    <row r="15" spans="1:18" x14ac:dyDescent="0.25">
      <c r="A15" s="30">
        <f t="shared" si="0"/>
        <v>0</v>
      </c>
      <c r="B15" s="33">
        <f t="shared" si="4"/>
        <v>44116</v>
      </c>
      <c r="C15" s="1" t="str">
        <f t="shared" si="2"/>
        <v>Sonntag</v>
      </c>
      <c r="D15" s="21" t="str">
        <f>IF(COUNTIFS(Verweise!$A$2:$A$4542,Übersicht!$C$7,Verweise!$B$2:$B$4542,B15)=1,"Feiertag",IF(C15="Samstag","",IF(C15="Sonntag","",Übersicht!$C$8)))</f>
        <v/>
      </c>
      <c r="E15" s="19"/>
      <c r="F15" s="19"/>
      <c r="G15" s="67"/>
      <c r="H15" s="19"/>
      <c r="I15" s="18" t="str">
        <f t="shared" si="1"/>
        <v/>
      </c>
      <c r="J15" s="39" t="str">
        <f>IF(Übersicht!$C$9="Ja",IF(OR(E15=""),"",I15-$M$2/5),IF(OR(E15="",F15=""),"",I15-$M$2/5))</f>
        <v/>
      </c>
      <c r="K15" s="10">
        <f t="shared" ca="1" si="3"/>
        <v>0</v>
      </c>
      <c r="L15" s="79" t="s">
        <v>86</v>
      </c>
      <c r="M15" s="22">
        <v>0.55763888888888891</v>
      </c>
    </row>
    <row r="16" spans="1:18" x14ac:dyDescent="0.25">
      <c r="A16" s="30">
        <f t="shared" si="0"/>
        <v>0</v>
      </c>
      <c r="B16" s="33">
        <f t="shared" si="4"/>
        <v>44117</v>
      </c>
      <c r="C16" s="1" t="str">
        <f t="shared" si="2"/>
        <v>Montag</v>
      </c>
      <c r="D16" s="21" t="str">
        <f>IF(COUNTIFS(Verweise!$A$2:$A$4542,Übersicht!$C$7,Verweise!$B$2:$B$4542,B16)=1,"Feiertag",IF(C16="Samstag","",IF(C16="Sonntag","",Übersicht!$C$8)))</f>
        <v>Büro</v>
      </c>
      <c r="E16" s="19"/>
      <c r="F16" s="19"/>
      <c r="G16" s="66"/>
      <c r="H16" s="19"/>
      <c r="I16" s="18" t="str">
        <f t="shared" si="1"/>
        <v/>
      </c>
      <c r="J16" s="39" t="str">
        <f>IF(Übersicht!$C$9="Ja",IF(OR(E16=""),"",I16-$M$2/5),IF(OR(E16="",F16=""),"",I16-$M$2/5))</f>
        <v/>
      </c>
      <c r="K16" s="10">
        <f t="shared" ca="1" si="3"/>
        <v>0</v>
      </c>
      <c r="L16" s="79" t="s">
        <v>87</v>
      </c>
      <c r="M16" s="22">
        <f>M15-M14</f>
        <v>5.4861111111111138E-2</v>
      </c>
    </row>
    <row r="17" spans="1:12" x14ac:dyDescent="0.25">
      <c r="A17" s="30">
        <f t="shared" si="0"/>
        <v>0</v>
      </c>
      <c r="B17" s="33">
        <f t="shared" si="4"/>
        <v>44118</v>
      </c>
      <c r="C17" s="1" t="str">
        <f t="shared" si="2"/>
        <v>Dienstag</v>
      </c>
      <c r="D17" s="21" t="str">
        <f>IF(COUNTIFS(Verweise!$A$2:$A$4542,Übersicht!$C$7,Verweise!$B$2:$B$4542,B17)=1,"Feiertag",IF(C17="Samstag","",IF(C17="Sonntag","",Übersicht!$C$8)))</f>
        <v>Büro</v>
      </c>
      <c r="E17" s="19"/>
      <c r="F17" s="19"/>
      <c r="G17" s="66"/>
      <c r="H17" s="19"/>
      <c r="I17" s="18" t="str">
        <f t="shared" si="1"/>
        <v/>
      </c>
      <c r="J17" s="39" t="str">
        <f>IF(Übersicht!$C$9="Ja",IF(OR(E17=""),"",I17-$M$2/5),IF(OR(E17="",F17=""),"",I17-$M$2/5))</f>
        <v/>
      </c>
      <c r="K17" s="10">
        <f t="shared" ca="1" si="3"/>
        <v>0</v>
      </c>
    </row>
    <row r="18" spans="1:12" x14ac:dyDescent="0.25">
      <c r="A18" s="30">
        <f t="shared" si="0"/>
        <v>0</v>
      </c>
      <c r="B18" s="33">
        <f t="shared" si="4"/>
        <v>44119</v>
      </c>
      <c r="C18" s="1" t="str">
        <f t="shared" si="2"/>
        <v>Mittwoch</v>
      </c>
      <c r="D18" s="21" t="str">
        <f>IF(COUNTIFS(Verweise!$A$2:$A$4542,Übersicht!$C$7,Verweise!$B$2:$B$4542,B18)=1,"Feiertag",IF(C18="Samstag","",IF(C18="Sonntag","",Übersicht!$C$8)))</f>
        <v>Büro</v>
      </c>
      <c r="E18" s="19"/>
      <c r="F18" s="19"/>
      <c r="G18" s="67"/>
      <c r="H18" s="19"/>
      <c r="I18" s="18" t="str">
        <f t="shared" si="1"/>
        <v/>
      </c>
      <c r="J18" s="39" t="str">
        <f>IF(Übersicht!$C$9="Ja",IF(OR(E18=""),"",I18-$M$2/5),IF(OR(E18="",F18=""),"",I18-$M$2/5))</f>
        <v/>
      </c>
      <c r="K18" s="10">
        <f t="shared" ca="1" si="3"/>
        <v>0</v>
      </c>
    </row>
    <row r="19" spans="1:12" x14ac:dyDescent="0.25">
      <c r="A19" s="30">
        <f t="shared" si="0"/>
        <v>0</v>
      </c>
      <c r="B19" s="33">
        <f t="shared" si="4"/>
        <v>44120</v>
      </c>
      <c r="C19" s="1" t="str">
        <f t="shared" si="2"/>
        <v>Donnerstag</v>
      </c>
      <c r="D19" s="21" t="str">
        <f>IF(COUNTIFS(Verweise!$A$2:$A$4542,Übersicht!$C$7,Verweise!$B$2:$B$4542,B19)=1,"Feiertag",IF(C19="Samstag","",IF(C19="Sonntag","",Übersicht!$C$8)))</f>
        <v>Büro</v>
      </c>
      <c r="E19" s="19"/>
      <c r="F19" s="19"/>
      <c r="G19" s="66"/>
      <c r="H19" s="19"/>
      <c r="I19" s="18" t="str">
        <f t="shared" si="1"/>
        <v/>
      </c>
      <c r="J19" s="39" t="str">
        <f>IF(Übersicht!$C$9="Ja",IF(OR(E19=""),"",I19-$M$2/5),IF(OR(E19="",F19=""),"",I19-$M$2/5))</f>
        <v/>
      </c>
      <c r="K19" s="10">
        <f t="shared" ca="1" si="3"/>
        <v>0</v>
      </c>
    </row>
    <row r="20" spans="1:12" x14ac:dyDescent="0.25">
      <c r="A20" s="30">
        <f t="shared" si="0"/>
        <v>0</v>
      </c>
      <c r="B20" s="33">
        <f t="shared" si="4"/>
        <v>44121</v>
      </c>
      <c r="C20" s="1" t="str">
        <f t="shared" si="2"/>
        <v>Freitag</v>
      </c>
      <c r="D20" s="21" t="str">
        <f>IF(COUNTIFS(Verweise!$A$2:$A$4542,Übersicht!$C$7,Verweise!$B$2:$B$4542,B20)=1,"Feiertag",IF(C20="Samstag","",IF(C20="Sonntag","",Übersicht!$C$8)))</f>
        <v>Büro</v>
      </c>
      <c r="E20" s="19"/>
      <c r="F20" s="19"/>
      <c r="G20" s="66"/>
      <c r="H20" s="19"/>
      <c r="I20" s="18" t="str">
        <f t="shared" si="1"/>
        <v/>
      </c>
      <c r="J20" s="39" t="str">
        <f>IF(Übersicht!$C$9="Ja",IF(OR(E20=""),"",I20-$M$2/5),IF(OR(E20="",F20=""),"",I20-$M$2/5))</f>
        <v/>
      </c>
      <c r="K20" s="10">
        <f t="shared" ca="1" si="3"/>
        <v>0</v>
      </c>
      <c r="L20" s="22"/>
    </row>
    <row r="21" spans="1:12" x14ac:dyDescent="0.25">
      <c r="A21" s="30">
        <f t="shared" si="0"/>
        <v>0</v>
      </c>
      <c r="B21" s="33">
        <f t="shared" si="4"/>
        <v>44122</v>
      </c>
      <c r="C21" s="1" t="str">
        <f t="shared" si="2"/>
        <v>Samstag</v>
      </c>
      <c r="D21" s="21" t="str">
        <f>IF(COUNTIFS(Verweise!$A$2:$A$4542,Übersicht!$C$7,Verweise!$B$2:$B$4542,B21)=1,"Feiertag",IF(C21="Samstag","",IF(C21="Sonntag","",Übersicht!$C$8)))</f>
        <v/>
      </c>
      <c r="E21" s="19"/>
      <c r="F21" s="19"/>
      <c r="G21" s="66"/>
      <c r="H21" s="19"/>
      <c r="I21" s="18" t="str">
        <f t="shared" si="1"/>
        <v/>
      </c>
      <c r="J21" s="39" t="str">
        <f>IF(Übersicht!$C$9="Ja",IF(OR(E21=""),"",I21-$M$2/5),IF(OR(E21="",F21=""),"",I21-$M$2/5))</f>
        <v/>
      </c>
      <c r="K21" s="10">
        <f t="shared" ca="1" si="3"/>
        <v>0</v>
      </c>
      <c r="L21" s="22"/>
    </row>
    <row r="22" spans="1:12" x14ac:dyDescent="0.25">
      <c r="A22" s="30">
        <f t="shared" si="0"/>
        <v>0</v>
      </c>
      <c r="B22" s="33">
        <f t="shared" si="4"/>
        <v>44123</v>
      </c>
      <c r="C22" s="1" t="str">
        <f t="shared" si="2"/>
        <v>Sonntag</v>
      </c>
      <c r="D22" s="21" t="str">
        <f>IF(COUNTIFS(Verweise!$A$2:$A$4542,Übersicht!$C$7,Verweise!$B$2:$B$4542,B22)=1,"Feiertag",IF(C22="Samstag","",IF(C22="Sonntag","",Übersicht!$C$8)))</f>
        <v/>
      </c>
      <c r="E22" s="19"/>
      <c r="F22" s="19"/>
      <c r="G22" s="66"/>
      <c r="H22" s="19"/>
      <c r="I22" s="18" t="str">
        <f t="shared" si="1"/>
        <v/>
      </c>
      <c r="J22" s="39" t="str">
        <f>IF(Übersicht!$C$9="Ja",IF(OR(E22=""),"",I22-$M$2/5),IF(OR(E22="",F22=""),"",I22-$M$2/5))</f>
        <v/>
      </c>
      <c r="K22" s="10">
        <f t="shared" ca="1" si="3"/>
        <v>0</v>
      </c>
    </row>
    <row r="23" spans="1:12" x14ac:dyDescent="0.25">
      <c r="A23" s="30">
        <f t="shared" si="0"/>
        <v>0</v>
      </c>
      <c r="B23" s="33">
        <f t="shared" si="4"/>
        <v>44124</v>
      </c>
      <c r="C23" s="1" t="str">
        <f t="shared" si="2"/>
        <v>Montag</v>
      </c>
      <c r="D23" s="21" t="str">
        <f>IF(COUNTIFS(Verweise!$A$2:$A$4542,Übersicht!$C$7,Verweise!$B$2:$B$4542,B23)=1,"Feiertag",IF(C23="Samstag","",IF(C23="Sonntag","",Übersicht!$C$8)))</f>
        <v>Büro</v>
      </c>
      <c r="E23" s="19"/>
      <c r="F23" s="19"/>
      <c r="G23" s="66"/>
      <c r="H23" s="19"/>
      <c r="I23" s="18" t="str">
        <f t="shared" si="1"/>
        <v/>
      </c>
      <c r="J23" s="39" t="str">
        <f>IF(Übersicht!$C$9="Ja",IF(OR(E23=""),"",I23-$M$2/5),IF(OR(E23="",F23=""),"",I23-$M$2/5))</f>
        <v/>
      </c>
      <c r="K23" s="10">
        <f t="shared" ca="1" si="3"/>
        <v>0</v>
      </c>
    </row>
    <row r="24" spans="1:12" x14ac:dyDescent="0.25">
      <c r="A24" s="30">
        <f t="shared" si="0"/>
        <v>0</v>
      </c>
      <c r="B24" s="33">
        <f t="shared" si="4"/>
        <v>44125</v>
      </c>
      <c r="C24" s="1" t="str">
        <f t="shared" si="2"/>
        <v>Dienstag</v>
      </c>
      <c r="D24" s="21" t="str">
        <f>IF(COUNTIFS(Verweise!$A$2:$A$4542,Übersicht!$C$7,Verweise!$B$2:$B$4542,B24)=1,"Feiertag",IF(C24="Samstag","",IF(C24="Sonntag","",Übersicht!$C$8)))</f>
        <v>Büro</v>
      </c>
      <c r="E24" s="19"/>
      <c r="F24" s="19"/>
      <c r="G24" s="67"/>
      <c r="H24" s="19"/>
      <c r="I24" s="18" t="str">
        <f t="shared" si="1"/>
        <v/>
      </c>
      <c r="J24" s="39" t="str">
        <f>IF(Übersicht!$C$9="Ja",IF(OR(E24=""),"",I24-$M$2/5),IF(OR(E24="",F24=""),"",I24-$M$2/5))</f>
        <v/>
      </c>
      <c r="K24" s="10">
        <f t="shared" ca="1" si="3"/>
        <v>0</v>
      </c>
    </row>
    <row r="25" spans="1:12" x14ac:dyDescent="0.25">
      <c r="A25" s="30">
        <f t="shared" si="0"/>
        <v>0</v>
      </c>
      <c r="B25" s="33">
        <f t="shared" si="4"/>
        <v>44126</v>
      </c>
      <c r="C25" s="1" t="str">
        <f t="shared" si="2"/>
        <v>Mittwoch</v>
      </c>
      <c r="D25" s="21" t="str">
        <f>IF(COUNTIFS(Verweise!$A$2:$A$4542,Übersicht!$C$7,Verweise!$B$2:$B$4542,B25)=1,"Feiertag",IF(C25="Samstag","",IF(C25="Sonntag","",Übersicht!$C$8)))</f>
        <v>Büro</v>
      </c>
      <c r="E25" s="19"/>
      <c r="F25" s="19"/>
      <c r="G25" s="67"/>
      <c r="H25" s="19"/>
      <c r="I25" s="18" t="str">
        <f t="shared" si="1"/>
        <v/>
      </c>
      <c r="J25" s="39" t="str">
        <f>IF(Übersicht!$C$9="Ja",IF(OR(E25=""),"",I25-$M$2/5),IF(OR(E25="",F25=""),"",I25-$M$2/5))</f>
        <v/>
      </c>
      <c r="K25" s="10">
        <f t="shared" ca="1" si="3"/>
        <v>0</v>
      </c>
    </row>
    <row r="26" spans="1:12" x14ac:dyDescent="0.25">
      <c r="A26" s="30">
        <f t="shared" si="0"/>
        <v>0</v>
      </c>
      <c r="B26" s="33">
        <f t="shared" si="4"/>
        <v>44127</v>
      </c>
      <c r="C26" s="1" t="str">
        <f t="shared" si="2"/>
        <v>Donnerstag</v>
      </c>
      <c r="D26" s="21" t="str">
        <f>IF(COUNTIFS(Verweise!$A$2:$A$4542,Übersicht!$C$7,Verweise!$B$2:$B$4542,B26)=1,"Feiertag",IF(C26="Samstag","",IF(C26="Sonntag","",Übersicht!$C$8)))</f>
        <v>Büro</v>
      </c>
      <c r="E26" s="19"/>
      <c r="F26" s="19"/>
      <c r="G26" s="67"/>
      <c r="H26" s="19"/>
      <c r="I26" s="18" t="str">
        <f t="shared" si="1"/>
        <v/>
      </c>
      <c r="J26" s="39" t="str">
        <f>IF(Übersicht!$C$9="Ja",IF(OR(E26=""),"",I26-$M$2/5),IF(OR(E26="",F26=""),"",I26-$M$2/5))</f>
        <v/>
      </c>
      <c r="K26" s="10">
        <f t="shared" ca="1" si="3"/>
        <v>0</v>
      </c>
    </row>
    <row r="27" spans="1:12" x14ac:dyDescent="0.25">
      <c r="A27" s="30">
        <f t="shared" si="0"/>
        <v>0</v>
      </c>
      <c r="B27" s="33">
        <f t="shared" si="4"/>
        <v>44128</v>
      </c>
      <c r="C27" s="1" t="str">
        <f t="shared" si="2"/>
        <v>Freitag</v>
      </c>
      <c r="D27" s="21" t="str">
        <f>IF(COUNTIFS(Verweise!$A$2:$A$4542,Übersicht!$C$7,Verweise!$B$2:$B$4542,B27)=1,"Feiertag",IF(C27="Samstag","",IF(C27="Sonntag","",Übersicht!$C$8)))</f>
        <v>Büro</v>
      </c>
      <c r="E27" s="19"/>
      <c r="F27" s="19"/>
      <c r="G27" s="66"/>
      <c r="H27" s="19"/>
      <c r="I27" s="18" t="str">
        <f t="shared" si="1"/>
        <v/>
      </c>
      <c r="J27" s="39" t="str">
        <f>IF(Übersicht!$C$9="Ja",IF(OR(E27=""),"",I27-$M$2/5),IF(OR(E27="",F27=""),"",I27-$M$2/5))</f>
        <v/>
      </c>
      <c r="K27" s="10">
        <f t="shared" ca="1" si="3"/>
        <v>0</v>
      </c>
    </row>
    <row r="28" spans="1:12" x14ac:dyDescent="0.25">
      <c r="A28" s="30">
        <f t="shared" si="0"/>
        <v>0</v>
      </c>
      <c r="B28" s="33">
        <f t="shared" si="4"/>
        <v>44129</v>
      </c>
      <c r="C28" s="1" t="str">
        <f t="shared" si="2"/>
        <v>Samstag</v>
      </c>
      <c r="D28" s="21" t="str">
        <f>IF(COUNTIFS(Verweise!$A$2:$A$4542,Übersicht!$C$7,Verweise!$B$2:$B$4542,B28)=1,"Feiertag",IF(C28="Samstag","",IF(C28="Sonntag","",Übersicht!$C$8)))</f>
        <v/>
      </c>
      <c r="E28" s="19"/>
      <c r="F28" s="19"/>
      <c r="G28" s="66"/>
      <c r="H28" s="19"/>
      <c r="I28" s="18" t="str">
        <f t="shared" si="1"/>
        <v/>
      </c>
      <c r="J28" s="39" t="str">
        <f>IF(Übersicht!$C$9="Ja",IF(OR(E28=""),"",I28-$M$2/5),IF(OR(E28="",F28=""),"",I28-$M$2/5))</f>
        <v/>
      </c>
      <c r="K28" s="10">
        <f t="shared" ca="1" si="3"/>
        <v>0</v>
      </c>
    </row>
    <row r="29" spans="1:12" x14ac:dyDescent="0.25">
      <c r="A29" s="30">
        <f t="shared" si="0"/>
        <v>0</v>
      </c>
      <c r="B29" s="33">
        <f t="shared" si="4"/>
        <v>44130</v>
      </c>
      <c r="C29" s="1" t="str">
        <f t="shared" si="2"/>
        <v>Sonntag</v>
      </c>
      <c r="D29" s="21" t="str">
        <f>IF(COUNTIFS(Verweise!$A$2:$A$4542,Übersicht!$C$7,Verweise!$B$2:$B$4542,B29)=1,"Feiertag",IF(C29="Samstag","",IF(C29="Sonntag","",Übersicht!$C$8)))</f>
        <v/>
      </c>
      <c r="E29" s="19"/>
      <c r="F29" s="19"/>
      <c r="G29" s="66"/>
      <c r="H29" s="19"/>
      <c r="I29" s="18" t="str">
        <f t="shared" si="1"/>
        <v/>
      </c>
      <c r="J29" s="39" t="str">
        <f>IF(Übersicht!$C$9="Ja",IF(OR(E29=""),"",I29-$M$2/5),IF(OR(E29="",F29=""),"",I29-$M$2/5))</f>
        <v/>
      </c>
      <c r="K29" s="10">
        <f t="shared" ca="1" si="3"/>
        <v>0</v>
      </c>
    </row>
    <row r="30" spans="1:12" x14ac:dyDescent="0.25">
      <c r="A30" s="30">
        <f t="shared" si="0"/>
        <v>0</v>
      </c>
      <c r="B30" s="33">
        <f t="shared" si="4"/>
        <v>44131</v>
      </c>
      <c r="C30" s="1" t="str">
        <f t="shared" si="2"/>
        <v>Montag</v>
      </c>
      <c r="D30" s="21" t="str">
        <f>IF(COUNTIFS(Verweise!$A$2:$A$4542,Übersicht!$C$7,Verweise!$B$2:$B$4542,B30)=1,"Feiertag",IF(C30="Samstag","",IF(C30="Sonntag","",Übersicht!$C$8)))</f>
        <v>Büro</v>
      </c>
      <c r="E30" s="19"/>
      <c r="F30" s="19"/>
      <c r="G30" s="67"/>
      <c r="H30" s="19"/>
      <c r="I30" s="18" t="str">
        <f t="shared" si="1"/>
        <v/>
      </c>
      <c r="J30" s="39" t="str">
        <f>IF(Übersicht!$C$9="Ja",IF(OR(E30=""),"",I30-$M$2/5),IF(OR(E30="",F30=""),"",I30-$M$2/5))</f>
        <v/>
      </c>
      <c r="K30" s="10">
        <f t="shared" ca="1" si="3"/>
        <v>0</v>
      </c>
    </row>
    <row r="31" spans="1:12" x14ac:dyDescent="0.25">
      <c r="A31" s="30">
        <f t="shared" si="0"/>
        <v>0</v>
      </c>
      <c r="B31" s="33">
        <f t="shared" si="4"/>
        <v>44132</v>
      </c>
      <c r="C31" s="1" t="str">
        <f t="shared" si="2"/>
        <v>Dienstag</v>
      </c>
      <c r="D31" s="21" t="str">
        <f>IF(COUNTIFS(Verweise!$A$2:$A$4542,Übersicht!$C$7,Verweise!$B$2:$B$4542,B31)=1,"Feiertag",IF(C31="Samstag","",IF(C31="Sonntag","",Übersicht!$C$8)))</f>
        <v>Büro</v>
      </c>
      <c r="E31" s="19"/>
      <c r="F31" s="19"/>
      <c r="G31" s="67"/>
      <c r="H31" s="19"/>
      <c r="I31" s="18" t="str">
        <f t="shared" si="1"/>
        <v/>
      </c>
      <c r="J31" s="39" t="str">
        <f>IF(Übersicht!$C$9="Ja",IF(OR(E31=""),"",I31-$M$2/5),IF(OR(E31="",F31=""),"",I31-$M$2/5))</f>
        <v/>
      </c>
      <c r="K31" s="10">
        <f t="shared" ca="1" si="3"/>
        <v>0</v>
      </c>
    </row>
    <row r="32" spans="1:12" x14ac:dyDescent="0.25">
      <c r="A32" s="30">
        <f t="shared" si="0"/>
        <v>0</v>
      </c>
      <c r="B32" s="33">
        <f t="shared" si="4"/>
        <v>44133</v>
      </c>
      <c r="C32" s="1" t="str">
        <f t="shared" si="2"/>
        <v>Mittwoch</v>
      </c>
      <c r="D32" s="21" t="str">
        <f>IF(COUNTIFS(Verweise!$A$2:$A$4542,Übersicht!$C$7,Verweise!$B$2:$B$4542,B32)=1,"Feiertag",IF(C32="Samstag","",IF(C32="Sonntag","",Übersicht!$C$8)))</f>
        <v>Büro</v>
      </c>
      <c r="E32" s="19"/>
      <c r="F32" s="19"/>
      <c r="G32" s="67"/>
      <c r="H32" s="19"/>
      <c r="I32" s="18" t="str">
        <f t="shared" si="1"/>
        <v/>
      </c>
      <c r="J32" s="39" t="str">
        <f>IF(Übersicht!$C$9="Ja",IF(OR(E32=""),"",I32-$M$2/5),IF(OR(E32="",F32=""),"",I32-$M$2/5))</f>
        <v/>
      </c>
      <c r="K32" s="10">
        <f t="shared" ca="1" si="3"/>
        <v>0</v>
      </c>
    </row>
    <row r="33" spans="1:11" x14ac:dyDescent="0.25">
      <c r="A33" s="30">
        <f t="shared" si="0"/>
        <v>0</v>
      </c>
      <c r="B33" s="33">
        <f t="shared" si="4"/>
        <v>44134</v>
      </c>
      <c r="C33" s="28" t="str">
        <f>TEXT(B33,"TTTT")</f>
        <v>Donnerstag</v>
      </c>
      <c r="D33" s="21" t="str">
        <f>IF(COUNTIFS(Verweise!$A$2:$A$4542,Übersicht!$C$7,Verweise!$B$2:$B$4542,B33)=1,"Feiertag",IF(C33="Samstag","",IF(C33="Sonntag","",Übersicht!$C$8)))</f>
        <v>Büro</v>
      </c>
      <c r="E33" s="19"/>
      <c r="F33" s="19"/>
      <c r="G33" s="66"/>
      <c r="H33" s="19"/>
      <c r="I33" s="18" t="str">
        <f t="shared" si="1"/>
        <v/>
      </c>
      <c r="J33" s="39" t="str">
        <f>IF(Übersicht!$C$9="Ja",IF(OR(E33=""),"",I33-$M$2/5),IF(OR(E33="",F33=""),"",I33-$M$2/5))</f>
        <v/>
      </c>
      <c r="K33" s="10">
        <f t="shared" ca="1" si="3"/>
        <v>0</v>
      </c>
    </row>
    <row r="34" spans="1:11" x14ac:dyDescent="0.25"/>
  </sheetData>
  <conditionalFormatting sqref="B3:C33">
    <cfRule type="expression" dxfId="95" priority="128">
      <formula>OR($C3="Samstag",$C3="Sonntag",$D3="Feiertag")</formula>
    </cfRule>
    <cfRule type="expression" dxfId="94" priority="129">
      <formula>OR($D3="Frei",$D3="Urlaub")</formula>
    </cfRule>
    <cfRule type="expression" dxfId="93" priority="130">
      <formula>$D3="Krank"</formula>
    </cfRule>
  </conditionalFormatting>
  <conditionalFormatting sqref="E33:H33">
    <cfRule type="expression" dxfId="92" priority="112">
      <formula>OR($C33="Samstag",$C33="Sonntag",$D33="Feiertag")</formula>
    </cfRule>
    <cfRule type="expression" dxfId="91" priority="113">
      <formula>OR($D33="Frei",$D33="Urlaub")</formula>
    </cfRule>
    <cfRule type="expression" dxfId="90" priority="114">
      <formula>$D33="Krank"</formula>
    </cfRule>
  </conditionalFormatting>
  <conditionalFormatting sqref="E33:H33">
    <cfRule type="expression" dxfId="89" priority="101">
      <formula>OR($C33="Samstag",$C33="Sonntag",$D33="Feiertag")</formula>
    </cfRule>
    <cfRule type="expression" dxfId="88" priority="102">
      <formula>OR($D33="Frei",$D33="Urlaub")</formula>
    </cfRule>
    <cfRule type="expression" dxfId="87" priority="103">
      <formula>$D33="Krank"</formula>
    </cfRule>
  </conditionalFormatting>
  <conditionalFormatting sqref="E31:H32">
    <cfRule type="expression" dxfId="86" priority="90">
      <formula>OR($C31="Samstag",$C31="Sonntag",$D31="Feiertag")</formula>
    </cfRule>
    <cfRule type="expression" dxfId="85" priority="91">
      <formula>OR($D31="Frei",$D31="Urlaub")</formula>
    </cfRule>
    <cfRule type="expression" dxfId="84" priority="92">
      <formula>$D31="Krank"</formula>
    </cfRule>
  </conditionalFormatting>
  <conditionalFormatting sqref="E4:H32">
    <cfRule type="expression" dxfId="83" priority="79">
      <formula>OR($C4="Samstag",$C4="Sonntag",$D4="Feiertag")</formula>
    </cfRule>
    <cfRule type="expression" dxfId="82" priority="80">
      <formula>OR($D4="Frei",$D4="Urlaub")</formula>
    </cfRule>
    <cfRule type="expression" dxfId="81" priority="81">
      <formula>$D4="Krank"</formula>
    </cfRule>
  </conditionalFormatting>
  <conditionalFormatting sqref="D4:D8 D10:D13 D15:D33">
    <cfRule type="expression" dxfId="80" priority="63">
      <formula>OR($C4="Samstag",$C4="Sonntag",$D4="Feiertag")</formula>
    </cfRule>
    <cfRule type="expression" dxfId="79" priority="64">
      <formula>OR($D4="Frei",$D4="Urlaub")</formula>
    </cfRule>
    <cfRule type="expression" dxfId="78" priority="65">
      <formula>$D4="Krank"</formula>
    </cfRule>
  </conditionalFormatting>
  <conditionalFormatting sqref="D3">
    <cfRule type="expression" dxfId="77" priority="57">
      <formula>OR($C3="Samstag",$C3="Sonntag",$D3="Feiertag")</formula>
    </cfRule>
    <cfRule type="expression" dxfId="76" priority="58">
      <formula>OR($D3="Frei",$D3="Urlaub")</formula>
    </cfRule>
    <cfRule type="expression" dxfId="75" priority="59">
      <formula>$D3="Krank"</formula>
    </cfRule>
  </conditionalFormatting>
  <conditionalFormatting sqref="I3">
    <cfRule type="expression" dxfId="74" priority="43">
      <formula>OR($C3="Samstag",$C3="Sonntag",$D3="Feiertag")</formula>
    </cfRule>
    <cfRule type="expression" dxfId="73" priority="44">
      <formula>OR($D3="Frei",$D3="Urlaub")</formula>
    </cfRule>
    <cfRule type="expression" dxfId="72" priority="45">
      <formula>$D3="Krank"</formula>
    </cfRule>
  </conditionalFormatting>
  <conditionalFormatting sqref="E3:H3">
    <cfRule type="expression" dxfId="71" priority="46">
      <formula>OR($C3="Samstag",$C3="Sonntag",$D3="Feiertag")</formula>
    </cfRule>
    <cfRule type="expression" dxfId="70" priority="47">
      <formula>OR($D3="Frei",$D3="Urlaub")</formula>
    </cfRule>
    <cfRule type="expression" dxfId="69" priority="48">
      <formula>$D3="Krank"</formula>
    </cfRule>
  </conditionalFormatting>
  <conditionalFormatting sqref="I3:I33">
    <cfRule type="expression" dxfId="68" priority="25">
      <formula>OR($C3="Samstag",$C3="Sonntag",$D3="Feiertag")</formula>
    </cfRule>
    <cfRule type="expression" dxfId="67" priority="26">
      <formula>OR($D3="Frei",$D3="Urlaub")</formula>
    </cfRule>
    <cfRule type="expression" dxfId="66" priority="27">
      <formula>$D3="Krank"</formula>
    </cfRule>
  </conditionalFormatting>
  <conditionalFormatting sqref="D9">
    <cfRule type="expression" dxfId="65" priority="22">
      <formula>OR($C9="Samstag",$C9="Sonntag",$D9="Feiertag")</formula>
    </cfRule>
    <cfRule type="expression" dxfId="64" priority="23">
      <formula>OR($D9="Frei",$D9="Urlaub")</formula>
    </cfRule>
    <cfRule type="expression" dxfId="63" priority="24">
      <formula>$D9="Krank"</formula>
    </cfRule>
  </conditionalFormatting>
  <conditionalFormatting sqref="D14">
    <cfRule type="expression" dxfId="62" priority="19">
      <formula>OR($C14="Samstag",$C14="Sonntag",$D14="Feiertag")</formula>
    </cfRule>
    <cfRule type="expression" dxfId="61" priority="20">
      <formula>OR($D14="Frei",$D14="Urlaub")</formula>
    </cfRule>
    <cfRule type="expression" dxfId="60" priority="21">
      <formula>$D14="Krank"</formula>
    </cfRule>
  </conditionalFormatting>
  <conditionalFormatting sqref="D28">
    <cfRule type="expression" dxfId="59" priority="16">
      <formula>OR($C28="Samstag",$C28="Sonntag",$D28="Feiertag")</formula>
    </cfRule>
    <cfRule type="expression" dxfId="58" priority="17">
      <formula>OR($D28="Frei",$D28="Urlaub")</formula>
    </cfRule>
    <cfRule type="expression" dxfId="57" priority="18">
      <formula>$D28="Krank"</formula>
    </cfRule>
  </conditionalFormatting>
  <conditionalFormatting sqref="J3:J33">
    <cfRule type="cellIs" dxfId="56" priority="1" operator="greaterThan">
      <formula>0</formula>
    </cfRule>
    <cfRule type="cellIs" dxfId="55" priority="2" operator="lessThan">
      <formula>0</formula>
    </cfRule>
    <cfRule type="expression" dxfId="54" priority="3">
      <formula>OR($C3="Samstag",$C3="Sonntag",$D3="Feiertag")</formula>
    </cfRule>
    <cfRule type="expression" dxfId="53" priority="4">
      <formula>OR($D3="Frei",$D3="Urlaub")</formula>
    </cfRule>
    <cfRule type="expression" dxfId="52" priority="5">
      <formula>$D3="Krank"</formula>
    </cfRule>
  </conditionalFormatting>
  <pageMargins left="0.7" right="0.7" top="0.78740157499999996" bottom="0.78740157499999996" header="0.3" footer="0.3"/>
  <pageSetup paperSize="9" orientation="portrait" r:id="rId1"/>
  <customProperties>
    <customPr name="ORB_SHEETNAM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51" r:id="rId5" name="Button 15">
              <controlPr defaultSize="0" print="0" autoFill="0" autoPict="0" macro="[0]!TimeStampStart">
                <anchor moveWithCells="1" sizeWithCells="1">
                  <from>
                    <xdr:col>11</xdr:col>
                    <xdr:colOff>0</xdr:colOff>
                    <xdr:row>7</xdr:row>
                    <xdr:rowOff>114300</xdr:rowOff>
                  </from>
                  <to>
                    <xdr:col>11</xdr:col>
                    <xdr:colOff>1428750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6" name="Button 16">
              <controlPr defaultSize="0" print="0" autoFill="0" autoPict="0" macro="[0]!TimeStampEnd">
                <anchor moveWithCells="1" sizeWithCells="1">
                  <from>
                    <xdr:col>11</xdr:col>
                    <xdr:colOff>1590675</xdr:colOff>
                    <xdr:row>7</xdr:row>
                    <xdr:rowOff>104775</xdr:rowOff>
                  </from>
                  <to>
                    <xdr:col>13</xdr:col>
                    <xdr:colOff>19050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" name="Button 17">
              <controlPr defaultSize="0" print="0" autoFill="0" autoPict="0" macro="[0]!PauseStart">
                <anchor moveWithCells="1" sizeWithCells="1">
                  <from>
                    <xdr:col>11</xdr:col>
                    <xdr:colOff>0</xdr:colOff>
                    <xdr:row>9</xdr:row>
                    <xdr:rowOff>152400</xdr:rowOff>
                  </from>
                  <to>
                    <xdr:col>11</xdr:col>
                    <xdr:colOff>1428750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8" name="Button 18">
              <controlPr defaultSize="0" print="0" autoFill="0" autoPict="0" macro="[0]!PauseEnd">
                <anchor moveWithCells="1" sizeWithCells="1">
                  <from>
                    <xdr:col>11</xdr:col>
                    <xdr:colOff>1590675</xdr:colOff>
                    <xdr:row>9</xdr:row>
                    <xdr:rowOff>142875</xdr:rowOff>
                  </from>
                  <to>
                    <xdr:col>13</xdr:col>
                    <xdr:colOff>19050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Verweise!$F$24:$F$30</xm:f>
          </x14:formula1>
          <xm:sqref>D3:D33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2">
    <tabColor theme="3"/>
  </sheetPr>
  <dimension ref="A1:U33"/>
  <sheetViews>
    <sheetView workbookViewId="0">
      <selection activeCell="L22" sqref="L22"/>
    </sheetView>
  </sheetViews>
  <sheetFormatPr defaultColWidth="0" defaultRowHeight="15" zeroHeight="1" x14ac:dyDescent="0.25"/>
  <cols>
    <col min="1" max="1" width="2.7109375" style="7" customWidth="1"/>
    <col min="2" max="2" width="10.7109375" style="7" customWidth="1"/>
    <col min="3" max="3" width="11.5703125" style="7" customWidth="1"/>
    <col min="4" max="4" width="26.42578125" style="7" customWidth="1"/>
    <col min="5" max="5" width="14.42578125" style="7" customWidth="1"/>
    <col min="6" max="7" width="12.140625" style="7" customWidth="1"/>
    <col min="8" max="9" width="13.5703125" style="7" customWidth="1"/>
    <col min="10" max="10" width="14.28515625" style="7" customWidth="1"/>
    <col min="11" max="11" width="2.7109375" style="7" customWidth="1"/>
    <col min="12" max="12" width="33.7109375" style="7" bestFit="1" customWidth="1"/>
    <col min="13" max="13" width="11.42578125" style="7" customWidth="1"/>
    <col min="14" max="14" width="2.7109375" style="7" customWidth="1"/>
    <col min="15" max="21" width="0" style="7" hidden="1" customWidth="1"/>
    <col min="22" max="16384" width="11.42578125" style="7" hidden="1"/>
  </cols>
  <sheetData>
    <row r="1" spans="1:18" x14ac:dyDescent="0.25"/>
    <row r="2" spans="1:18" ht="15.75" thickBot="1" x14ac:dyDescent="0.3">
      <c r="B2" s="16" t="s">
        <v>0</v>
      </c>
      <c r="C2" s="16" t="s">
        <v>1</v>
      </c>
      <c r="D2" s="62" t="s">
        <v>2</v>
      </c>
      <c r="E2" s="62" t="s">
        <v>3</v>
      </c>
      <c r="F2" s="62" t="s">
        <v>4</v>
      </c>
      <c r="G2" s="80" t="s">
        <v>81</v>
      </c>
      <c r="H2" s="64" t="s">
        <v>83</v>
      </c>
      <c r="I2" s="62" t="s">
        <v>5</v>
      </c>
      <c r="J2" s="62" t="s">
        <v>82</v>
      </c>
      <c r="L2" s="3" t="s">
        <v>6</v>
      </c>
      <c r="M2" s="6">
        <f>Übersicht!C2</f>
        <v>1.6666666666666667</v>
      </c>
      <c r="Q2" s="10" t="s">
        <v>30</v>
      </c>
      <c r="R2" s="10" t="s">
        <v>31</v>
      </c>
    </row>
    <row r="3" spans="1:18" x14ac:dyDescent="0.25">
      <c r="A3" s="30">
        <f t="shared" ref="A3:A32" si="0">IF(AND(AND(C3&lt;&gt;"Samstag",C3&lt;&gt;"Sonntag"),OR(D3="Urlaub",D3="Frei",D3="Feiertag",D3="Krank")),1,0)</f>
        <v>1</v>
      </c>
      <c r="B3" s="34" t="str">
        <f>"01.11."&amp;Übersicht!$C$6</f>
        <v>01.11.2024</v>
      </c>
      <c r="C3" s="1" t="str">
        <f>TEXT(B3,"TTTT")</f>
        <v>Freitag</v>
      </c>
      <c r="D3" s="69" t="str">
        <f>IF(COUNTIFS(Verweise!$A$2:$A$4542,Übersicht!$C$7,Verweise!$B$2:$B$4542,B3)=1,"Feiertag",IF(C3="Samstag","",IF(C3="Sonntag","",Übersicht!$C$8)))</f>
        <v>Feiertag</v>
      </c>
      <c r="E3" s="70"/>
      <c r="F3" s="70"/>
      <c r="G3" s="71"/>
      <c r="H3" s="70"/>
      <c r="I3" s="72" t="str">
        <f t="shared" ref="I3:I32" si="1">IF(E3="","",F3-E3-H3)</f>
        <v/>
      </c>
      <c r="J3" s="39" t="str">
        <f>IF(Übersicht!$C$9="Ja",IF(OR(E3=""),"",I3-$M$2/5),IF(OR(E3="",F3=""),"",I3-$M$2/5))</f>
        <v/>
      </c>
      <c r="K3" s="10">
        <f t="shared" ref="K3:K32" ca="1" si="2">IF(B3=TODAY(),ROW(),0)</f>
        <v>0</v>
      </c>
      <c r="L3" s="3" t="str">
        <f>"Ist Arbeitszeit im "&amp;TEXT(B3,"MMMM")</f>
        <v>Ist Arbeitszeit im November</v>
      </c>
      <c r="M3" s="29">
        <f>SUM(I3:I32)</f>
        <v>0</v>
      </c>
      <c r="P3" s="10" t="s">
        <v>24</v>
      </c>
    </row>
    <row r="4" spans="1:18" x14ac:dyDescent="0.25">
      <c r="A4" s="30">
        <f t="shared" si="0"/>
        <v>0</v>
      </c>
      <c r="B4" s="34">
        <f>B3+1</f>
        <v>44136</v>
      </c>
      <c r="C4" s="1" t="str">
        <f t="shared" ref="C4:C32" si="3">TEXT(B4,"TTTT")</f>
        <v>Samstag</v>
      </c>
      <c r="D4" s="21" t="str">
        <f>IF(COUNTIFS(Verweise!$A$2:$A$4542,Übersicht!$C$7,Verweise!$B$2:$B$4542,B4)=1,"Feiertag",IF(C4="Samstag","",IF(C4="Sonntag","",Übersicht!$C$8)))</f>
        <v/>
      </c>
      <c r="E4" s="19"/>
      <c r="F4" s="19"/>
      <c r="G4" s="81"/>
      <c r="H4" s="19"/>
      <c r="I4" s="72" t="str">
        <f t="shared" si="1"/>
        <v/>
      </c>
      <c r="J4" s="39" t="str">
        <f>IF(Übersicht!$C$9="Ja",IF(OR(E4=""),"",I4-$M$2/5),IF(OR(E4="",F4=""),"",I4-$M$2/5))</f>
        <v/>
      </c>
      <c r="K4" s="10">
        <f t="shared" ca="1" si="2"/>
        <v>0</v>
      </c>
      <c r="L4" s="3" t="str">
        <f>"Wochen im "&amp;TEXT(B3,"MMMM")</f>
        <v>Wochen im November</v>
      </c>
      <c r="M4" s="2">
        <f>ROUND(COUNTA(C3:C33)/7,2)</f>
        <v>4.29</v>
      </c>
      <c r="P4" s="10" t="s">
        <v>25</v>
      </c>
    </row>
    <row r="5" spans="1:18" x14ac:dyDescent="0.25">
      <c r="A5" s="30">
        <f t="shared" si="0"/>
        <v>0</v>
      </c>
      <c r="B5" s="34">
        <f t="shared" ref="B5:B32" si="4">B4+1</f>
        <v>44137</v>
      </c>
      <c r="C5" s="1" t="str">
        <f t="shared" si="3"/>
        <v>Sonntag</v>
      </c>
      <c r="D5" s="21" t="str">
        <f>IF(COUNTIFS(Verweise!$A$2:$A$4542,Übersicht!$C$7,Verweise!$B$2:$B$4542,B5)=1,"Feiertag",IF(C5="Samstag","",IF(C5="Sonntag","",Übersicht!$C$8)))</f>
        <v/>
      </c>
      <c r="E5" s="19"/>
      <c r="F5" s="19"/>
      <c r="G5" s="81"/>
      <c r="H5" s="19"/>
      <c r="I5" s="72" t="str">
        <f t="shared" si="1"/>
        <v/>
      </c>
      <c r="J5" s="39" t="str">
        <f>IF(Übersicht!$C$9="Ja",IF(OR(E5=""),"",I5-$M$2/5),IF(OR(E5="",F5=""),"",I5-$M$2/5))</f>
        <v/>
      </c>
      <c r="K5" s="10">
        <f t="shared" ca="1" si="2"/>
        <v>0</v>
      </c>
      <c r="L5" s="3" t="s">
        <v>32</v>
      </c>
      <c r="M5" s="29">
        <f>M4*M2-(SUM(A3:A32)*M2/7)</f>
        <v>6.9119047619047622</v>
      </c>
      <c r="P5" s="10" t="s">
        <v>26</v>
      </c>
    </row>
    <row r="6" spans="1:18" x14ac:dyDescent="0.25">
      <c r="A6" s="30">
        <f t="shared" si="0"/>
        <v>0</v>
      </c>
      <c r="B6" s="34">
        <f t="shared" si="4"/>
        <v>44138</v>
      </c>
      <c r="C6" s="1" t="str">
        <f t="shared" si="3"/>
        <v>Montag</v>
      </c>
      <c r="D6" s="21" t="str">
        <f>IF(COUNTIFS(Verweise!$A$2:$A$4542,Übersicht!$C$7,Verweise!$B$2:$B$4542,B6)=1,"Feiertag",IF(C6="Samstag","",IF(C6="Sonntag","",Übersicht!$C$8)))</f>
        <v>Büro</v>
      </c>
      <c r="E6" s="19"/>
      <c r="F6" s="19"/>
      <c r="G6" s="81"/>
      <c r="H6" s="19"/>
      <c r="I6" s="72" t="str">
        <f t="shared" si="1"/>
        <v/>
      </c>
      <c r="J6" s="39" t="str">
        <f>IF(Übersicht!$C$9="Ja",IF(OR(E6=""),"",I6-$M$2/5),IF(OR(E6="",F6=""),"",I6-$M$2/5))</f>
        <v/>
      </c>
      <c r="K6" s="10">
        <f t="shared" ca="1" si="2"/>
        <v>0</v>
      </c>
      <c r="L6" s="3" t="str">
        <f>IF(M6&lt;0,"Minustunden","Überstunden")</f>
        <v>Überstunden</v>
      </c>
      <c r="M6" s="6">
        <f>SUM(J:J)</f>
        <v>0</v>
      </c>
      <c r="P6" s="10" t="s">
        <v>27</v>
      </c>
    </row>
    <row r="7" spans="1:18" x14ac:dyDescent="0.25">
      <c r="A7" s="30">
        <f t="shared" si="0"/>
        <v>0</v>
      </c>
      <c r="B7" s="34">
        <f t="shared" si="4"/>
        <v>44139</v>
      </c>
      <c r="C7" s="1" t="str">
        <f t="shared" si="3"/>
        <v>Dienstag</v>
      </c>
      <c r="D7" s="21" t="str">
        <f>IF(COUNTIFS(Verweise!$A$2:$A$4542,Übersicht!$C$7,Verweise!$B$2:$B$4542,B7)=1,"Feiertag",IF(C7="Samstag","",IF(C7="Sonntag","",Übersicht!$C$8)))</f>
        <v>Büro</v>
      </c>
      <c r="E7" s="19"/>
      <c r="F7" s="19"/>
      <c r="G7" s="19"/>
      <c r="H7" s="19"/>
      <c r="I7" s="72" t="str">
        <f t="shared" si="1"/>
        <v/>
      </c>
      <c r="J7" s="39" t="str">
        <f>IF(Übersicht!$C$9="Ja",IF(OR(E7=""),"",I7-$M$2/5),IF(OR(E7="",F7=""),"",I7-$M$2/5))</f>
        <v/>
      </c>
      <c r="K7" s="10">
        <f t="shared" ca="1" si="2"/>
        <v>0</v>
      </c>
      <c r="L7" s="3" t="str">
        <f ca="1">IF(M7&lt;0,"Minustunden gesamt","Überstunden gesamt")</f>
        <v>Überstunden gesamt</v>
      </c>
      <c r="M7" s="6">
        <f ca="1">Übersicht!C26</f>
        <v>0</v>
      </c>
      <c r="P7" s="10" t="s">
        <v>28</v>
      </c>
    </row>
    <row r="8" spans="1:18" x14ac:dyDescent="0.25">
      <c r="A8" s="30">
        <f t="shared" si="0"/>
        <v>0</v>
      </c>
      <c r="B8" s="34">
        <f t="shared" si="4"/>
        <v>44140</v>
      </c>
      <c r="C8" s="1" t="str">
        <f t="shared" si="3"/>
        <v>Mittwoch</v>
      </c>
      <c r="D8" s="21" t="str">
        <f>IF(COUNTIFS(Verweise!$A$2:$A$4542,Übersicht!$C$7,Verweise!$B$2:$B$4542,B8)=1,"Feiertag",IF(C8="Samstag","",IF(C8="Sonntag","",Übersicht!$C$8)))</f>
        <v>Büro</v>
      </c>
      <c r="E8" s="19"/>
      <c r="F8" s="19"/>
      <c r="G8" s="19"/>
      <c r="H8" s="19"/>
      <c r="I8" s="72" t="str">
        <f t="shared" si="1"/>
        <v/>
      </c>
      <c r="J8" s="39" t="str">
        <f>IF(Übersicht!$C$9="Ja",IF(OR(E8=""),"",I8-$M$2/5),IF(OR(E8="",F8=""),"",I8-$M$2/5))</f>
        <v/>
      </c>
      <c r="K8" s="10">
        <f t="shared" ca="1" si="2"/>
        <v>0</v>
      </c>
      <c r="P8" s="10" t="s">
        <v>29</v>
      </c>
    </row>
    <row r="9" spans="1:18" x14ac:dyDescent="0.25">
      <c r="A9" s="30">
        <f t="shared" si="0"/>
        <v>0</v>
      </c>
      <c r="B9" s="34">
        <f t="shared" si="4"/>
        <v>44141</v>
      </c>
      <c r="C9" s="1" t="str">
        <f t="shared" si="3"/>
        <v>Donnerstag</v>
      </c>
      <c r="D9" s="21" t="str">
        <f>IF(COUNTIFS(Verweise!$A$2:$A$4542,Übersicht!$C$7,Verweise!$B$2:$B$4542,B9)=1,"Feiertag",IF(C9="Samstag","",IF(C9="Sonntag","",Übersicht!$C$8)))</f>
        <v>Büro</v>
      </c>
      <c r="E9" s="19"/>
      <c r="F9" s="19"/>
      <c r="G9" s="19"/>
      <c r="H9" s="19"/>
      <c r="I9" s="72" t="str">
        <f t="shared" si="1"/>
        <v/>
      </c>
      <c r="J9" s="39" t="str">
        <f>IF(Übersicht!$C$9="Ja",IF(OR(E9=""),"",I9-$M$2/5),IF(OR(E9="",F9=""),"",I9-$M$2/5))</f>
        <v/>
      </c>
      <c r="K9" s="10">
        <f t="shared" ca="1" si="2"/>
        <v>0</v>
      </c>
    </row>
    <row r="10" spans="1:18" x14ac:dyDescent="0.25">
      <c r="A10" s="30">
        <f t="shared" si="0"/>
        <v>0</v>
      </c>
      <c r="B10" s="34">
        <f t="shared" si="4"/>
        <v>44142</v>
      </c>
      <c r="C10" s="1" t="str">
        <f t="shared" si="3"/>
        <v>Freitag</v>
      </c>
      <c r="D10" s="21" t="str">
        <f>IF(COUNTIFS(Verweise!$A$2:$A$4542,Übersicht!$C$7,Verweise!$B$2:$B$4542,B10)=1,"Feiertag",IF(C10="Samstag","",IF(C10="Sonntag","",Übersicht!$C$8)))</f>
        <v>Büro</v>
      </c>
      <c r="E10" s="19"/>
      <c r="F10" s="19"/>
      <c r="G10" s="19"/>
      <c r="H10" s="19"/>
      <c r="I10" s="72" t="str">
        <f t="shared" si="1"/>
        <v/>
      </c>
      <c r="J10" s="39" t="str">
        <f>IF(Übersicht!$C$9="Ja",IF(OR(E10=""),"",I10-$M$2/5),IF(OR(E10="",F10=""),"",I10-$M$2/5))</f>
        <v/>
      </c>
      <c r="K10" s="10">
        <f t="shared" ca="1" si="2"/>
        <v>0</v>
      </c>
    </row>
    <row r="11" spans="1:18" x14ac:dyDescent="0.25">
      <c r="A11" s="30">
        <f t="shared" si="0"/>
        <v>0</v>
      </c>
      <c r="B11" s="34">
        <f t="shared" si="4"/>
        <v>44143</v>
      </c>
      <c r="C11" s="1" t="str">
        <f t="shared" si="3"/>
        <v>Samstag</v>
      </c>
      <c r="D11" s="21" t="str">
        <f>IF(COUNTIFS(Verweise!$A$2:$A$4542,Übersicht!$C$7,Verweise!$B$2:$B$4542,B11)=1,"Feiertag",IF(C11="Samstag","",IF(C11="Sonntag","",Übersicht!$C$8)))</f>
        <v/>
      </c>
      <c r="E11" s="19"/>
      <c r="F11" s="19"/>
      <c r="G11" s="19"/>
      <c r="H11" s="19"/>
      <c r="I11" s="72" t="str">
        <f t="shared" si="1"/>
        <v/>
      </c>
      <c r="J11" s="39" t="str">
        <f>IF(Übersicht!$C$9="Ja",IF(OR(E11=""),"",I11-$M$2/5),IF(OR(E11="",F11=""),"",I11-$M$2/5))</f>
        <v/>
      </c>
      <c r="K11" s="10">
        <f t="shared" ca="1" si="2"/>
        <v>0</v>
      </c>
    </row>
    <row r="12" spans="1:18" x14ac:dyDescent="0.25">
      <c r="A12" s="30">
        <f t="shared" si="0"/>
        <v>0</v>
      </c>
      <c r="B12" s="34">
        <f t="shared" si="4"/>
        <v>44144</v>
      </c>
      <c r="C12" s="1" t="str">
        <f t="shared" si="3"/>
        <v>Sonntag</v>
      </c>
      <c r="D12" s="21" t="str">
        <f>IF(COUNTIFS(Verweise!$A$2:$A$4542,Übersicht!$C$7,Verweise!$B$2:$B$4542,B12)=1,"Feiertag",IF(C12="Samstag","",IF(C12="Sonntag","",Übersicht!$C$8)))</f>
        <v/>
      </c>
      <c r="E12" s="19"/>
      <c r="F12" s="19"/>
      <c r="G12" s="81"/>
      <c r="H12" s="19"/>
      <c r="I12" s="72" t="str">
        <f t="shared" si="1"/>
        <v/>
      </c>
      <c r="J12" s="39" t="str">
        <f>IF(Übersicht!$C$9="Ja",IF(OR(E12=""),"",I12-$M$2/5),IF(OR(E12="",F12=""),"",I12-$M$2/5))</f>
        <v/>
      </c>
      <c r="K12" s="10">
        <f t="shared" ca="1" si="2"/>
        <v>0</v>
      </c>
    </row>
    <row r="13" spans="1:18" x14ac:dyDescent="0.25">
      <c r="A13" s="30">
        <f t="shared" si="0"/>
        <v>0</v>
      </c>
      <c r="B13" s="34">
        <f t="shared" si="4"/>
        <v>44145</v>
      </c>
      <c r="C13" s="1" t="str">
        <f t="shared" si="3"/>
        <v>Montag</v>
      </c>
      <c r="D13" s="21" t="str">
        <f>IF(COUNTIFS(Verweise!$A$2:$A$4542,Übersicht!$C$7,Verweise!$B$2:$B$4542,B13)=1,"Feiertag",IF(C13="Samstag","",IF(C13="Sonntag","",Übersicht!$C$8)))</f>
        <v>Büro</v>
      </c>
      <c r="E13" s="19"/>
      <c r="F13" s="19"/>
      <c r="G13" s="81"/>
      <c r="H13" s="19"/>
      <c r="I13" s="72" t="str">
        <f t="shared" si="1"/>
        <v/>
      </c>
      <c r="J13" s="39" t="str">
        <f>IF(Übersicht!$C$9="Ja",IF(OR(E13=""),"",I13-$M$2/5),IF(OR(E13="",F13=""),"",I13-$M$2/5))</f>
        <v/>
      </c>
      <c r="K13" s="10">
        <f t="shared" ca="1" si="2"/>
        <v>0</v>
      </c>
    </row>
    <row r="14" spans="1:18" x14ac:dyDescent="0.25">
      <c r="A14" s="30">
        <f t="shared" si="0"/>
        <v>0</v>
      </c>
      <c r="B14" s="34">
        <f t="shared" si="4"/>
        <v>44146</v>
      </c>
      <c r="C14" s="1" t="str">
        <f t="shared" si="3"/>
        <v>Dienstag</v>
      </c>
      <c r="D14" s="21" t="str">
        <f>IF(COUNTIFS(Verweise!$A$2:$A$4542,Übersicht!$C$7,Verweise!$B$2:$B$4542,B14)=1,"Feiertag",IF(C14="Samstag","",IF(C14="Sonntag","",Übersicht!$C$8)))</f>
        <v>Büro</v>
      </c>
      <c r="E14" s="19"/>
      <c r="F14" s="19"/>
      <c r="G14" s="19"/>
      <c r="H14" s="19"/>
      <c r="I14" s="72" t="str">
        <f t="shared" si="1"/>
        <v/>
      </c>
      <c r="J14" s="39" t="str">
        <f>IF(Übersicht!$C$9="Ja",IF(OR(E14=""),"",I14-$M$2/5),IF(OR(E14="",F14=""),"",I14-$M$2/5))</f>
        <v/>
      </c>
      <c r="K14" s="10">
        <f t="shared" ca="1" si="2"/>
        <v>0</v>
      </c>
      <c r="L14" s="79" t="s">
        <v>85</v>
      </c>
      <c r="M14" s="22">
        <v>0.49652777777777773</v>
      </c>
    </row>
    <row r="15" spans="1:18" x14ac:dyDescent="0.25">
      <c r="A15" s="30">
        <f t="shared" si="0"/>
        <v>0</v>
      </c>
      <c r="B15" s="34">
        <f t="shared" si="4"/>
        <v>44147</v>
      </c>
      <c r="C15" s="1" t="str">
        <f t="shared" si="3"/>
        <v>Mittwoch</v>
      </c>
      <c r="D15" s="21" t="str">
        <f>IF(COUNTIFS(Verweise!$A$2:$A$4542,Übersicht!$C$7,Verweise!$B$2:$B$4542,B15)=1,"Feiertag",IF(C15="Samstag","",IF(C15="Sonntag","",Übersicht!$C$8)))</f>
        <v>Büro</v>
      </c>
      <c r="E15" s="19"/>
      <c r="F15" s="19"/>
      <c r="G15" s="19"/>
      <c r="H15" s="19"/>
      <c r="I15" s="72" t="str">
        <f t="shared" si="1"/>
        <v/>
      </c>
      <c r="J15" s="39" t="str">
        <f>IF(Übersicht!$C$9="Ja",IF(OR(E15=""),"",I15-$M$2/5),IF(OR(E15="",F15=""),"",I15-$M$2/5))</f>
        <v/>
      </c>
      <c r="K15" s="10">
        <f t="shared" ca="1" si="2"/>
        <v>0</v>
      </c>
      <c r="L15" s="79" t="s">
        <v>86</v>
      </c>
      <c r="M15" s="22">
        <v>0.54166666666666663</v>
      </c>
    </row>
    <row r="16" spans="1:18" x14ac:dyDescent="0.25">
      <c r="A16" s="30">
        <f t="shared" si="0"/>
        <v>0</v>
      </c>
      <c r="B16" s="34">
        <f t="shared" si="4"/>
        <v>44148</v>
      </c>
      <c r="C16" s="1" t="str">
        <f t="shared" si="3"/>
        <v>Donnerstag</v>
      </c>
      <c r="D16" s="21" t="str">
        <f>IF(COUNTIFS(Verweise!$A$2:$A$4542,Übersicht!$C$7,Verweise!$B$2:$B$4542,B16)=1,"Feiertag",IF(C16="Samstag","",IF(C16="Sonntag","",Übersicht!$C$8)))</f>
        <v>Büro</v>
      </c>
      <c r="E16" s="19"/>
      <c r="F16" s="19"/>
      <c r="G16" s="81"/>
      <c r="H16" s="19"/>
      <c r="I16" s="72" t="str">
        <f t="shared" si="1"/>
        <v/>
      </c>
      <c r="J16" s="39" t="str">
        <f>IF(Übersicht!$C$9="Ja",IF(OR(E16=""),"",I16-$M$2/5),IF(OR(E16="",F16=""),"",I16-$M$2/5))</f>
        <v/>
      </c>
      <c r="K16" s="10">
        <f t="shared" ca="1" si="2"/>
        <v>0</v>
      </c>
      <c r="M16" s="22">
        <f>M15-M14</f>
        <v>4.5138888888888895E-2</v>
      </c>
    </row>
    <row r="17" spans="1:12" x14ac:dyDescent="0.25">
      <c r="A17" s="30">
        <f t="shared" si="0"/>
        <v>0</v>
      </c>
      <c r="B17" s="34">
        <f t="shared" si="4"/>
        <v>44149</v>
      </c>
      <c r="C17" s="1" t="str">
        <f t="shared" si="3"/>
        <v>Freitag</v>
      </c>
      <c r="D17" s="21" t="str">
        <f>IF(COUNTIFS(Verweise!$A$2:$A$4542,Übersicht!$C$7,Verweise!$B$2:$B$4542,B17)=1,"Feiertag",IF(C17="Samstag","",IF(C17="Sonntag","",Übersicht!$C$8)))</f>
        <v>Büro</v>
      </c>
      <c r="E17" s="19"/>
      <c r="F17" s="19"/>
      <c r="G17" s="81"/>
      <c r="H17" s="19"/>
      <c r="I17" s="72" t="str">
        <f t="shared" si="1"/>
        <v/>
      </c>
      <c r="J17" s="39" t="str">
        <f>IF(Übersicht!$C$9="Ja",IF(OR(E17=""),"",I17-$M$2/5),IF(OR(E17="",F17=""),"",I17-$M$2/5))</f>
        <v/>
      </c>
      <c r="K17" s="10">
        <f t="shared" ca="1" si="2"/>
        <v>0</v>
      </c>
    </row>
    <row r="18" spans="1:12" x14ac:dyDescent="0.25">
      <c r="A18" s="30">
        <f t="shared" si="0"/>
        <v>0</v>
      </c>
      <c r="B18" s="34">
        <f t="shared" si="4"/>
        <v>44150</v>
      </c>
      <c r="C18" s="1" t="str">
        <f t="shared" si="3"/>
        <v>Samstag</v>
      </c>
      <c r="D18" s="21" t="str">
        <f>IF(COUNTIFS(Verweise!$A$2:$A$4542,Übersicht!$C$7,Verweise!$B$2:$B$4542,B18)=1,"Feiertag",IF(C18="Samstag","",IF(C18="Sonntag","",Übersicht!$C$8)))</f>
        <v/>
      </c>
      <c r="E18" s="19"/>
      <c r="F18" s="19"/>
      <c r="G18" s="81"/>
      <c r="H18" s="19"/>
      <c r="I18" s="72" t="str">
        <f t="shared" si="1"/>
        <v/>
      </c>
      <c r="J18" s="39" t="str">
        <f>IF(Übersicht!$C$9="Ja",IF(OR(E18=""),"",I18-$M$2/5),IF(OR(E18="",F18=""),"",I18-$M$2/5))</f>
        <v/>
      </c>
      <c r="K18" s="10">
        <f t="shared" ca="1" si="2"/>
        <v>0</v>
      </c>
      <c r="L18" s="31"/>
    </row>
    <row r="19" spans="1:12" x14ac:dyDescent="0.25">
      <c r="A19" s="30">
        <f t="shared" si="0"/>
        <v>0</v>
      </c>
      <c r="B19" s="34">
        <f t="shared" si="4"/>
        <v>44151</v>
      </c>
      <c r="C19" s="1" t="str">
        <f t="shared" si="3"/>
        <v>Sonntag</v>
      </c>
      <c r="D19" s="21" t="str">
        <f>IF(COUNTIFS(Verweise!$A$2:$A$4542,Übersicht!$C$7,Verweise!$B$2:$B$4542,B19)=1,"Feiertag",IF(C19="Samstag","",IF(C19="Sonntag","",Übersicht!$C$8)))</f>
        <v/>
      </c>
      <c r="E19" s="19"/>
      <c r="F19" s="19"/>
      <c r="G19" s="81"/>
      <c r="H19" s="19"/>
      <c r="I19" s="72" t="str">
        <f t="shared" si="1"/>
        <v/>
      </c>
      <c r="J19" s="39" t="str">
        <f>IF(Übersicht!$C$9="Ja",IF(OR(E19=""),"",I19-$M$2/5),IF(OR(E19="",F19=""),"",I19-$M$2/5))</f>
        <v/>
      </c>
      <c r="K19" s="10">
        <f t="shared" ca="1" si="2"/>
        <v>0</v>
      </c>
      <c r="L19" s="31"/>
    </row>
    <row r="20" spans="1:12" x14ac:dyDescent="0.25">
      <c r="A20" s="30">
        <f t="shared" si="0"/>
        <v>0</v>
      </c>
      <c r="B20" s="34">
        <f t="shared" si="4"/>
        <v>44152</v>
      </c>
      <c r="C20" s="1" t="str">
        <f t="shared" si="3"/>
        <v>Montag</v>
      </c>
      <c r="D20" s="21" t="str">
        <f>IF(COUNTIFS(Verweise!$A$2:$A$4542,Übersicht!$C$7,Verweise!$B$2:$B$4542,B20)=1,"Feiertag",IF(C20="Samstag","",IF(C20="Sonntag","",Übersicht!$C$8)))</f>
        <v>Büro</v>
      </c>
      <c r="E20" s="19"/>
      <c r="F20" s="19"/>
      <c r="G20" s="81"/>
      <c r="H20" s="19"/>
      <c r="I20" s="72" t="str">
        <f t="shared" si="1"/>
        <v/>
      </c>
      <c r="J20" s="39" t="str">
        <f>IF(Übersicht!$C$9="Ja",IF(OR(E20=""),"",I20-$M$2/5),IF(OR(E20="",F20=""),"",I20-$M$2/5))</f>
        <v/>
      </c>
      <c r="K20" s="10">
        <f t="shared" ca="1" si="2"/>
        <v>0</v>
      </c>
    </row>
    <row r="21" spans="1:12" x14ac:dyDescent="0.25">
      <c r="A21" s="30">
        <f t="shared" si="0"/>
        <v>0</v>
      </c>
      <c r="B21" s="34">
        <f t="shared" si="4"/>
        <v>44153</v>
      </c>
      <c r="C21" s="1" t="str">
        <f t="shared" si="3"/>
        <v>Dienstag</v>
      </c>
      <c r="D21" s="21" t="str">
        <f>IF(COUNTIFS(Verweise!$A$2:$A$4542,Übersicht!$C$7,Verweise!$B$2:$B$4542,B21)=1,"Feiertag",IF(C21="Samstag","",IF(C21="Sonntag","",Übersicht!$C$8)))</f>
        <v>Büro</v>
      </c>
      <c r="E21" s="19"/>
      <c r="F21" s="19"/>
      <c r="G21" s="19"/>
      <c r="H21" s="19"/>
      <c r="I21" s="72" t="str">
        <f t="shared" si="1"/>
        <v/>
      </c>
      <c r="J21" s="39" t="str">
        <f>IF(Übersicht!$C$9="Ja",IF(OR(E21=""),"",I21-$M$2/5),IF(OR(E21="",F21=""),"",I21-$M$2/5))</f>
        <v/>
      </c>
      <c r="K21" s="10">
        <f t="shared" ca="1" si="2"/>
        <v>0</v>
      </c>
    </row>
    <row r="22" spans="1:12" x14ac:dyDescent="0.25">
      <c r="A22" s="30">
        <f t="shared" si="0"/>
        <v>0</v>
      </c>
      <c r="B22" s="34">
        <f t="shared" si="4"/>
        <v>44154</v>
      </c>
      <c r="C22" s="1" t="str">
        <f t="shared" si="3"/>
        <v>Mittwoch</v>
      </c>
      <c r="D22" s="21" t="str">
        <f>IF(COUNTIFS(Verweise!$A$2:$A$4542,Übersicht!$C$7,Verweise!$B$2:$B$4542,B22)=1,"Feiertag",IF(C22="Samstag","",IF(C22="Sonntag","",Übersicht!$C$8)))</f>
        <v>Büro</v>
      </c>
      <c r="E22" s="19"/>
      <c r="F22" s="19"/>
      <c r="G22" s="19"/>
      <c r="H22" s="19"/>
      <c r="I22" s="72" t="str">
        <f t="shared" si="1"/>
        <v/>
      </c>
      <c r="J22" s="39" t="str">
        <f>IF(Übersicht!$C$9="Ja",IF(OR(E22=""),"",I22-$M$2/5),IF(OR(E22="",F22=""),"",I22-$M$2/5))</f>
        <v/>
      </c>
      <c r="K22" s="10">
        <f t="shared" ca="1" si="2"/>
        <v>0</v>
      </c>
    </row>
    <row r="23" spans="1:12" x14ac:dyDescent="0.25">
      <c r="A23" s="30">
        <f t="shared" si="0"/>
        <v>0</v>
      </c>
      <c r="B23" s="34">
        <f t="shared" si="4"/>
        <v>44155</v>
      </c>
      <c r="C23" s="1" t="str">
        <f t="shared" si="3"/>
        <v>Donnerstag</v>
      </c>
      <c r="D23" s="21" t="str">
        <f>IF(COUNTIFS(Verweise!$A$2:$A$4542,Übersicht!$C$7,Verweise!$B$2:$B$4542,B23)=1,"Feiertag",IF(C23="Samstag","",IF(C23="Sonntag","",Übersicht!$C$8)))</f>
        <v>Büro</v>
      </c>
      <c r="E23" s="19"/>
      <c r="F23" s="19"/>
      <c r="G23" s="81"/>
      <c r="H23" s="19"/>
      <c r="I23" s="72" t="str">
        <f t="shared" si="1"/>
        <v/>
      </c>
      <c r="J23" s="39" t="str">
        <f>IF(Übersicht!$C$9="Ja",IF(OR(E23=""),"",I23-$M$2/5),IF(OR(E23="",F23=""),"",I23-$M$2/5))</f>
        <v/>
      </c>
      <c r="K23" s="10">
        <f t="shared" ca="1" si="2"/>
        <v>0</v>
      </c>
    </row>
    <row r="24" spans="1:12" x14ac:dyDescent="0.25">
      <c r="A24" s="30">
        <f t="shared" si="0"/>
        <v>0</v>
      </c>
      <c r="B24" s="34">
        <f t="shared" si="4"/>
        <v>44156</v>
      </c>
      <c r="C24" s="1" t="str">
        <f t="shared" si="3"/>
        <v>Freitag</v>
      </c>
      <c r="D24" s="21" t="str">
        <f>IF(COUNTIFS(Verweise!$A$2:$A$4542,Übersicht!$C$7,Verweise!$B$2:$B$4542,B24)=1,"Feiertag",IF(C24="Samstag","",IF(C24="Sonntag","",Übersicht!$C$8)))</f>
        <v>Büro</v>
      </c>
      <c r="E24" s="19"/>
      <c r="F24" s="19"/>
      <c r="G24" s="81"/>
      <c r="H24" s="19"/>
      <c r="I24" s="72" t="str">
        <f t="shared" si="1"/>
        <v/>
      </c>
      <c r="J24" s="39" t="str">
        <f>IF(Übersicht!$C$9="Ja",IF(OR(E24=""),"",I24-$M$2/5),IF(OR(E24="",F24=""),"",I24-$M$2/5))</f>
        <v/>
      </c>
      <c r="K24" s="10">
        <f t="shared" ca="1" si="2"/>
        <v>0</v>
      </c>
      <c r="L24" s="31"/>
    </row>
    <row r="25" spans="1:12" x14ac:dyDescent="0.25">
      <c r="A25" s="30">
        <f t="shared" si="0"/>
        <v>0</v>
      </c>
      <c r="B25" s="34">
        <f t="shared" si="4"/>
        <v>44157</v>
      </c>
      <c r="C25" s="1" t="str">
        <f t="shared" si="3"/>
        <v>Samstag</v>
      </c>
      <c r="D25" s="21" t="str">
        <f>IF(COUNTIFS(Verweise!$A$2:$A$4542,Übersicht!$C$7,Verweise!$B$2:$B$4542,B25)=1,"Feiertag",IF(C25="Samstag","",IF(C25="Sonntag","",Übersicht!$C$8)))</f>
        <v/>
      </c>
      <c r="E25" s="19"/>
      <c r="F25" s="19"/>
      <c r="G25" s="81"/>
      <c r="H25" s="19"/>
      <c r="I25" s="72" t="str">
        <f t="shared" si="1"/>
        <v/>
      </c>
      <c r="J25" s="39" t="str">
        <f>IF(Übersicht!$C$9="Ja",IF(OR(E25=""),"",I25-$M$2/5),IF(OR(E25="",F25=""),"",I25-$M$2/5))</f>
        <v/>
      </c>
      <c r="K25" s="10">
        <f t="shared" ca="1" si="2"/>
        <v>0</v>
      </c>
      <c r="L25" s="82"/>
    </row>
    <row r="26" spans="1:12" x14ac:dyDescent="0.25">
      <c r="A26" s="30">
        <f t="shared" si="0"/>
        <v>0</v>
      </c>
      <c r="B26" s="34">
        <f t="shared" si="4"/>
        <v>44158</v>
      </c>
      <c r="C26" s="1" t="str">
        <f t="shared" si="3"/>
        <v>Sonntag</v>
      </c>
      <c r="D26" s="21" t="str">
        <f>IF(COUNTIFS(Verweise!$A$2:$A$4542,Übersicht!$C$7,Verweise!$B$2:$B$4542,B26)=1,"Feiertag",IF(C26="Samstag","",IF(C26="Sonntag","",Übersicht!$C$8)))</f>
        <v/>
      </c>
      <c r="E26" s="19"/>
      <c r="F26" s="19"/>
      <c r="G26" s="19"/>
      <c r="H26" s="19"/>
      <c r="I26" s="72" t="str">
        <f t="shared" si="1"/>
        <v/>
      </c>
      <c r="J26" s="39" t="str">
        <f>IF(Übersicht!$C$9="Ja",IF(OR(E26=""),"",I26-$M$2/5),IF(OR(E26="",F26=""),"",I26-$M$2/5))</f>
        <v/>
      </c>
      <c r="K26" s="10">
        <f t="shared" ca="1" si="2"/>
        <v>0</v>
      </c>
    </row>
    <row r="27" spans="1:12" x14ac:dyDescent="0.25">
      <c r="A27" s="30">
        <f t="shared" si="0"/>
        <v>0</v>
      </c>
      <c r="B27" s="34">
        <f t="shared" si="4"/>
        <v>44159</v>
      </c>
      <c r="C27" s="1" t="str">
        <f t="shared" si="3"/>
        <v>Montag</v>
      </c>
      <c r="D27" s="21" t="str">
        <f>IF(COUNTIFS(Verweise!$A$2:$A$4542,Übersicht!$C$7,Verweise!$B$2:$B$4542,B27)=1,"Feiertag",IF(C27="Samstag","",IF(C27="Sonntag","",Übersicht!$C$8)))</f>
        <v>Büro</v>
      </c>
      <c r="E27" s="19"/>
      <c r="F27" s="19"/>
      <c r="G27" s="81"/>
      <c r="H27" s="19"/>
      <c r="I27" s="72" t="str">
        <f t="shared" si="1"/>
        <v/>
      </c>
      <c r="J27" s="39" t="str">
        <f>IF(Übersicht!$C$9="Ja",IF(OR(E27=""),"",I27-$M$2/5),IF(OR(E27="",F27=""),"",I27-$M$2/5))</f>
        <v/>
      </c>
      <c r="K27" s="10">
        <f t="shared" ca="1" si="2"/>
        <v>0</v>
      </c>
    </row>
    <row r="28" spans="1:12" x14ac:dyDescent="0.25">
      <c r="A28" s="30">
        <f t="shared" si="0"/>
        <v>0</v>
      </c>
      <c r="B28" s="34">
        <f t="shared" si="4"/>
        <v>44160</v>
      </c>
      <c r="C28" s="1" t="str">
        <f t="shared" si="3"/>
        <v>Dienstag</v>
      </c>
      <c r="D28" s="21" t="str">
        <f>IF(COUNTIFS(Verweise!$A$2:$A$4542,Übersicht!$C$7,Verweise!$B$2:$B$4542,B28)=1,"Feiertag",IF(C28="Samstag","",IF(C28="Sonntag","",Übersicht!$C$8)))</f>
        <v>Büro</v>
      </c>
      <c r="E28" s="19"/>
      <c r="F28" s="19"/>
      <c r="G28" s="19"/>
      <c r="H28" s="19"/>
      <c r="I28" s="72" t="str">
        <f t="shared" si="1"/>
        <v/>
      </c>
      <c r="J28" s="39" t="str">
        <f>IF(Übersicht!$C$9="Ja",IF(OR(E28=""),"",I28-$M$2/5),IF(OR(E28="",F28=""),"",I28-$M$2/5))</f>
        <v/>
      </c>
      <c r="K28" s="10">
        <f t="shared" ca="1" si="2"/>
        <v>0</v>
      </c>
    </row>
    <row r="29" spans="1:12" x14ac:dyDescent="0.25">
      <c r="A29" s="30">
        <f t="shared" si="0"/>
        <v>0</v>
      </c>
      <c r="B29" s="34">
        <f t="shared" si="4"/>
        <v>44161</v>
      </c>
      <c r="C29" s="1" t="str">
        <f t="shared" si="3"/>
        <v>Mittwoch</v>
      </c>
      <c r="D29" s="21" t="str">
        <f>IF(COUNTIFS(Verweise!$A$2:$A$4542,Übersicht!$C$7,Verweise!$B$2:$B$4542,B29)=1,"Feiertag",IF(C29="Samstag","",IF(C29="Sonntag","",Übersicht!$C$8)))</f>
        <v>Büro</v>
      </c>
      <c r="E29" s="19"/>
      <c r="F29" s="19"/>
      <c r="G29" s="19"/>
      <c r="H29" s="19"/>
      <c r="I29" s="72" t="str">
        <f t="shared" si="1"/>
        <v/>
      </c>
      <c r="J29" s="39" t="str">
        <f>IF(Übersicht!$C$9="Ja",IF(OR(E29=""),"",I29-$M$2/5),IF(OR(E29="",F29=""),"",I29-$M$2/5))</f>
        <v/>
      </c>
      <c r="K29" s="10">
        <f t="shared" ca="1" si="2"/>
        <v>0</v>
      </c>
    </row>
    <row r="30" spans="1:12" x14ac:dyDescent="0.25">
      <c r="A30" s="30">
        <f t="shared" si="0"/>
        <v>0</v>
      </c>
      <c r="B30" s="34">
        <f t="shared" si="4"/>
        <v>44162</v>
      </c>
      <c r="C30" s="1" t="str">
        <f t="shared" si="3"/>
        <v>Donnerstag</v>
      </c>
      <c r="D30" s="21" t="str">
        <f>IF(COUNTIFS(Verweise!$A$2:$A$4542,Übersicht!$C$7,Verweise!$B$2:$B$4542,B30)=1,"Feiertag",IF(C30="Samstag","",IF(C30="Sonntag","",Übersicht!$C$8)))</f>
        <v>Büro</v>
      </c>
      <c r="E30" s="19"/>
      <c r="F30" s="19"/>
      <c r="G30" s="19"/>
      <c r="H30" s="19"/>
      <c r="I30" s="72" t="str">
        <f t="shared" si="1"/>
        <v/>
      </c>
      <c r="J30" s="39" t="str">
        <f>IF(Übersicht!$C$9="Ja",IF(OR(E30=""),"",I30-$M$2/5),IF(OR(E30="",F30=""),"",I30-$M$2/5))</f>
        <v/>
      </c>
      <c r="K30" s="10">
        <f t="shared" ca="1" si="2"/>
        <v>0</v>
      </c>
    </row>
    <row r="31" spans="1:12" x14ac:dyDescent="0.25">
      <c r="A31" s="30">
        <f t="shared" si="0"/>
        <v>0</v>
      </c>
      <c r="B31" s="34">
        <f t="shared" si="4"/>
        <v>44163</v>
      </c>
      <c r="C31" s="1" t="str">
        <f t="shared" si="3"/>
        <v>Freitag</v>
      </c>
      <c r="D31" s="21" t="str">
        <f>IF(COUNTIFS(Verweise!$A$2:$A$4542,Übersicht!$C$7,Verweise!$B$2:$B$4542,B31)=1,"Feiertag",IF(C31="Samstag","",IF(C31="Sonntag","",Übersicht!$C$8)))</f>
        <v>Büro</v>
      </c>
      <c r="E31" s="19"/>
      <c r="F31" s="19"/>
      <c r="G31" s="19"/>
      <c r="H31" s="19"/>
      <c r="I31" s="72" t="str">
        <f t="shared" si="1"/>
        <v/>
      </c>
      <c r="J31" s="39" t="str">
        <f>IF(Übersicht!$C$9="Ja",IF(OR(E31=""),"",I31-$M$2/5),IF(OR(E31="",F31=""),"",I31-$M$2/5))</f>
        <v/>
      </c>
      <c r="K31" s="10">
        <f t="shared" ca="1" si="2"/>
        <v>0</v>
      </c>
    </row>
    <row r="32" spans="1:12" x14ac:dyDescent="0.25">
      <c r="A32" s="30">
        <f t="shared" si="0"/>
        <v>0</v>
      </c>
      <c r="B32" s="34">
        <f t="shared" si="4"/>
        <v>44164</v>
      </c>
      <c r="C32" s="1" t="str">
        <f t="shared" si="3"/>
        <v>Samstag</v>
      </c>
      <c r="D32" s="21" t="str">
        <f>IF(COUNTIFS(Verweise!$A$2:$A$4542,Übersicht!$C$7,Verweise!$B$2:$B$4542,B32)=1,"Feiertag",IF(C32="Samstag","",IF(C32="Sonntag","",Übersicht!$C$8)))</f>
        <v/>
      </c>
      <c r="E32" s="19"/>
      <c r="F32" s="19"/>
      <c r="G32" s="81"/>
      <c r="H32" s="19"/>
      <c r="I32" s="72" t="str">
        <f t="shared" si="1"/>
        <v/>
      </c>
      <c r="J32" s="39" t="str">
        <f>IF(Übersicht!$C$9="Ja",IF(OR(E32=""),"",I32-$M$2/5),IF(OR(E32="",F32=""),"",I32-$M$2/5))</f>
        <v/>
      </c>
      <c r="K32" s="10">
        <f t="shared" ca="1" si="2"/>
        <v>0</v>
      </c>
    </row>
    <row r="33" spans="1:10" x14ac:dyDescent="0.25">
      <c r="A33" s="30"/>
      <c r="J33" s="20"/>
    </row>
  </sheetData>
  <conditionalFormatting sqref="B33:J33 B3:C32">
    <cfRule type="expression" dxfId="51" priority="79">
      <formula>OR($C3="Samstag",$C3="Sonntag",$D3="Feiertag")</formula>
    </cfRule>
    <cfRule type="expression" dxfId="50" priority="80">
      <formula>OR($D3="Frei",$D3="Urlaub")</formula>
    </cfRule>
    <cfRule type="expression" dxfId="49" priority="81">
      <formula>$D3="Krank"</formula>
    </cfRule>
  </conditionalFormatting>
  <conditionalFormatting sqref="E31:H32">
    <cfRule type="expression" dxfId="48" priority="63">
      <formula>OR($C31="Samstag",$C31="Sonntag",$D31="Feiertag")</formula>
    </cfRule>
    <cfRule type="expression" dxfId="47" priority="64">
      <formula>OR($D31="Frei",$D31="Urlaub")</formula>
    </cfRule>
    <cfRule type="expression" dxfId="46" priority="65">
      <formula>$D31="Krank"</formula>
    </cfRule>
  </conditionalFormatting>
  <conditionalFormatting sqref="E4:H32">
    <cfRule type="expression" dxfId="45" priority="52">
      <formula>OR($C4="Samstag",$C4="Sonntag",$D4="Feiertag")</formula>
    </cfRule>
    <cfRule type="expression" dxfId="44" priority="53">
      <formula>OR($D4="Frei",$D4="Urlaub")</formula>
    </cfRule>
    <cfRule type="expression" dxfId="43" priority="54">
      <formula>$D4="Krank"</formula>
    </cfRule>
  </conditionalFormatting>
  <conditionalFormatting sqref="D5:D32">
    <cfRule type="expression" dxfId="42" priority="36">
      <formula>OR($C5="Samstag",$C5="Sonntag",$D5="Feiertag")</formula>
    </cfRule>
    <cfRule type="expression" dxfId="41" priority="37">
      <formula>OR($D5="Frei",$D5="Urlaub")</formula>
    </cfRule>
    <cfRule type="expression" dxfId="40" priority="38">
      <formula>$D5="Krank"</formula>
    </cfRule>
  </conditionalFormatting>
  <conditionalFormatting sqref="D3">
    <cfRule type="expression" dxfId="39" priority="33">
      <formula>OR($C3="Samstag",$C3="Sonntag",$D3="Feiertag")</formula>
    </cfRule>
    <cfRule type="expression" dxfId="38" priority="34">
      <formula>OR($D3="Frei",$D3="Urlaub")</formula>
    </cfRule>
    <cfRule type="expression" dxfId="37" priority="35">
      <formula>$D3="Krank"</formula>
    </cfRule>
  </conditionalFormatting>
  <conditionalFormatting sqref="E3:H3">
    <cfRule type="expression" dxfId="36" priority="30">
      <formula>OR($C3="Samstag",$C3="Sonntag",$D3="Feiertag")</formula>
    </cfRule>
    <cfRule type="expression" dxfId="35" priority="31">
      <formula>OR($D3="Frei",$D3="Urlaub")</formula>
    </cfRule>
    <cfRule type="expression" dxfId="34" priority="32">
      <formula>$D3="Krank"</formula>
    </cfRule>
  </conditionalFormatting>
  <conditionalFormatting sqref="I3:I32">
    <cfRule type="expression" dxfId="33" priority="9">
      <formula>OR($C3="Samstag",$C3="Sonntag",$D3="Feiertag")</formula>
    </cfRule>
    <cfRule type="expression" dxfId="32" priority="10">
      <formula>OR($D3="Frei",$D3="Urlaub")</formula>
    </cfRule>
    <cfRule type="expression" dxfId="31" priority="11">
      <formula>$D3="Krank"</formula>
    </cfRule>
  </conditionalFormatting>
  <conditionalFormatting sqref="D4">
    <cfRule type="expression" dxfId="30" priority="6">
      <formula>OR($C4="Samstag",$C4="Sonntag",$D4="Feiertag")</formula>
    </cfRule>
    <cfRule type="expression" dxfId="29" priority="7">
      <formula>OR($D4="Frei",$D4="Urlaub")</formula>
    </cfRule>
    <cfRule type="expression" dxfId="28" priority="8">
      <formula>$D4="Krank"</formula>
    </cfRule>
  </conditionalFormatting>
  <conditionalFormatting sqref="J3:J32">
    <cfRule type="cellIs" dxfId="27" priority="1" operator="greaterThan">
      <formula>0</formula>
    </cfRule>
    <cfRule type="cellIs" dxfId="26" priority="2" operator="lessThan">
      <formula>0</formula>
    </cfRule>
    <cfRule type="expression" dxfId="25" priority="3">
      <formula>OR($C3="Samstag",$C3="Sonntag",$D3="Feiertag")</formula>
    </cfRule>
    <cfRule type="expression" dxfId="24" priority="4">
      <formula>OR($D3="Frei",$D3="Urlaub")</formula>
    </cfRule>
    <cfRule type="expression" dxfId="23" priority="5">
      <formula>$D3="Krank"</formula>
    </cfRule>
  </conditionalFormatting>
  <pageMargins left="0.7" right="0.7" top="0.78740157499999996" bottom="0.78740157499999996" header="0.3" footer="0.3"/>
  <customProperties>
    <customPr name="ORB_SHEETNAME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5" r:id="rId4" name="Button 15">
              <controlPr defaultSize="0" print="0" autoFill="0" autoPict="0" macro="[0]!TimeStampStart">
                <anchor moveWithCells="1" sizeWithCells="1">
                  <from>
                    <xdr:col>11</xdr:col>
                    <xdr:colOff>28575</xdr:colOff>
                    <xdr:row>7</xdr:row>
                    <xdr:rowOff>114300</xdr:rowOff>
                  </from>
                  <to>
                    <xdr:col>11</xdr:col>
                    <xdr:colOff>1457325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5" name="Button 16">
              <controlPr defaultSize="0" print="0" autoFill="0" autoPict="0" macro="[0]!TimeStampEnd">
                <anchor moveWithCells="1" sizeWithCells="1">
                  <from>
                    <xdr:col>11</xdr:col>
                    <xdr:colOff>1590675</xdr:colOff>
                    <xdr:row>7</xdr:row>
                    <xdr:rowOff>104775</xdr:rowOff>
                  </from>
                  <to>
                    <xdr:col>13</xdr:col>
                    <xdr:colOff>19050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6" name="Button 17">
              <controlPr defaultSize="0" print="0" autoFill="0" autoPict="0" macro="[0]!PauseStart">
                <anchor moveWithCells="1" sizeWithCells="1">
                  <from>
                    <xdr:col>11</xdr:col>
                    <xdr:colOff>28575</xdr:colOff>
                    <xdr:row>9</xdr:row>
                    <xdr:rowOff>152400</xdr:rowOff>
                  </from>
                  <to>
                    <xdr:col>11</xdr:col>
                    <xdr:colOff>1457325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7" name="Button 18">
              <controlPr defaultSize="0" print="0" autoFill="0" autoPict="0" macro="[0]!PauseEnd">
                <anchor moveWithCells="1" sizeWithCells="1">
                  <from>
                    <xdr:col>11</xdr:col>
                    <xdr:colOff>1590675</xdr:colOff>
                    <xdr:row>9</xdr:row>
                    <xdr:rowOff>142875</xdr:rowOff>
                  </from>
                  <to>
                    <xdr:col>13</xdr:col>
                    <xdr:colOff>19050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Verweise!$F$24:$F$30</xm:f>
          </x14:formula1>
          <xm:sqref>D3:D32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3">
    <tabColor theme="4" tint="0.79998168889431442"/>
  </sheetPr>
  <dimension ref="A1:V34"/>
  <sheetViews>
    <sheetView workbookViewId="0">
      <selection activeCell="L30" sqref="L30"/>
    </sheetView>
  </sheetViews>
  <sheetFormatPr defaultColWidth="0" defaultRowHeight="15" zeroHeight="1" x14ac:dyDescent="0.25"/>
  <cols>
    <col min="1" max="1" width="2.7109375" style="7" customWidth="1"/>
    <col min="2" max="2" width="10.7109375" style="7" customWidth="1"/>
    <col min="3" max="3" width="11.5703125" style="7" customWidth="1"/>
    <col min="4" max="4" width="26.42578125" style="7" customWidth="1"/>
    <col min="5" max="5" width="14.42578125" style="7" customWidth="1"/>
    <col min="6" max="7" width="12.140625" style="7" customWidth="1"/>
    <col min="8" max="9" width="13.5703125" style="7" customWidth="1"/>
    <col min="10" max="10" width="14.28515625" style="7" customWidth="1"/>
    <col min="11" max="11" width="2.7109375" style="7" customWidth="1"/>
    <col min="12" max="12" width="33.7109375" style="7" bestFit="1" customWidth="1"/>
    <col min="13" max="13" width="11.42578125" style="7" customWidth="1"/>
    <col min="14" max="14" width="2.7109375" style="7" customWidth="1"/>
    <col min="15" max="22" width="0" style="7" hidden="1" customWidth="1"/>
    <col min="23" max="16384" width="11.42578125" style="7" hidden="1"/>
  </cols>
  <sheetData>
    <row r="1" spans="1:18" x14ac:dyDescent="0.25"/>
    <row r="2" spans="1:18" ht="15.75" thickBot="1" x14ac:dyDescent="0.3">
      <c r="B2" s="16" t="s">
        <v>0</v>
      </c>
      <c r="C2" s="16" t="s">
        <v>1</v>
      </c>
      <c r="D2" s="16" t="s">
        <v>2</v>
      </c>
      <c r="E2" s="62" t="s">
        <v>3</v>
      </c>
      <c r="F2" s="62" t="s">
        <v>4</v>
      </c>
      <c r="G2" s="63" t="s">
        <v>81</v>
      </c>
      <c r="H2" s="64" t="s">
        <v>83</v>
      </c>
      <c r="I2" s="62" t="s">
        <v>5</v>
      </c>
      <c r="J2" s="62" t="s">
        <v>82</v>
      </c>
      <c r="L2" s="3" t="s">
        <v>6</v>
      </c>
      <c r="M2" s="6">
        <f>Übersicht!C2</f>
        <v>1.6666666666666667</v>
      </c>
      <c r="Q2" s="10" t="s">
        <v>30</v>
      </c>
      <c r="R2" s="10" t="s">
        <v>31</v>
      </c>
    </row>
    <row r="3" spans="1:18" x14ac:dyDescent="0.25">
      <c r="A3" s="30">
        <f t="shared" ref="A3:A33" si="0">IF(AND(AND(C3&lt;&gt;"Samstag",C3&lt;&gt;"Sonntag"),OR(D3="Urlaub",D3="Frei",D3="Feiertag",D3="Krank")),1,0)</f>
        <v>0</v>
      </c>
      <c r="B3" s="34">
        <f>("01.12."&amp;Übersicht!$C$6)*1</f>
        <v>44165</v>
      </c>
      <c r="C3" s="1" t="str">
        <f>TEXT(B3,"TTTT")</f>
        <v>Sonntag</v>
      </c>
      <c r="D3" s="21" t="s">
        <v>28</v>
      </c>
      <c r="E3" s="70"/>
      <c r="F3" s="70"/>
      <c r="G3" s="71"/>
      <c r="H3" s="70"/>
      <c r="I3" s="72" t="str">
        <f t="shared" ref="I3:I33" si="1">IF(E3="","",F3-E3-H3)</f>
        <v/>
      </c>
      <c r="J3" s="39" t="str">
        <f>IF(Übersicht!$C$9="Ja",IF(OR(E3=""),"",I3-$M$2/5),IF(OR(E3="",F3=""),"",I3-$M$2/5))</f>
        <v/>
      </c>
      <c r="K3" s="10">
        <f t="shared" ref="K3:K33" ca="1" si="2">IF(B3=TODAY(),ROW(),0)</f>
        <v>0</v>
      </c>
      <c r="L3" s="3" t="str">
        <f>"Ist Arbeitszeit im "&amp;TEXT(B3,"MMMM")</f>
        <v>Ist Arbeitszeit im Dezember</v>
      </c>
      <c r="M3" s="29">
        <f>SUM(I3:I32)</f>
        <v>0</v>
      </c>
      <c r="P3" s="10" t="s">
        <v>24</v>
      </c>
    </row>
    <row r="4" spans="1:18" x14ac:dyDescent="0.25">
      <c r="A4" s="30">
        <f t="shared" si="0"/>
        <v>0</v>
      </c>
      <c r="B4" s="34">
        <f>B3+1</f>
        <v>44166</v>
      </c>
      <c r="C4" s="1" t="str">
        <f t="shared" ref="C4:C33" si="3">TEXT(B4,"TTTT")</f>
        <v>Montag</v>
      </c>
      <c r="D4" s="21" t="str">
        <f>IF(COUNTIFS(Verweise!$A$2:$A$4542,Übersicht!$C$7,Verweise!$B$2:$B$4542,B4)=1,"Feiertag",IF(C4="Samstag","",IF(C4="Sonntag","",Übersicht!$C$8)))</f>
        <v>Büro</v>
      </c>
      <c r="E4" s="19"/>
      <c r="F4" s="19"/>
      <c r="G4" s="81"/>
      <c r="H4" s="19"/>
      <c r="I4" s="72" t="str">
        <f t="shared" si="1"/>
        <v/>
      </c>
      <c r="J4" s="39" t="str">
        <f>IF(Übersicht!$C$9="Ja",IF(OR(E4=""),"",I4-$M$2/5),IF(OR(E4="",F4=""),"",I4-$M$2/5))</f>
        <v/>
      </c>
      <c r="K4" s="10">
        <f t="shared" ca="1" si="2"/>
        <v>0</v>
      </c>
      <c r="L4" s="3" t="str">
        <f>"Wochen im "&amp;TEXT(B3,"MMMM")</f>
        <v>Wochen im Dezember</v>
      </c>
      <c r="M4" s="2">
        <f>ROUND(COUNTA(C3:C33)/7,2)</f>
        <v>4.43</v>
      </c>
      <c r="P4" s="10" t="s">
        <v>25</v>
      </c>
    </row>
    <row r="5" spans="1:18" x14ac:dyDescent="0.25">
      <c r="A5" s="30">
        <f t="shared" si="0"/>
        <v>0</v>
      </c>
      <c r="B5" s="34">
        <f t="shared" ref="B5:B33" si="4">B4+1</f>
        <v>44167</v>
      </c>
      <c r="C5" s="1" t="str">
        <f t="shared" si="3"/>
        <v>Dienstag</v>
      </c>
      <c r="D5" s="21" t="str">
        <f>IF(COUNTIFS(Verweise!$A$2:$A$4542,Übersicht!$C$7,Verweise!$B$2:$B$4542,B5)=1,"Feiertag",IF(C5="Samstag","",IF(C5="Sonntag","",Übersicht!$C$8)))</f>
        <v>Büro</v>
      </c>
      <c r="E5" s="19"/>
      <c r="F5" s="19"/>
      <c r="G5" s="19"/>
      <c r="H5" s="19"/>
      <c r="I5" s="72" t="str">
        <f t="shared" si="1"/>
        <v/>
      </c>
      <c r="J5" s="39" t="str">
        <f>IF(Übersicht!$C$9="Ja",IF(OR(E5=""),"",I5-$M$2/5),IF(OR(E5="",F5=""),"",I5-$M$2/5))</f>
        <v/>
      </c>
      <c r="K5" s="10">
        <f t="shared" ca="1" si="2"/>
        <v>0</v>
      </c>
      <c r="L5" s="3" t="s">
        <v>32</v>
      </c>
      <c r="M5" s="29">
        <f>M4*M2-(SUM(A3:A32)*M2/7)</f>
        <v>6.9071428571428566</v>
      </c>
      <c r="P5" s="10" t="s">
        <v>26</v>
      </c>
    </row>
    <row r="6" spans="1:18" x14ac:dyDescent="0.25">
      <c r="A6" s="30">
        <f t="shared" si="0"/>
        <v>0</v>
      </c>
      <c r="B6" s="34">
        <f t="shared" si="4"/>
        <v>44168</v>
      </c>
      <c r="C6" s="1" t="str">
        <f t="shared" si="3"/>
        <v>Mittwoch</v>
      </c>
      <c r="D6" s="21" t="str">
        <f>IF(COUNTIFS(Verweise!$A$2:$A$4542,Übersicht!$C$7,Verweise!$B$2:$B$4542,B6)=1,"Feiertag",IF(C6="Samstag","",IF(C6="Sonntag","",Übersicht!$C$8)))</f>
        <v>Büro</v>
      </c>
      <c r="E6" s="19"/>
      <c r="F6" s="19"/>
      <c r="G6" s="19"/>
      <c r="H6" s="19"/>
      <c r="I6" s="72" t="str">
        <f t="shared" si="1"/>
        <v/>
      </c>
      <c r="J6" s="39" t="str">
        <f>IF(Übersicht!$C$9="Ja",IF(OR(E6=""),"",I6-$M$2/5),IF(OR(E6="",F6=""),"",I6-$M$2/5))</f>
        <v/>
      </c>
      <c r="K6" s="10">
        <f t="shared" ca="1" si="2"/>
        <v>0</v>
      </c>
      <c r="L6" s="3" t="str">
        <f>IF(M6&lt;0,"Minustunden","Überstunden")</f>
        <v>Überstunden</v>
      </c>
      <c r="M6" s="6">
        <f>SUM(J:J)</f>
        <v>0</v>
      </c>
      <c r="P6" s="10" t="s">
        <v>27</v>
      </c>
    </row>
    <row r="7" spans="1:18" x14ac:dyDescent="0.25">
      <c r="A7" s="30">
        <f t="shared" si="0"/>
        <v>0</v>
      </c>
      <c r="B7" s="34">
        <f t="shared" si="4"/>
        <v>44169</v>
      </c>
      <c r="C7" s="1" t="str">
        <f t="shared" si="3"/>
        <v>Donnerstag</v>
      </c>
      <c r="D7" s="21" t="str">
        <f>IF(COUNTIFS(Verweise!$A$2:$A$4542,Übersicht!$C$7,Verweise!$B$2:$B$4542,B7)=1,"Feiertag",IF(C7="Samstag","",IF(C7="Sonntag","",Übersicht!$C$8)))</f>
        <v>Büro</v>
      </c>
      <c r="E7" s="19"/>
      <c r="F7" s="19"/>
      <c r="G7" s="81"/>
      <c r="H7" s="19"/>
      <c r="I7" s="72" t="str">
        <f t="shared" si="1"/>
        <v/>
      </c>
      <c r="J7" s="39" t="str">
        <f>IF(Übersicht!$C$9="Ja",IF(OR(E7=""),"",I7-$M$2/5),IF(OR(E7="",F7=""),"",I7-$M$2/5))</f>
        <v/>
      </c>
      <c r="K7" s="10">
        <f t="shared" ca="1" si="2"/>
        <v>0</v>
      </c>
      <c r="L7" s="3" t="str">
        <f ca="1">IF(M7&lt;0,"Minustunden gesamt","Überstunden gesamt")</f>
        <v>Überstunden gesamt</v>
      </c>
      <c r="M7" s="6">
        <f ca="1">Übersicht!C26</f>
        <v>0</v>
      </c>
      <c r="P7" s="10" t="s">
        <v>28</v>
      </c>
    </row>
    <row r="8" spans="1:18" x14ac:dyDescent="0.25">
      <c r="A8" s="30">
        <f t="shared" si="0"/>
        <v>0</v>
      </c>
      <c r="B8" s="34">
        <f t="shared" si="4"/>
        <v>44170</v>
      </c>
      <c r="C8" s="1" t="str">
        <f t="shared" si="3"/>
        <v>Freitag</v>
      </c>
      <c r="D8" s="21" t="str">
        <f>IF(COUNTIFS(Verweise!$A$2:$A$4542,Übersicht!$C$7,Verweise!$B$2:$B$4542,B8)=1,"Feiertag",IF(C8="Samstag","",IF(C8="Sonntag","",Übersicht!$C$8)))</f>
        <v>Büro</v>
      </c>
      <c r="E8" s="19"/>
      <c r="F8" s="19"/>
      <c r="G8" s="81"/>
      <c r="H8" s="19"/>
      <c r="I8" s="72" t="str">
        <f t="shared" si="1"/>
        <v/>
      </c>
      <c r="J8" s="39" t="str">
        <f>IF(Übersicht!$C$9="Ja",IF(OR(E8=""),"",I8-$M$2/5),IF(OR(E8="",F8=""),"",I8-$M$2/5))</f>
        <v/>
      </c>
      <c r="K8" s="10">
        <f t="shared" ca="1" si="2"/>
        <v>0</v>
      </c>
      <c r="P8" s="10" t="s">
        <v>29</v>
      </c>
    </row>
    <row r="9" spans="1:18" x14ac:dyDescent="0.25">
      <c r="A9" s="30">
        <f t="shared" si="0"/>
        <v>0</v>
      </c>
      <c r="B9" s="34">
        <f t="shared" si="4"/>
        <v>44171</v>
      </c>
      <c r="C9" s="1" t="str">
        <f t="shared" si="3"/>
        <v>Samstag</v>
      </c>
      <c r="D9" s="21" t="str">
        <f>IF(COUNTIFS(Verweise!$A$2:$A$4542,Übersicht!$C$7,Verweise!$B$2:$B$4542,B9)=1,"Feiertag",IF(C9="Samstag","",IF(C9="Sonntag","",Übersicht!$C$8)))</f>
        <v/>
      </c>
      <c r="E9" s="19"/>
      <c r="F9" s="19"/>
      <c r="G9" s="19"/>
      <c r="H9" s="19"/>
      <c r="I9" s="72" t="str">
        <f t="shared" si="1"/>
        <v/>
      </c>
      <c r="J9" s="39" t="str">
        <f>IF(Übersicht!$C$9="Ja",IF(OR(E9=""),"",I9-$M$2/5),IF(OR(E9="",F9=""),"",I9-$M$2/5))</f>
        <v/>
      </c>
      <c r="K9" s="10">
        <f t="shared" ca="1" si="2"/>
        <v>0</v>
      </c>
    </row>
    <row r="10" spans="1:18" x14ac:dyDescent="0.25">
      <c r="A10" s="30">
        <f t="shared" si="0"/>
        <v>0</v>
      </c>
      <c r="B10" s="34">
        <f t="shared" si="4"/>
        <v>44172</v>
      </c>
      <c r="C10" s="1" t="str">
        <f t="shared" si="3"/>
        <v>Sonntag</v>
      </c>
      <c r="D10" s="21" t="str">
        <f>IF(COUNTIFS(Verweise!$A$2:$A$4542,Übersicht!$C$7,Verweise!$B$2:$B$4542,B10)=1,"Feiertag",IF(C10="Samstag","",IF(C10="Sonntag","",Übersicht!$C$8)))</f>
        <v/>
      </c>
      <c r="E10" s="19"/>
      <c r="F10" s="19"/>
      <c r="G10" s="19"/>
      <c r="H10" s="19"/>
      <c r="I10" s="72" t="str">
        <f t="shared" si="1"/>
        <v/>
      </c>
      <c r="J10" s="39" t="str">
        <f>IF(Übersicht!$C$9="Ja",IF(OR(E10=""),"",I10-$M$2/5),IF(OR(E10="",F10=""),"",I10-$M$2/5))</f>
        <v/>
      </c>
      <c r="K10" s="10">
        <f t="shared" ca="1" si="2"/>
        <v>0</v>
      </c>
    </row>
    <row r="11" spans="1:18" x14ac:dyDescent="0.25">
      <c r="A11" s="30">
        <f t="shared" si="0"/>
        <v>0</v>
      </c>
      <c r="B11" s="34">
        <f t="shared" si="4"/>
        <v>44173</v>
      </c>
      <c r="C11" s="1" t="str">
        <f t="shared" si="3"/>
        <v>Montag</v>
      </c>
      <c r="D11" s="21" t="str">
        <f>IF(COUNTIFS(Verweise!$A$2:$A$4542,Übersicht!$C$7,Verweise!$B$2:$B$4542,B11)=1,"Feiertag",IF(C11="Samstag","",IF(C11="Sonntag","",Übersicht!$C$8)))</f>
        <v>Büro</v>
      </c>
      <c r="E11" s="19"/>
      <c r="F11" s="19"/>
      <c r="G11" s="19"/>
      <c r="H11" s="19"/>
      <c r="I11" s="72" t="str">
        <f t="shared" si="1"/>
        <v/>
      </c>
      <c r="J11" s="39" t="str">
        <f>IF(Übersicht!$C$9="Ja",IF(OR(E11=""),"",I11-$M$2/5),IF(OR(E11="",F11=""),"",I11-$M$2/5))</f>
        <v/>
      </c>
      <c r="K11" s="10">
        <f t="shared" ca="1" si="2"/>
        <v>0</v>
      </c>
    </row>
    <row r="12" spans="1:18" x14ac:dyDescent="0.25">
      <c r="A12" s="30">
        <f t="shared" si="0"/>
        <v>0</v>
      </c>
      <c r="B12" s="34">
        <f t="shared" si="4"/>
        <v>44174</v>
      </c>
      <c r="C12" s="1" t="str">
        <f t="shared" si="3"/>
        <v>Dienstag</v>
      </c>
      <c r="D12" s="21" t="str">
        <f>IF(COUNTIFS(Verweise!$A$2:$A$4542,Übersicht!$C$7,Verweise!$B$2:$B$4542,B12)=1,"Feiertag",IF(C12="Samstag","",IF(C12="Sonntag","",Übersicht!$C$8)))</f>
        <v>Büro</v>
      </c>
      <c r="E12" s="19"/>
      <c r="F12" s="19"/>
      <c r="G12" s="19"/>
      <c r="H12" s="19"/>
      <c r="I12" s="72" t="str">
        <f t="shared" si="1"/>
        <v/>
      </c>
      <c r="J12" s="39" t="str">
        <f>IF(Übersicht!$C$9="Ja",IF(OR(E12=""),"",I12-$M$2/5),IF(OR(E12="",F12=""),"",I12-$M$2/5))</f>
        <v/>
      </c>
      <c r="K12" s="10">
        <f t="shared" ca="1" si="2"/>
        <v>0</v>
      </c>
    </row>
    <row r="13" spans="1:18" x14ac:dyDescent="0.25">
      <c r="A13" s="30">
        <f t="shared" si="0"/>
        <v>0</v>
      </c>
      <c r="B13" s="34">
        <f t="shared" si="4"/>
        <v>44175</v>
      </c>
      <c r="C13" s="1" t="str">
        <f t="shared" si="3"/>
        <v>Mittwoch</v>
      </c>
      <c r="D13" s="21" t="str">
        <f>IF(COUNTIFS(Verweise!$A$2:$A$4542,Übersicht!$C$7,Verweise!$B$2:$B$4542,B13)=1,"Feiertag",IF(C13="Samstag","",IF(C13="Sonntag","",Übersicht!$C$8)))</f>
        <v>Büro</v>
      </c>
      <c r="E13" s="19"/>
      <c r="F13" s="19"/>
      <c r="G13" s="19"/>
      <c r="H13" s="19"/>
      <c r="I13" s="72" t="str">
        <f t="shared" si="1"/>
        <v/>
      </c>
      <c r="J13" s="39" t="str">
        <f>IF(Übersicht!$C$9="Ja",IF(OR(E13=""),"",I13-$M$2/5),IF(OR(E13="",F13=""),"",I13-$M$2/5))</f>
        <v/>
      </c>
      <c r="K13" s="10">
        <f t="shared" ca="1" si="2"/>
        <v>0</v>
      </c>
    </row>
    <row r="14" spans="1:18" x14ac:dyDescent="0.25">
      <c r="A14" s="30">
        <f t="shared" si="0"/>
        <v>0</v>
      </c>
      <c r="B14" s="34">
        <f t="shared" si="4"/>
        <v>44176</v>
      </c>
      <c r="C14" s="1" t="str">
        <f t="shared" si="3"/>
        <v>Donnerstag</v>
      </c>
      <c r="D14" s="21" t="str">
        <f>IF(COUNTIFS(Verweise!$A$2:$A$4542,Übersicht!$C$7,Verweise!$B$2:$B$4542,B14)=1,"Feiertag",IF(C14="Samstag","",IF(C14="Sonntag","",Übersicht!$C$8)))</f>
        <v>Büro</v>
      </c>
      <c r="E14" s="19"/>
      <c r="F14" s="19"/>
      <c r="G14" s="19"/>
      <c r="H14" s="19"/>
      <c r="I14" s="72" t="str">
        <f t="shared" si="1"/>
        <v/>
      </c>
      <c r="J14" s="39" t="str">
        <f>IF(Übersicht!$C$9="Ja",IF(OR(E14=""),"",I14-$M$2/5),IF(OR(E14="",F14=""),"",I14-$M$2/5))</f>
        <v/>
      </c>
      <c r="K14" s="10">
        <f t="shared" ca="1" si="2"/>
        <v>0</v>
      </c>
      <c r="L14" s="79" t="s">
        <v>85</v>
      </c>
      <c r="M14" s="22">
        <v>0.52013888888888882</v>
      </c>
    </row>
    <row r="15" spans="1:18" x14ac:dyDescent="0.25">
      <c r="A15" s="30">
        <f t="shared" si="0"/>
        <v>0</v>
      </c>
      <c r="B15" s="34">
        <f t="shared" si="4"/>
        <v>44177</v>
      </c>
      <c r="C15" s="1" t="str">
        <f t="shared" si="3"/>
        <v>Freitag</v>
      </c>
      <c r="D15" s="21" t="str">
        <f>IF(COUNTIFS(Verweise!$A$2:$A$4542,Übersicht!$C$7,Verweise!$B$2:$B$4542,B15)=1,"Feiertag",IF(C15="Samstag","",IF(C15="Sonntag","",Übersicht!$C$8)))</f>
        <v>Büro</v>
      </c>
      <c r="E15" s="19"/>
      <c r="F15" s="19"/>
      <c r="G15" s="19"/>
      <c r="H15" s="19"/>
      <c r="I15" s="72" t="str">
        <f t="shared" si="1"/>
        <v/>
      </c>
      <c r="J15" s="39" t="str">
        <f>IF(Übersicht!$C$9="Ja",IF(OR(E15=""),"",I15-$M$2/5),IF(OR(E15="",F15=""),"",I15-$M$2/5))</f>
        <v/>
      </c>
      <c r="K15" s="10">
        <f t="shared" ca="1" si="2"/>
        <v>0</v>
      </c>
      <c r="L15" s="79" t="s">
        <v>86</v>
      </c>
      <c r="M15" s="22">
        <v>0.54652777777777783</v>
      </c>
    </row>
    <row r="16" spans="1:18" x14ac:dyDescent="0.25">
      <c r="A16" s="30">
        <f t="shared" si="0"/>
        <v>0</v>
      </c>
      <c r="B16" s="34">
        <f t="shared" si="4"/>
        <v>44178</v>
      </c>
      <c r="C16" s="1" t="str">
        <f t="shared" si="3"/>
        <v>Samstag</v>
      </c>
      <c r="D16" s="21" t="str">
        <f>IF(COUNTIFS(Verweise!$A$2:$A$4542,Übersicht!$C$7,Verweise!$B$2:$B$4542,B16)=1,"Feiertag",IF(C16="Samstag","",IF(C16="Sonntag","",Übersicht!$C$8)))</f>
        <v/>
      </c>
      <c r="E16" s="19"/>
      <c r="F16" s="19"/>
      <c r="G16" s="19"/>
      <c r="H16" s="19"/>
      <c r="I16" s="72" t="str">
        <f t="shared" si="1"/>
        <v/>
      </c>
      <c r="J16" s="39" t="str">
        <f>IF(Übersicht!$C$9="Ja",IF(OR(E16=""),"",I16-$M$2/5),IF(OR(E16="",F16=""),"",I16-$M$2/5))</f>
        <v/>
      </c>
      <c r="K16" s="10">
        <f t="shared" ca="1" si="2"/>
        <v>0</v>
      </c>
      <c r="M16" s="22">
        <f>M15-M14</f>
        <v>2.6388888888889017E-2</v>
      </c>
    </row>
    <row r="17" spans="1:13" x14ac:dyDescent="0.25">
      <c r="A17" s="30">
        <f t="shared" si="0"/>
        <v>0</v>
      </c>
      <c r="B17" s="34">
        <f t="shared" si="4"/>
        <v>44179</v>
      </c>
      <c r="C17" s="1" t="str">
        <f t="shared" si="3"/>
        <v>Sonntag</v>
      </c>
      <c r="D17" s="21" t="str">
        <f>IF(COUNTIFS(Verweise!$A$2:$A$4542,Übersicht!$C$7,Verweise!$B$2:$B$4542,B17)=1,"Feiertag",IF(C17="Samstag","",IF(C17="Sonntag","",Übersicht!$C$8)))</f>
        <v/>
      </c>
      <c r="E17" s="19"/>
      <c r="F17" s="19"/>
      <c r="G17" s="19"/>
      <c r="H17" s="19"/>
      <c r="I17" s="72" t="str">
        <f t="shared" si="1"/>
        <v/>
      </c>
      <c r="J17" s="39" t="str">
        <f>IF(Übersicht!$C$9="Ja",IF(OR(E17=""),"",I17-$M$2/5),IF(OR(E17="",F17=""),"",I17-$M$2/5))</f>
        <v/>
      </c>
      <c r="K17" s="10">
        <f t="shared" ca="1" si="2"/>
        <v>0</v>
      </c>
      <c r="M17" s="22"/>
    </row>
    <row r="18" spans="1:13" x14ac:dyDescent="0.25">
      <c r="A18" s="30">
        <f t="shared" si="0"/>
        <v>0</v>
      </c>
      <c r="B18" s="34">
        <f t="shared" si="4"/>
        <v>44180</v>
      </c>
      <c r="C18" s="1" t="str">
        <f t="shared" si="3"/>
        <v>Montag</v>
      </c>
      <c r="D18" s="21" t="str">
        <f>IF(COUNTIFS(Verweise!$A$2:$A$4542,Übersicht!$C$7,Verweise!$B$2:$B$4542,B18)=1,"Feiertag",IF(C18="Samstag","",IF(C18="Sonntag","",Übersicht!$C$8)))</f>
        <v>Büro</v>
      </c>
      <c r="E18" s="19"/>
      <c r="F18" s="19"/>
      <c r="G18" s="19"/>
      <c r="H18" s="19"/>
      <c r="I18" s="72" t="str">
        <f t="shared" si="1"/>
        <v/>
      </c>
      <c r="J18" s="39" t="str">
        <f>IF(Übersicht!$C$9="Ja",IF(OR(E18=""),"",I18-$M$2/5),IF(OR(E18="",F18=""),"",I18-$M$2/5))</f>
        <v/>
      </c>
      <c r="K18" s="10">
        <f t="shared" ca="1" si="2"/>
        <v>0</v>
      </c>
      <c r="M18" s="22"/>
    </row>
    <row r="19" spans="1:13" x14ac:dyDescent="0.25">
      <c r="A19" s="30">
        <f t="shared" si="0"/>
        <v>0</v>
      </c>
      <c r="B19" s="34">
        <f t="shared" si="4"/>
        <v>44181</v>
      </c>
      <c r="C19" s="1" t="str">
        <f t="shared" si="3"/>
        <v>Dienstag</v>
      </c>
      <c r="D19" s="21" t="str">
        <f>IF(COUNTIFS(Verweise!$A$2:$A$4542,Übersicht!$C$7,Verweise!$B$2:$B$4542,B19)=1,"Feiertag",IF(C19="Samstag","",IF(C19="Sonntag","",Übersicht!$C$8)))</f>
        <v>Büro</v>
      </c>
      <c r="E19" s="19"/>
      <c r="F19" s="19"/>
      <c r="G19" s="19"/>
      <c r="H19" s="19"/>
      <c r="I19" s="72" t="str">
        <f t="shared" si="1"/>
        <v/>
      </c>
      <c r="J19" s="39" t="str">
        <f>IF(Übersicht!$C$9="Ja",IF(OR(E19=""),"",I19-$M$2/5),IF(OR(E19="",F19=""),"",I19-$M$2/5))</f>
        <v/>
      </c>
      <c r="K19" s="10">
        <f t="shared" ca="1" si="2"/>
        <v>0</v>
      </c>
      <c r="M19" s="22"/>
    </row>
    <row r="20" spans="1:13" x14ac:dyDescent="0.25">
      <c r="A20" s="30">
        <f t="shared" si="0"/>
        <v>0</v>
      </c>
      <c r="B20" s="34">
        <f t="shared" si="4"/>
        <v>44182</v>
      </c>
      <c r="C20" s="1" t="str">
        <f t="shared" si="3"/>
        <v>Mittwoch</v>
      </c>
      <c r="D20" s="21" t="s">
        <v>33</v>
      </c>
      <c r="E20" s="19"/>
      <c r="F20" s="19"/>
      <c r="G20" s="19"/>
      <c r="H20" s="19"/>
      <c r="I20" s="72" t="str">
        <f t="shared" si="1"/>
        <v/>
      </c>
      <c r="J20" s="39" t="str">
        <f>IF(Übersicht!$C$9="Ja",IF(OR(E20=""),"",I20-$M$2/5),IF(OR(E20="",F20=""),"",I20-$M$2/5))</f>
        <v/>
      </c>
      <c r="K20" s="10">
        <f t="shared" ca="1" si="2"/>
        <v>0</v>
      </c>
      <c r="M20" s="22"/>
    </row>
    <row r="21" spans="1:13" x14ac:dyDescent="0.25">
      <c r="A21" s="30">
        <f t="shared" si="0"/>
        <v>0</v>
      </c>
      <c r="B21" s="34">
        <f t="shared" si="4"/>
        <v>44183</v>
      </c>
      <c r="C21" s="1" t="str">
        <f t="shared" si="3"/>
        <v>Donnerstag</v>
      </c>
      <c r="D21" s="21" t="s">
        <v>33</v>
      </c>
      <c r="E21" s="19"/>
      <c r="F21" s="19"/>
      <c r="G21" s="19"/>
      <c r="H21" s="19"/>
      <c r="I21" s="72" t="str">
        <f t="shared" si="1"/>
        <v/>
      </c>
      <c r="J21" s="39" t="str">
        <f>IF(Übersicht!$C$9="Ja",IF(OR(E21=""),"",I21-$M$2/5),IF(OR(E21="",F21=""),"",I21-$M$2/5))</f>
        <v/>
      </c>
      <c r="K21" s="10">
        <f t="shared" ca="1" si="2"/>
        <v>0</v>
      </c>
    </row>
    <row r="22" spans="1:13" x14ac:dyDescent="0.25">
      <c r="A22" s="30">
        <f t="shared" si="0"/>
        <v>0</v>
      </c>
      <c r="B22" s="34">
        <f t="shared" si="4"/>
        <v>44184</v>
      </c>
      <c r="C22" s="1" t="str">
        <f t="shared" si="3"/>
        <v>Freitag</v>
      </c>
      <c r="D22" s="21" t="s">
        <v>33</v>
      </c>
      <c r="E22" s="19"/>
      <c r="F22" s="19"/>
      <c r="G22" s="19"/>
      <c r="H22" s="19"/>
      <c r="I22" s="72" t="str">
        <f t="shared" si="1"/>
        <v/>
      </c>
      <c r="J22" s="39" t="str">
        <f>IF(Übersicht!$C$9="Ja",IF(OR(E22=""),"",I22-$M$2/5),IF(OR(E22="",F22=""),"",I22-$M$2/5))</f>
        <v/>
      </c>
      <c r="K22" s="10">
        <f t="shared" ca="1" si="2"/>
        <v>0</v>
      </c>
    </row>
    <row r="23" spans="1:13" x14ac:dyDescent="0.25">
      <c r="A23" s="30">
        <f t="shared" si="0"/>
        <v>0</v>
      </c>
      <c r="B23" s="34">
        <f t="shared" si="4"/>
        <v>44185</v>
      </c>
      <c r="C23" s="1" t="str">
        <f t="shared" si="3"/>
        <v>Samstag</v>
      </c>
      <c r="D23" s="21" t="s">
        <v>33</v>
      </c>
      <c r="E23" s="19"/>
      <c r="F23" s="19"/>
      <c r="G23" s="19"/>
      <c r="H23" s="19"/>
      <c r="I23" s="72" t="str">
        <f t="shared" si="1"/>
        <v/>
      </c>
      <c r="J23" s="39" t="str">
        <f>IF(Übersicht!$C$9="Ja",IF(OR(E23=""),"",I23-$M$2/5),IF(OR(E23="",F23=""),"",I23-$M$2/5))</f>
        <v/>
      </c>
      <c r="K23" s="10">
        <f t="shared" ca="1" si="2"/>
        <v>0</v>
      </c>
    </row>
    <row r="24" spans="1:13" x14ac:dyDescent="0.25">
      <c r="A24" s="30">
        <f t="shared" si="0"/>
        <v>0</v>
      </c>
      <c r="B24" s="34">
        <f t="shared" si="4"/>
        <v>44186</v>
      </c>
      <c r="C24" s="1" t="str">
        <f t="shared" si="3"/>
        <v>Sonntag</v>
      </c>
      <c r="D24" s="21" t="s">
        <v>33</v>
      </c>
      <c r="E24" s="19"/>
      <c r="F24" s="19"/>
      <c r="G24" s="19"/>
      <c r="H24" s="19"/>
      <c r="I24" s="72" t="str">
        <f t="shared" si="1"/>
        <v/>
      </c>
      <c r="J24" s="39" t="str">
        <f>IF(Übersicht!$C$9="Ja",IF(OR(E24=""),"",I24-$M$2/5),IF(OR(E24="",F24=""),"",I24-$M$2/5))</f>
        <v/>
      </c>
      <c r="K24" s="10">
        <f t="shared" ca="1" si="2"/>
        <v>0</v>
      </c>
    </row>
    <row r="25" spans="1:13" x14ac:dyDescent="0.25">
      <c r="A25" s="30">
        <f t="shared" si="0"/>
        <v>0</v>
      </c>
      <c r="B25" s="34">
        <f t="shared" si="4"/>
        <v>44187</v>
      </c>
      <c r="C25" s="1" t="str">
        <f t="shared" si="3"/>
        <v>Montag</v>
      </c>
      <c r="D25" s="21" t="str">
        <f>IF(COUNTIFS(Verweise!$A$2:$A$4542,Übersicht!$C$7,Verweise!$B$2:$B$4542,B25)=1,"Feiertag",IF(C25="Samstag","",IF(C25="Sonntag","",Übersicht!$C$8)))</f>
        <v>Büro</v>
      </c>
      <c r="E25" s="19"/>
      <c r="F25" s="19"/>
      <c r="G25" s="19"/>
      <c r="H25" s="19"/>
      <c r="I25" s="72" t="str">
        <f t="shared" si="1"/>
        <v/>
      </c>
      <c r="J25" s="39" t="str">
        <f>IF(Übersicht!$C$9="Ja",IF(OR(E25=""),"",I25-$M$2/5),IF(OR(E25="",F25=""),"",I25-$M$2/5))</f>
        <v/>
      </c>
      <c r="K25" s="10">
        <f t="shared" ca="1" si="2"/>
        <v>0</v>
      </c>
    </row>
    <row r="26" spans="1:13" x14ac:dyDescent="0.25">
      <c r="A26" s="30">
        <f t="shared" si="0"/>
        <v>0</v>
      </c>
      <c r="B26" s="34">
        <f t="shared" si="4"/>
        <v>44188</v>
      </c>
      <c r="C26" s="1" t="str">
        <f t="shared" si="3"/>
        <v>Dienstag</v>
      </c>
      <c r="D26" s="21" t="str">
        <f>IF(COUNTIFS(Verweise!$A$2:$A$4542,Übersicht!$C$7,Verweise!$B$2:$B$4542,B26)=1,"Feiertag",IF(C26="Samstag","",IF(C26="Sonntag","",Übersicht!$C$8)))</f>
        <v>Büro</v>
      </c>
      <c r="E26" s="19"/>
      <c r="F26" s="19"/>
      <c r="G26" s="19"/>
      <c r="H26" s="19"/>
      <c r="I26" s="72" t="str">
        <f t="shared" si="1"/>
        <v/>
      </c>
      <c r="J26" s="39" t="str">
        <f>IF(Übersicht!$C$9="Ja",IF(OR(E26=""),"",I26-$M$2/5),IF(OR(E26="",F26=""),"",I26-$M$2/5))</f>
        <v/>
      </c>
      <c r="K26" s="10">
        <f t="shared" ca="1" si="2"/>
        <v>0</v>
      </c>
    </row>
    <row r="27" spans="1:13" x14ac:dyDescent="0.25">
      <c r="A27" s="30">
        <f t="shared" si="0"/>
        <v>1</v>
      </c>
      <c r="B27" s="34">
        <f t="shared" si="4"/>
        <v>44189</v>
      </c>
      <c r="C27" s="1" t="str">
        <f t="shared" si="3"/>
        <v>Mittwoch</v>
      </c>
      <c r="D27" s="21" t="str">
        <f>IF(COUNTIFS(Verweise!$A$2:$A$4542,Übersicht!$C$7,Verweise!$B$2:$B$4542,B27)=1,"Feiertag",IF(C27="Samstag","",IF(C27="Sonntag","",Übersicht!$C$8)))</f>
        <v>Feiertag</v>
      </c>
      <c r="E27" s="19"/>
      <c r="F27" s="19"/>
      <c r="G27" s="19"/>
      <c r="H27" s="19"/>
      <c r="I27" s="72" t="str">
        <f t="shared" si="1"/>
        <v/>
      </c>
      <c r="J27" s="39" t="str">
        <f>IF(Übersicht!$C$9="Ja",IF(OR(E27=""),"",I27-$M$2/5),IF(OR(E27="",F27=""),"",I27-$M$2/5))</f>
        <v/>
      </c>
      <c r="K27" s="10">
        <f t="shared" ca="1" si="2"/>
        <v>0</v>
      </c>
    </row>
    <row r="28" spans="1:13" x14ac:dyDescent="0.25">
      <c r="A28" s="30">
        <f t="shared" si="0"/>
        <v>1</v>
      </c>
      <c r="B28" s="34">
        <f t="shared" si="4"/>
        <v>44190</v>
      </c>
      <c r="C28" s="1" t="str">
        <f t="shared" si="3"/>
        <v>Donnerstag</v>
      </c>
      <c r="D28" s="21" t="str">
        <f>IF(COUNTIFS(Verweise!$A$2:$A$4542,Übersicht!$C$7,Verweise!$B$2:$B$4542,B28)=1,"Feiertag",IF(C28="Samstag","",IF(C28="Sonntag","",Übersicht!$C$8)))</f>
        <v>Feiertag</v>
      </c>
      <c r="E28" s="19"/>
      <c r="F28" s="19"/>
      <c r="G28" s="19"/>
      <c r="H28" s="19"/>
      <c r="I28" s="72" t="str">
        <f t="shared" si="1"/>
        <v/>
      </c>
      <c r="J28" s="39" t="str">
        <f>IF(Übersicht!$C$9="Ja",IF(OR(E28=""),"",I28-$M$2/5),IF(OR(E28="",F28=""),"",I28-$M$2/5))</f>
        <v/>
      </c>
      <c r="K28" s="10">
        <f t="shared" ca="1" si="2"/>
        <v>0</v>
      </c>
    </row>
    <row r="29" spans="1:13" x14ac:dyDescent="0.25">
      <c r="A29" s="30">
        <f t="shared" si="0"/>
        <v>0</v>
      </c>
      <c r="B29" s="34">
        <f t="shared" si="4"/>
        <v>44191</v>
      </c>
      <c r="C29" s="1" t="str">
        <f t="shared" si="3"/>
        <v>Freitag</v>
      </c>
      <c r="D29" s="21" t="str">
        <f>IF(COUNTIFS(Verweise!$A$2:$A$4542,Übersicht!$C$7,Verweise!$B$2:$B$4542,B29)=1,"Feiertag",IF(C29="Samstag","",IF(C29="Sonntag","",Übersicht!$C$8)))</f>
        <v>Büro</v>
      </c>
      <c r="E29" s="19"/>
      <c r="F29" s="19"/>
      <c r="G29" s="19"/>
      <c r="H29" s="19"/>
      <c r="I29" s="72" t="str">
        <f t="shared" si="1"/>
        <v/>
      </c>
      <c r="J29" s="39" t="str">
        <f>IF(Übersicht!$C$9="Ja",IF(OR(E29=""),"",I29-$M$2/5),IF(OR(E29="",F29=""),"",I29-$M$2/5))</f>
        <v/>
      </c>
      <c r="K29" s="10">
        <f t="shared" ca="1" si="2"/>
        <v>0</v>
      </c>
    </row>
    <row r="30" spans="1:13" x14ac:dyDescent="0.25">
      <c r="A30" s="30">
        <f t="shared" si="0"/>
        <v>0</v>
      </c>
      <c r="B30" s="34">
        <f t="shared" si="4"/>
        <v>44192</v>
      </c>
      <c r="C30" s="1" t="str">
        <f t="shared" si="3"/>
        <v>Samstag</v>
      </c>
      <c r="D30" s="21" t="str">
        <f>IF(COUNTIFS(Verweise!$A$2:$A$4542,Übersicht!$C$7,Verweise!$B$2:$B$4542,B30)=1,"Feiertag",IF(C30="Samstag","",IF(C30="Sonntag","",Übersicht!$C$8)))</f>
        <v/>
      </c>
      <c r="E30" s="19"/>
      <c r="F30" s="19"/>
      <c r="G30" s="19"/>
      <c r="H30" s="19"/>
      <c r="I30" s="72" t="str">
        <f t="shared" si="1"/>
        <v/>
      </c>
      <c r="J30" s="39" t="str">
        <f>IF(Übersicht!$C$9="Ja",IF(OR(E30=""),"",I30-$M$2/5),IF(OR(E30="",F30=""),"",I30-$M$2/5))</f>
        <v/>
      </c>
      <c r="K30" s="10">
        <f t="shared" ca="1" si="2"/>
        <v>0</v>
      </c>
    </row>
    <row r="31" spans="1:13" x14ac:dyDescent="0.25">
      <c r="A31" s="30">
        <f t="shared" si="0"/>
        <v>0</v>
      </c>
      <c r="B31" s="34">
        <f t="shared" si="4"/>
        <v>44193</v>
      </c>
      <c r="C31" s="1" t="str">
        <f t="shared" si="3"/>
        <v>Sonntag</v>
      </c>
      <c r="D31" s="21" t="str">
        <f>IF(COUNTIFS(Verweise!$A$2:$A$4542,Übersicht!$C$7,Verweise!$B$2:$B$4542,B31)=1,"Feiertag",IF(C31="Samstag","",IF(C31="Sonntag","",Übersicht!$C$8)))</f>
        <v/>
      </c>
      <c r="E31" s="19"/>
      <c r="F31" s="19"/>
      <c r="G31" s="19"/>
      <c r="H31" s="19"/>
      <c r="I31" s="72" t="str">
        <f t="shared" si="1"/>
        <v/>
      </c>
      <c r="J31" s="39" t="str">
        <f>IF(Übersicht!$C$9="Ja",IF(OR(E31=""),"",I31-$M$2/5),IF(OR(E31="",F31=""),"",I31-$M$2/5))</f>
        <v/>
      </c>
      <c r="K31" s="10">
        <f t="shared" ca="1" si="2"/>
        <v>0</v>
      </c>
    </row>
    <row r="32" spans="1:13" x14ac:dyDescent="0.25">
      <c r="A32" s="30">
        <f t="shared" si="0"/>
        <v>0</v>
      </c>
      <c r="B32" s="34">
        <f t="shared" si="4"/>
        <v>44194</v>
      </c>
      <c r="C32" s="1" t="str">
        <f t="shared" si="3"/>
        <v>Montag</v>
      </c>
      <c r="D32" s="21" t="str">
        <f>IF(COUNTIFS(Verweise!$A$2:$A$4542,Übersicht!$C$7,Verweise!$B$2:$B$4542,B32)=1,"Feiertag",IF(C32="Samstag","",IF(C32="Sonntag","",Übersicht!$C$8)))</f>
        <v>Büro</v>
      </c>
      <c r="E32" s="19"/>
      <c r="F32" s="19"/>
      <c r="G32" s="19"/>
      <c r="H32" s="19"/>
      <c r="I32" s="72" t="str">
        <f t="shared" si="1"/>
        <v/>
      </c>
      <c r="J32" s="39" t="str">
        <f>IF(Übersicht!$C$9="Ja",IF(OR(E32=""),"",I32-$M$2/5),IF(OR(E32="",F32=""),"",I32-$M$2/5))</f>
        <v/>
      </c>
      <c r="K32" s="10">
        <f t="shared" ca="1" si="2"/>
        <v>0</v>
      </c>
    </row>
    <row r="33" spans="1:11" x14ac:dyDescent="0.25">
      <c r="A33" s="30">
        <f t="shared" si="0"/>
        <v>0</v>
      </c>
      <c r="B33" s="34">
        <f t="shared" si="4"/>
        <v>44195</v>
      </c>
      <c r="C33" s="1" t="str">
        <f t="shared" si="3"/>
        <v>Dienstag</v>
      </c>
      <c r="D33" s="21" t="str">
        <f>IF(COUNTIFS(Verweise!$A$2:$A$4542,Übersicht!$C$7,Verweise!$B$2:$B$4542,B33)=1,"Feiertag",IF(C33="Samstag","",IF(C33="Sonntag","",Übersicht!$C$8)))</f>
        <v>Büro</v>
      </c>
      <c r="E33" s="19"/>
      <c r="F33" s="19"/>
      <c r="G33" s="19"/>
      <c r="H33" s="19"/>
      <c r="I33" s="72" t="str">
        <f t="shared" si="1"/>
        <v/>
      </c>
      <c r="J33" s="39" t="str">
        <f>IF(Übersicht!$C$9="Ja",IF(OR(E33=""),"",I33-$M$2/5),IF(OR(E33="",F33=""),"",I33-$M$2/5))</f>
        <v/>
      </c>
      <c r="K33" s="10">
        <f t="shared" ca="1" si="2"/>
        <v>0</v>
      </c>
    </row>
    <row r="34" spans="1:11" x14ac:dyDescent="0.25"/>
  </sheetData>
  <conditionalFormatting sqref="B3:C33">
    <cfRule type="expression" dxfId="22" priority="90">
      <formula>OR($C3="Samstag",$C3="Sonntag",$D3="Feiertag")</formula>
    </cfRule>
    <cfRule type="expression" dxfId="21" priority="91">
      <formula>OR($D3="Frei",$D3="Urlaub")</formula>
    </cfRule>
    <cfRule type="expression" dxfId="20" priority="92">
      <formula>$D3="Krank"</formula>
    </cfRule>
  </conditionalFormatting>
  <conditionalFormatting sqref="E33:I33 E31:H32">
    <cfRule type="expression" dxfId="19" priority="74">
      <formula>OR($C31="Samstag",$C31="Sonntag",$D31="Feiertag")</formula>
    </cfRule>
    <cfRule type="expression" dxfId="18" priority="75">
      <formula>OR($D31="Frei",$D31="Urlaub")</formula>
    </cfRule>
    <cfRule type="expression" dxfId="17" priority="76">
      <formula>$D31="Krank"</formula>
    </cfRule>
  </conditionalFormatting>
  <conditionalFormatting sqref="E33:I33 E4:H32">
    <cfRule type="expression" dxfId="16" priority="63">
      <formula>OR($C4="Samstag",$C4="Sonntag",$D4="Feiertag")</formula>
    </cfRule>
    <cfRule type="expression" dxfId="15" priority="64">
      <formula>OR($D4="Frei",$D4="Urlaub")</formula>
    </cfRule>
    <cfRule type="expression" dxfId="14" priority="65">
      <formula>$D4="Krank"</formula>
    </cfRule>
  </conditionalFormatting>
  <conditionalFormatting sqref="D3:D33">
    <cfRule type="expression" dxfId="13" priority="47">
      <formula>OR($C3="Samstag",$C3="Sonntag",$D3="Feiertag")</formula>
    </cfRule>
    <cfRule type="expression" dxfId="12" priority="48">
      <formula>OR($D3="Frei",$D3="Urlaub")</formula>
    </cfRule>
    <cfRule type="expression" dxfId="11" priority="49">
      <formula>$D3="Krank"</formula>
    </cfRule>
  </conditionalFormatting>
  <conditionalFormatting sqref="E3:H3">
    <cfRule type="expression" dxfId="10" priority="44">
      <formula>OR($C3="Samstag",$C3="Sonntag",$D3="Feiertag")</formula>
    </cfRule>
    <cfRule type="expression" dxfId="9" priority="45">
      <formula>OR($D3="Frei",$D3="Urlaub")</formula>
    </cfRule>
    <cfRule type="expression" dxfId="8" priority="46">
      <formula>$D3="Krank"</formula>
    </cfRule>
  </conditionalFormatting>
  <conditionalFormatting sqref="I3:I33">
    <cfRule type="expression" dxfId="7" priority="6">
      <formula>OR($C3="Samstag",$C3="Sonntag",$D3="Feiertag")</formula>
    </cfRule>
    <cfRule type="expression" dxfId="6" priority="7">
      <formula>OR($D3="Frei",$D3="Urlaub")</formula>
    </cfRule>
    <cfRule type="expression" dxfId="5" priority="8">
      <formula>$D3="Krank"</formula>
    </cfRule>
  </conditionalFormatting>
  <conditionalFormatting sqref="J3:J33">
    <cfRule type="cellIs" dxfId="4" priority="1" operator="greaterThan">
      <formula>0</formula>
    </cfRule>
    <cfRule type="cellIs" dxfId="3" priority="2" operator="lessThan">
      <formula>0</formula>
    </cfRule>
    <cfRule type="expression" dxfId="2" priority="3">
      <formula>OR($C3="Samstag",$C3="Sonntag",$D3="Feiertag")</formula>
    </cfRule>
    <cfRule type="expression" dxfId="1" priority="4">
      <formula>OR($D3="Frei",$D3="Urlaub")</formula>
    </cfRule>
    <cfRule type="expression" dxfId="0" priority="5">
      <formula>$D3="Krank"</formula>
    </cfRule>
  </conditionalFormatting>
  <pageMargins left="0.7" right="0.7" top="0.78740157499999996" bottom="0.78740157499999996" header="0.3" footer="0.3"/>
  <customProperties>
    <customPr name="ORB_SHEETNAME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9" r:id="rId4" name="Button 15">
              <controlPr defaultSize="0" print="0" autoFill="0" autoPict="0" macro="[0]!TimeStampStart">
                <anchor moveWithCells="1" sizeWithCells="1">
                  <from>
                    <xdr:col>10</xdr:col>
                    <xdr:colOff>228600</xdr:colOff>
                    <xdr:row>7</xdr:row>
                    <xdr:rowOff>114300</xdr:rowOff>
                  </from>
                  <to>
                    <xdr:col>11</xdr:col>
                    <xdr:colOff>1428750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5" name="Button 16">
              <controlPr defaultSize="0" print="0" autoFill="0" autoPict="0" macro="[0]!TimeStampEnd">
                <anchor moveWithCells="1" sizeWithCells="1">
                  <from>
                    <xdr:col>11</xdr:col>
                    <xdr:colOff>1590675</xdr:colOff>
                    <xdr:row>7</xdr:row>
                    <xdr:rowOff>104775</xdr:rowOff>
                  </from>
                  <to>
                    <xdr:col>13</xdr:col>
                    <xdr:colOff>19050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6" name="Button 17">
              <controlPr defaultSize="0" print="0" autoFill="0" autoPict="0" macro="[0]!PauseStart">
                <anchor moveWithCells="1" sizeWithCells="1">
                  <from>
                    <xdr:col>10</xdr:col>
                    <xdr:colOff>228600</xdr:colOff>
                    <xdr:row>9</xdr:row>
                    <xdr:rowOff>152400</xdr:rowOff>
                  </from>
                  <to>
                    <xdr:col>11</xdr:col>
                    <xdr:colOff>1428750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7" name="Button 18">
              <controlPr defaultSize="0" print="0" autoFill="0" autoPict="0" macro="[0]!PauseEnd">
                <anchor moveWithCells="1" sizeWithCells="1">
                  <from>
                    <xdr:col>11</xdr:col>
                    <xdr:colOff>1590675</xdr:colOff>
                    <xdr:row>9</xdr:row>
                    <xdr:rowOff>142875</xdr:rowOff>
                  </from>
                  <to>
                    <xdr:col>13</xdr:col>
                    <xdr:colOff>19050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Verweise!$F$24:$F$30</xm:f>
          </x14:formula1>
          <xm:sqref>D3:D33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Übersicht</vt:lpstr>
      <vt:lpstr>Verweise</vt:lpstr>
      <vt:lpstr>Januar</vt:lpstr>
      <vt:lpstr>Februar</vt:lpstr>
      <vt:lpstr>März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</vt:vector>
  </TitlesOfParts>
  <Company>1&amp;1 Internet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Bischoff</dc:creator>
  <cp:lastModifiedBy>Wilhelm, Abel</cp:lastModifiedBy>
  <cp:lastPrinted>2023-06-06T08:16:23Z</cp:lastPrinted>
  <dcterms:created xsi:type="dcterms:W3CDTF">2019-07-24T13:47:50Z</dcterms:created>
  <dcterms:modified xsi:type="dcterms:W3CDTF">2023-12-18T12:26:50Z</dcterms:modified>
</cp:coreProperties>
</file>